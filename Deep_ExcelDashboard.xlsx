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D:\Local_backup\"/>
    </mc:Choice>
  </mc:AlternateContent>
  <xr:revisionPtr revIDLastSave="0" documentId="8_{CC7C0FAB-8BC5-4238-BCF9-AE7A5950B2F5}" xr6:coauthVersionLast="47" xr6:coauthVersionMax="47" xr10:uidLastSave="{00000000-0000-0000-0000-000000000000}"/>
  <bookViews>
    <workbookView xWindow="-120" yWindow="-120" windowWidth="20730" windowHeight="11160" xr2:uid="{00000000-000D-0000-FFFF-FFFF00000000}"/>
  </bookViews>
  <sheets>
    <sheet name="Dashboard" sheetId="4" r:id="rId1"/>
    <sheet name="Pivot tables" sheetId="2" r:id="rId2"/>
    <sheet name="If exercise" sheetId="5" r:id="rId3"/>
    <sheet name="Use of functions" sheetId="6" r:id="rId4"/>
    <sheet name="Data" sheetId="1" r:id="rId5"/>
  </sheets>
  <definedNames>
    <definedName name="NativeTimeline_Date">#N/A</definedName>
    <definedName name="Slicer_Salesperson">#N/A</definedName>
  </definedNames>
  <calcPr calcId="191029"/>
  <pivotCaches>
    <pivotCache cacheId="15"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3" i="5" l="1"/>
  <c r="G4" i="5"/>
  <c r="G5" i="5"/>
  <c r="G6" i="5"/>
  <c r="G7" i="5"/>
  <c r="G8" i="5"/>
  <c r="G9" i="5"/>
  <c r="G10" i="5"/>
  <c r="G11" i="5"/>
  <c r="G2" i="5"/>
  <c r="F3" i="5"/>
  <c r="F4" i="5"/>
  <c r="F5" i="5"/>
  <c r="F6" i="5"/>
  <c r="F7" i="5"/>
  <c r="F8" i="5"/>
  <c r="F9" i="5"/>
  <c r="F10" i="5"/>
  <c r="F11" i="5"/>
  <c r="F2" i="5"/>
  <c r="E3" i="5"/>
  <c r="E4" i="5"/>
  <c r="E5" i="5"/>
  <c r="E6" i="5"/>
  <c r="E7" i="5"/>
  <c r="E8" i="5"/>
  <c r="E9" i="5"/>
  <c r="E10" i="5"/>
  <c r="E11" i="5"/>
  <c r="E2" i="5"/>
  <c r="E6" i="4"/>
  <c r="G6" i="4" s="1"/>
  <c r="A6" i="4"/>
  <c r="C6" i="4" s="1"/>
</calcChain>
</file>

<file path=xl/sharedStrings.xml><?xml version="1.0" encoding="utf-8"?>
<sst xmlns="http://schemas.openxmlformats.org/spreadsheetml/2006/main" count="6075" uniqueCount="61">
  <si>
    <t>Date</t>
  </si>
  <si>
    <t>Region</t>
  </si>
  <si>
    <t>Product</t>
  </si>
  <si>
    <t>Salesperson</t>
  </si>
  <si>
    <t>Customer_ID</t>
  </si>
  <si>
    <t>Units_Sold</t>
  </si>
  <si>
    <t>Unit_Price</t>
  </si>
  <si>
    <t>Discount</t>
  </si>
  <si>
    <t>Rating</t>
  </si>
  <si>
    <t>Discount_Amount</t>
  </si>
  <si>
    <t>Total_Sale</t>
  </si>
  <si>
    <t>Cost</t>
  </si>
  <si>
    <t>Profit</t>
  </si>
  <si>
    <t>East</t>
  </si>
  <si>
    <t>Monitor</t>
  </si>
  <si>
    <t>Maya</t>
  </si>
  <si>
    <t>West</t>
  </si>
  <si>
    <t>Keyboard</t>
  </si>
  <si>
    <t>Kiran</t>
  </si>
  <si>
    <t>North</t>
  </si>
  <si>
    <t>Headset</t>
  </si>
  <si>
    <t>Laptop</t>
  </si>
  <si>
    <t>Amit</t>
  </si>
  <si>
    <t>Mouse</t>
  </si>
  <si>
    <t>South</t>
  </si>
  <si>
    <t>Ravi</t>
  </si>
  <si>
    <t>Sara</t>
  </si>
  <si>
    <t>John</t>
  </si>
  <si>
    <t>Row Labels</t>
  </si>
  <si>
    <t>Grand Total</t>
  </si>
  <si>
    <t>Sum of Profit</t>
  </si>
  <si>
    <t>Sum of Total_Sale</t>
  </si>
  <si>
    <t>Column Labels</t>
  </si>
  <si>
    <t>Best salesperson</t>
  </si>
  <si>
    <t>Best product</t>
  </si>
  <si>
    <t>Name</t>
  </si>
  <si>
    <t>Maths</t>
  </si>
  <si>
    <t>Science</t>
  </si>
  <si>
    <t>History</t>
  </si>
  <si>
    <t>Ayaan</t>
  </si>
  <si>
    <t>Diya</t>
  </si>
  <si>
    <t>Rohan</t>
  </si>
  <si>
    <t>Meera</t>
  </si>
  <si>
    <t>Krish</t>
  </si>
  <si>
    <t>Ananya</t>
  </si>
  <si>
    <t>Aarav</t>
  </si>
  <si>
    <t>Kavya</t>
  </si>
  <si>
    <t>Ved</t>
  </si>
  <si>
    <t>Ishita</t>
  </si>
  <si>
    <t>Total</t>
  </si>
  <si>
    <t>Grade</t>
  </si>
  <si>
    <t>Status</t>
  </si>
  <si>
    <t>Where Functions are used?</t>
  </si>
  <si>
    <t>1. In Best salesperson -&gt;  Xlookup / Vlookup / Max</t>
  </si>
  <si>
    <t>2. In Best Product         -&gt;  Index / Match / Max</t>
  </si>
  <si>
    <t>Dashboard:</t>
  </si>
  <si>
    <t>3. Use of Conditional Formatting like -&gt; Color scales / Data Bars</t>
  </si>
  <si>
    <t>If exercise Sheet:</t>
  </si>
  <si>
    <t>Pivot Table Sheet:</t>
  </si>
  <si>
    <t>4. in Result                      -&gt; IF Function</t>
  </si>
  <si>
    <t>5. in Grade                       -&gt; Nested IF Function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</si>
</sst>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 #,##0.00"/>
  </numFmts>
  <fonts count="6" x14ac:knownFonts="1">
    <font>
      <sz val="11"/>
      <color theme="1"/>
      <name val="Calibri"/>
      <family val="2"/>
      <scheme val="minor"/>
    </font>
    <font>
      <b/>
      <sz val="11"/>
      <name val="Calibri"/>
    </font>
    <font>
      <b/>
      <sz val="11"/>
      <color theme="1"/>
      <name val="Calibri"/>
      <family val="2"/>
      <scheme val="minor"/>
    </font>
    <font>
      <sz val="16"/>
      <color theme="1" tint="0.249977111117893"/>
      <name val="Calibri"/>
      <family val="2"/>
      <scheme val="minor"/>
    </font>
    <font>
      <sz val="11"/>
      <color theme="1" tint="0.249977111117893"/>
      <name val="Calibri"/>
      <family val="2"/>
      <scheme val="minor"/>
    </font>
    <font>
      <sz val="12"/>
      <color theme="1" tint="0.249977111117893"/>
      <name val="Calibri"/>
      <family val="2"/>
      <scheme val="minor"/>
    </font>
  </fonts>
  <fills count="5">
    <fill>
      <patternFill patternType="none"/>
    </fill>
    <fill>
      <patternFill patternType="gray125"/>
    </fill>
    <fill>
      <patternFill patternType="solid">
        <fgColor theme="8" tint="0.39997558519241921"/>
        <bgColor indexed="64"/>
      </patternFill>
    </fill>
    <fill>
      <patternFill patternType="solid">
        <fgColor theme="3" tint="0.39997558519241921"/>
        <bgColor indexed="64"/>
      </patternFill>
    </fill>
    <fill>
      <patternFill patternType="solid">
        <fgColor theme="4" tint="0.39997558519241921"/>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s>
  <cellStyleXfs count="1">
    <xf numFmtId="0" fontId="0" fillId="0" borderId="0"/>
  </cellStyleXfs>
  <cellXfs count="41">
    <xf numFmtId="0" fontId="0" fillId="0" borderId="0" xfId="0"/>
    <xf numFmtId="0" fontId="1" fillId="0" borderId="2" xfId="0" applyFont="1" applyBorder="1" applyAlignment="1">
      <alignment horizontal="center" vertical="top"/>
    </xf>
    <xf numFmtId="14" fontId="1" fillId="0" borderId="2" xfId="0" applyNumberFormat="1" applyFont="1" applyBorder="1" applyAlignment="1">
      <alignment horizontal="center" vertical="top"/>
    </xf>
    <xf numFmtId="0" fontId="0" fillId="0" borderId="0" xfId="0" applyNumberFormat="1"/>
    <xf numFmtId="0" fontId="1" fillId="0" borderId="2" xfId="0" applyNumberFormat="1" applyFont="1" applyBorder="1" applyAlignment="1">
      <alignment horizontal="center" vertical="top"/>
    </xf>
    <xf numFmtId="168" fontId="1" fillId="0" borderId="2" xfId="0" applyNumberFormat="1" applyFont="1" applyBorder="1" applyAlignment="1">
      <alignment horizontal="center" vertical="top"/>
    </xf>
    <xf numFmtId="168" fontId="0" fillId="0" borderId="0" xfId="0" applyNumberFormat="1"/>
    <xf numFmtId="10" fontId="1" fillId="0" borderId="2" xfId="0" applyNumberFormat="1" applyFont="1" applyBorder="1" applyAlignment="1">
      <alignment horizontal="center" vertical="top"/>
    </xf>
    <xf numFmtId="10" fontId="0" fillId="0" borderId="0" xfId="0" applyNumberFormat="1"/>
    <xf numFmtId="0" fontId="0" fillId="0" borderId="0" xfId="0" pivotButton="1"/>
    <xf numFmtId="0" fontId="0" fillId="0" borderId="0" xfId="0" applyAlignment="1">
      <alignment horizontal="left"/>
    </xf>
    <xf numFmtId="1" fontId="0" fillId="0" borderId="0" xfId="0" applyNumberFormat="1"/>
    <xf numFmtId="14" fontId="0" fillId="0" borderId="0" xfId="0" applyNumberFormat="1" applyAlignment="1">
      <alignment horizontal="center" vertical="center"/>
    </xf>
    <xf numFmtId="0" fontId="0" fillId="0" borderId="0" xfId="0" applyNumberFormat="1" applyAlignment="1">
      <alignment horizontal="center" vertical="center"/>
    </xf>
    <xf numFmtId="1" fontId="0" fillId="0" borderId="0" xfId="0" applyNumberFormat="1" applyAlignment="1">
      <alignment horizontal="center" vertical="center"/>
    </xf>
    <xf numFmtId="168" fontId="0" fillId="0" borderId="0" xfId="0" applyNumberFormat="1" applyAlignment="1">
      <alignment horizontal="center" vertical="center"/>
    </xf>
    <xf numFmtId="10" fontId="0" fillId="0" borderId="0" xfId="0" applyNumberFormat="1" applyAlignment="1">
      <alignment horizontal="center" vertical="center"/>
    </xf>
    <xf numFmtId="0" fontId="4" fillId="0" borderId="0" xfId="0" applyFont="1"/>
    <xf numFmtId="0" fontId="3" fillId="4" borderId="3" xfId="0" applyFont="1" applyFill="1" applyBorder="1" applyAlignment="1">
      <alignment horizontal="center" vertic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4" fillId="4" borderId="0" xfId="0" applyFont="1" applyFill="1" applyBorder="1" applyAlignment="1">
      <alignment horizontal="center" vertical="center"/>
    </xf>
    <xf numFmtId="0" fontId="4" fillId="4" borderId="7" xfId="0" applyFont="1" applyFill="1" applyBorder="1" applyAlignment="1">
      <alignment horizontal="center" vertical="center"/>
    </xf>
    <xf numFmtId="0" fontId="3" fillId="3" borderId="6" xfId="0" applyFont="1" applyFill="1" applyBorder="1" applyAlignment="1">
      <alignment horizontal="center"/>
    </xf>
    <xf numFmtId="0" fontId="3" fillId="3" borderId="0" xfId="0" applyFont="1" applyFill="1" applyBorder="1" applyAlignment="1">
      <alignment horizontal="center"/>
    </xf>
    <xf numFmtId="168" fontId="5" fillId="3" borderId="7" xfId="0" applyNumberFormat="1" applyFont="1" applyFill="1" applyBorder="1" applyAlignment="1">
      <alignment horizontal="center"/>
    </xf>
    <xf numFmtId="0" fontId="3" fillId="3" borderId="8" xfId="0" applyFont="1" applyFill="1" applyBorder="1" applyAlignment="1">
      <alignment horizontal="center"/>
    </xf>
    <xf numFmtId="0" fontId="3" fillId="3" borderId="9" xfId="0" applyFont="1" applyFill="1" applyBorder="1" applyAlignment="1">
      <alignment horizontal="center"/>
    </xf>
    <xf numFmtId="168" fontId="5" fillId="3" borderId="10" xfId="0" applyNumberFormat="1" applyFont="1" applyFill="1" applyBorder="1" applyAlignment="1">
      <alignment horizontal="center"/>
    </xf>
    <xf numFmtId="0" fontId="3" fillId="4" borderId="4" xfId="0" applyFont="1" applyFill="1" applyBorder="1" applyAlignment="1">
      <alignment horizontal="center" vertical="center"/>
    </xf>
    <xf numFmtId="0" fontId="3" fillId="4" borderId="5" xfId="0" applyFont="1" applyFill="1" applyBorder="1" applyAlignment="1">
      <alignment horizontal="center" vertical="center"/>
    </xf>
    <xf numFmtId="0" fontId="3" fillId="4" borderId="6" xfId="0" applyFont="1" applyFill="1" applyBorder="1" applyAlignment="1">
      <alignment horizontal="center" vertical="center"/>
    </xf>
    <xf numFmtId="0" fontId="3" fillId="4" borderId="0" xfId="0" applyFont="1" applyFill="1" applyBorder="1" applyAlignment="1">
      <alignment horizontal="center" vertical="center"/>
    </xf>
    <xf numFmtId="0" fontId="3" fillId="4" borderId="7" xfId="0" applyFont="1" applyFill="1" applyBorder="1" applyAlignment="1">
      <alignment horizontal="center" vertical="center"/>
    </xf>
    <xf numFmtId="168" fontId="5" fillId="3" borderId="0" xfId="0" applyNumberFormat="1" applyFont="1" applyFill="1" applyBorder="1" applyAlignment="1">
      <alignment horizontal="center"/>
    </xf>
    <xf numFmtId="168" fontId="5" fillId="3" borderId="9" xfId="0" applyNumberFormat="1" applyFont="1" applyFill="1" applyBorder="1" applyAlignment="1">
      <alignment horizontal="center"/>
    </xf>
    <xf numFmtId="0" fontId="2" fillId="2" borderId="1" xfId="0" applyFont="1" applyFill="1" applyBorder="1" applyAlignment="1">
      <alignment horizontal="center" vertical="center" wrapText="1"/>
    </xf>
    <xf numFmtId="0" fontId="0" fillId="0" borderId="1" xfId="0" applyBorder="1" applyAlignment="1">
      <alignment vertical="center" wrapText="1"/>
    </xf>
    <xf numFmtId="0" fontId="0" fillId="0" borderId="1" xfId="0" applyBorder="1"/>
    <xf numFmtId="0" fontId="0" fillId="0" borderId="0" xfId="0" applyBorder="1" applyAlignment="1">
      <alignment horizontal="left" vertical="top"/>
    </xf>
  </cellXfs>
  <cellStyles count="1">
    <cellStyle name="Normal" xfId="0" builtinId="0"/>
  </cellStyles>
  <dxfs count="35">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border diagonalUp="0" diagonalDown="0">
        <left style="thin">
          <color indexed="64"/>
        </left>
        <right style="thin">
          <color indexed="64"/>
        </right>
        <top style="thin">
          <color indexed="64"/>
        </top>
        <bottom style="thin">
          <color indexed="64"/>
        </bottom>
      </border>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alignment horizontal="left" vertical="top" textRotation="0" wrapText="0" indent="0" justifyLastLine="0" shrinkToFit="0" readingOrder="0"/>
    </dxf>
    <dxf>
      <numFmt numFmtId="1" formatCode="0"/>
    </dxf>
    <dxf>
      <numFmt numFmtId="19" formatCode="dd/mm/yyyy"/>
      <alignment horizontal="center" vertical="center" textRotation="0" wrapText="0" indent="0" justifyLastLine="0" shrinkToFit="0" readingOrder="0"/>
    </dxf>
    <dxf>
      <numFmt numFmtId="168" formatCode="&quot;₹&quot;\ #,##0.00"/>
      <alignment horizontal="center" vertical="center" textRotation="0" wrapText="0" indent="0" justifyLastLine="0" shrinkToFit="0" readingOrder="0"/>
    </dxf>
    <dxf>
      <numFmt numFmtId="168" formatCode="&quot;₹&quot;\ #,##0.00"/>
      <alignment horizontal="center" vertical="center" textRotation="0" wrapText="0" indent="0" justifyLastLine="0" shrinkToFit="0" readingOrder="0"/>
    </dxf>
    <dxf>
      <numFmt numFmtId="168" formatCode="&quot;₹&quot;\ #,##0.00"/>
      <alignment horizontal="center" vertical="center" textRotation="0" wrapText="0" indent="0" justifyLastLine="0" shrinkToFit="0" readingOrder="0"/>
    </dxf>
    <dxf>
      <numFmt numFmtId="168" formatCode="&quot;₹&quot;\ #,##0.0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4" formatCode="0.00%"/>
      <alignment horizontal="center" vertical="center" textRotation="0" wrapText="0" indent="0" justifyLastLine="0" shrinkToFit="0" readingOrder="0"/>
    </dxf>
    <dxf>
      <numFmt numFmtId="168" formatCode="&quot;₹&quot;\ #,##0.0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font>
        <b/>
        <i val="0"/>
        <strike val="0"/>
        <condense val="0"/>
        <extend val="0"/>
        <outline val="0"/>
        <shadow val="0"/>
        <u val="none"/>
        <vertAlign val="baseline"/>
        <sz val="11"/>
        <color auto="1"/>
        <name val="Calibri"/>
        <scheme val="none"/>
      </font>
      <alignment horizontal="center" vertical="top" textRotation="0" wrapText="0" indent="0" justifyLastLine="0" shrinkToFit="0" readingOrder="0"/>
      <border diagonalUp="0" diagonalDown="0" outline="0">
        <left style="thin">
          <color auto="1"/>
        </left>
        <right style="thin">
          <color auto="1"/>
        </right>
        <top/>
        <bottom/>
      </border>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[Deep_ExcelDashboard.xlsx]Pivot tables!Products_by_region</c:name>
    <c:fmtId val="22"/>
  </c:pivotSource>
  <c:chart>
    <c:title>
      <c:tx>
        <c:rich>
          <a:bodyPr rot="0" spcFirstLastPara="1" vertOverflow="ellipsis" vert="horz" wrap="square" anchor="ctr" anchorCtr="1"/>
          <a:lstStyle/>
          <a:p>
            <a:pPr>
              <a:defRPr sz="1600" b="1" i="0" u="none" strike="noStrike" kern="1200" cap="none" spc="20" baseline="0">
                <a:solidFill>
                  <a:schemeClr val="tx1">
                    <a:lumMod val="65000"/>
                    <a:lumOff val="35000"/>
                  </a:schemeClr>
                </a:solidFill>
                <a:latin typeface="+mn-lt"/>
                <a:ea typeface="+mn-ea"/>
                <a:cs typeface="+mn-cs"/>
              </a:defRPr>
            </a:pPr>
            <a:r>
              <a:rPr lang="en-IN" sz="1600" b="1">
                <a:solidFill>
                  <a:schemeClr val="tx1">
                    <a:lumMod val="65000"/>
                    <a:lumOff val="35000"/>
                  </a:schemeClr>
                </a:solidFill>
              </a:rPr>
              <a:t>PRODUCT</a:t>
            </a:r>
            <a:r>
              <a:rPr lang="en-IN" sz="1600" b="1" baseline="0">
                <a:solidFill>
                  <a:schemeClr val="tx1">
                    <a:lumMod val="65000"/>
                    <a:lumOff val="35000"/>
                  </a:schemeClr>
                </a:solidFill>
              </a:rPr>
              <a:t> SALES BY REGION</a:t>
            </a:r>
          </a:p>
        </c:rich>
      </c:tx>
      <c:overlay val="0"/>
      <c:spPr>
        <a:noFill/>
        <a:ln>
          <a:noFill/>
        </a:ln>
        <a:effectLst/>
      </c:spPr>
      <c:txPr>
        <a:bodyPr rot="0" spcFirstLastPara="1" vertOverflow="ellipsis" vert="horz" wrap="square" anchor="ctr" anchorCtr="1"/>
        <a:lstStyle/>
        <a:p>
          <a:pPr>
            <a:defRPr sz="1600" b="1" i="0" u="none" strike="noStrike" kern="1200" cap="none" spc="2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ln w="22225" cap="rnd" cmpd="sng" algn="ctr">
            <a:solidFill>
              <a:schemeClr val="accent1"/>
            </a:solidFill>
            <a:round/>
          </a:ln>
          <a:effectLst/>
        </c:spPr>
        <c:marker>
          <c:symbol val="circle"/>
          <c:size val="4"/>
          <c:spPr>
            <a:solidFill>
              <a:schemeClr val="accent1">
                <a:shade val="58000"/>
              </a:schemeClr>
            </a:solidFill>
            <a:ln w="9525" cap="flat" cmpd="sng" algn="ctr">
              <a:solidFill>
                <a:schemeClr val="accent1">
                  <a:shade val="58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9"/>
        <c:spPr>
          <a:ln w="22225" cap="rnd" cmpd="sng" algn="ctr">
            <a:solidFill>
              <a:schemeClr val="accent1"/>
            </a:solidFill>
            <a:round/>
          </a:ln>
          <a:effectLst/>
        </c:spPr>
        <c:marker>
          <c:symbol val="circle"/>
          <c:size val="4"/>
          <c:spPr>
            <a:solidFill>
              <a:schemeClr val="accent1">
                <a:shade val="86000"/>
              </a:schemeClr>
            </a:solidFill>
            <a:ln w="9525" cap="flat" cmpd="sng" algn="ctr">
              <a:solidFill>
                <a:schemeClr val="accent1">
                  <a:shade val="8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0"/>
        <c:spPr>
          <a:ln w="22225" cap="rnd" cmpd="sng" algn="ctr">
            <a:solidFill>
              <a:schemeClr val="accent1"/>
            </a:solidFill>
            <a:round/>
          </a:ln>
          <a:effectLst/>
        </c:spPr>
        <c:marker>
          <c:symbol val="circle"/>
          <c:size val="4"/>
          <c:spPr>
            <a:solidFill>
              <a:schemeClr val="accent1">
                <a:tint val="86000"/>
              </a:schemeClr>
            </a:solidFill>
            <a:ln w="9525" cap="flat" cmpd="sng" algn="ctr">
              <a:solidFill>
                <a:schemeClr val="accent1">
                  <a:tint val="86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1"/>
        <c:spPr>
          <a:ln w="22225" cap="rnd" cmpd="sng" algn="ctr">
            <a:solidFill>
              <a:schemeClr val="accent1"/>
            </a:solidFill>
            <a:round/>
          </a:ln>
          <a:effectLst/>
        </c:spPr>
        <c:marker>
          <c:symbol val="circle"/>
          <c:size val="4"/>
          <c:spPr>
            <a:solidFill>
              <a:schemeClr val="accent1">
                <a:tint val="58000"/>
              </a:schemeClr>
            </a:solidFill>
            <a:ln w="9525" cap="flat" cmpd="sng" algn="ctr">
              <a:solidFill>
                <a:schemeClr val="accent1">
                  <a:tint val="58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tables'!$E$11:$E$12</c:f>
              <c:strCache>
                <c:ptCount val="1"/>
                <c:pt idx="0">
                  <c:v>East</c:v>
                </c:pt>
              </c:strCache>
            </c:strRef>
          </c:tx>
          <c:spPr>
            <a:ln w="22225" cap="rnd" cmpd="sng" algn="ctr">
              <a:solidFill>
                <a:schemeClr val="accent1">
                  <a:shade val="58000"/>
                </a:schemeClr>
              </a:solidFill>
              <a:round/>
            </a:ln>
            <a:effectLst/>
          </c:spPr>
          <c:marker>
            <c:symbol val="circle"/>
            <c:size val="4"/>
            <c:spPr>
              <a:solidFill>
                <a:schemeClr val="accent1">
                  <a:shade val="58000"/>
                </a:schemeClr>
              </a:solidFill>
              <a:ln w="9525" cap="flat" cmpd="sng" algn="ctr">
                <a:solidFill>
                  <a:schemeClr val="accent1">
                    <a:shade val="58000"/>
                  </a:schemeClr>
                </a:solidFill>
                <a:round/>
              </a:ln>
              <a:effectLst/>
            </c:spPr>
          </c:marker>
          <c:cat>
            <c:strRef>
              <c:f>'Pivot tables'!$D$13:$D$17</c:f>
              <c:strCache>
                <c:ptCount val="5"/>
                <c:pt idx="0">
                  <c:v>Headset</c:v>
                </c:pt>
                <c:pt idx="1">
                  <c:v>Keyboard</c:v>
                </c:pt>
                <c:pt idx="2">
                  <c:v>Laptop</c:v>
                </c:pt>
                <c:pt idx="3">
                  <c:v>Monitor</c:v>
                </c:pt>
                <c:pt idx="4">
                  <c:v>Mouse</c:v>
                </c:pt>
              </c:strCache>
            </c:strRef>
          </c:cat>
          <c:val>
            <c:numRef>
              <c:f>'Pivot tables'!$E$13:$E$17</c:f>
              <c:numCache>
                <c:formatCode>"₹"\ #,##0.00</c:formatCode>
                <c:ptCount val="5"/>
                <c:pt idx="0">
                  <c:v>46626665.299999997</c:v>
                </c:pt>
                <c:pt idx="1">
                  <c:v>60615558.949999973</c:v>
                </c:pt>
                <c:pt idx="2">
                  <c:v>50671895.250000015</c:v>
                </c:pt>
                <c:pt idx="3">
                  <c:v>64244523.899999984</c:v>
                </c:pt>
                <c:pt idx="4">
                  <c:v>49232333.200000025</c:v>
                </c:pt>
              </c:numCache>
            </c:numRef>
          </c:val>
          <c:smooth val="0"/>
          <c:extLst>
            <c:ext xmlns:c16="http://schemas.microsoft.com/office/drawing/2014/chart" uri="{C3380CC4-5D6E-409C-BE32-E72D297353CC}">
              <c16:uniqueId val="{00000000-1D28-488F-A31B-C174306E24C7}"/>
            </c:ext>
          </c:extLst>
        </c:ser>
        <c:ser>
          <c:idx val="1"/>
          <c:order val="1"/>
          <c:tx>
            <c:strRef>
              <c:f>'Pivot tables'!$F$11:$F$12</c:f>
              <c:strCache>
                <c:ptCount val="1"/>
                <c:pt idx="0">
                  <c:v>North</c:v>
                </c:pt>
              </c:strCache>
            </c:strRef>
          </c:tx>
          <c:spPr>
            <a:ln w="22225" cap="rnd" cmpd="sng" algn="ctr">
              <a:solidFill>
                <a:schemeClr val="accent1">
                  <a:shade val="86000"/>
                </a:schemeClr>
              </a:solidFill>
              <a:round/>
            </a:ln>
            <a:effectLst/>
          </c:spPr>
          <c:marker>
            <c:symbol val="circle"/>
            <c:size val="4"/>
            <c:spPr>
              <a:solidFill>
                <a:schemeClr val="accent1">
                  <a:shade val="86000"/>
                </a:schemeClr>
              </a:solidFill>
              <a:ln w="9525" cap="flat" cmpd="sng" algn="ctr">
                <a:solidFill>
                  <a:schemeClr val="accent1">
                    <a:shade val="86000"/>
                  </a:schemeClr>
                </a:solidFill>
                <a:round/>
              </a:ln>
              <a:effectLst/>
            </c:spPr>
          </c:marker>
          <c:cat>
            <c:strRef>
              <c:f>'Pivot tables'!$D$13:$D$17</c:f>
              <c:strCache>
                <c:ptCount val="5"/>
                <c:pt idx="0">
                  <c:v>Headset</c:v>
                </c:pt>
                <c:pt idx="1">
                  <c:v>Keyboard</c:v>
                </c:pt>
                <c:pt idx="2">
                  <c:v>Laptop</c:v>
                </c:pt>
                <c:pt idx="3">
                  <c:v>Monitor</c:v>
                </c:pt>
                <c:pt idx="4">
                  <c:v>Mouse</c:v>
                </c:pt>
              </c:strCache>
            </c:strRef>
          </c:cat>
          <c:val>
            <c:numRef>
              <c:f>'Pivot tables'!$F$13:$F$17</c:f>
              <c:numCache>
                <c:formatCode>"₹"\ #,##0.00</c:formatCode>
                <c:ptCount val="5"/>
                <c:pt idx="0">
                  <c:v>70216939.800000012</c:v>
                </c:pt>
                <c:pt idx="1">
                  <c:v>51659841.300000019</c:v>
                </c:pt>
                <c:pt idx="2">
                  <c:v>55346467.149999991</c:v>
                </c:pt>
                <c:pt idx="3">
                  <c:v>59803995.199999988</c:v>
                </c:pt>
                <c:pt idx="4">
                  <c:v>57345761.349999994</c:v>
                </c:pt>
              </c:numCache>
            </c:numRef>
          </c:val>
          <c:smooth val="0"/>
          <c:extLst>
            <c:ext xmlns:c16="http://schemas.microsoft.com/office/drawing/2014/chart" uri="{C3380CC4-5D6E-409C-BE32-E72D297353CC}">
              <c16:uniqueId val="{00000001-1D28-488F-A31B-C174306E24C7}"/>
            </c:ext>
          </c:extLst>
        </c:ser>
        <c:ser>
          <c:idx val="2"/>
          <c:order val="2"/>
          <c:tx>
            <c:strRef>
              <c:f>'Pivot tables'!$G$11:$G$12</c:f>
              <c:strCache>
                <c:ptCount val="1"/>
                <c:pt idx="0">
                  <c:v>South</c:v>
                </c:pt>
              </c:strCache>
            </c:strRef>
          </c:tx>
          <c:spPr>
            <a:ln w="22225" cap="rnd" cmpd="sng" algn="ctr">
              <a:solidFill>
                <a:schemeClr val="accent1">
                  <a:tint val="86000"/>
                </a:schemeClr>
              </a:solidFill>
              <a:round/>
            </a:ln>
            <a:effectLst/>
          </c:spPr>
          <c:marker>
            <c:symbol val="circle"/>
            <c:size val="4"/>
            <c:spPr>
              <a:solidFill>
                <a:schemeClr val="accent1">
                  <a:tint val="86000"/>
                </a:schemeClr>
              </a:solidFill>
              <a:ln w="9525" cap="flat" cmpd="sng" algn="ctr">
                <a:solidFill>
                  <a:schemeClr val="accent1">
                    <a:tint val="86000"/>
                  </a:schemeClr>
                </a:solidFill>
                <a:round/>
              </a:ln>
              <a:effectLst/>
            </c:spPr>
          </c:marker>
          <c:cat>
            <c:strRef>
              <c:f>'Pivot tables'!$D$13:$D$17</c:f>
              <c:strCache>
                <c:ptCount val="5"/>
                <c:pt idx="0">
                  <c:v>Headset</c:v>
                </c:pt>
                <c:pt idx="1">
                  <c:v>Keyboard</c:v>
                </c:pt>
                <c:pt idx="2">
                  <c:v>Laptop</c:v>
                </c:pt>
                <c:pt idx="3">
                  <c:v>Monitor</c:v>
                </c:pt>
                <c:pt idx="4">
                  <c:v>Mouse</c:v>
                </c:pt>
              </c:strCache>
            </c:strRef>
          </c:cat>
          <c:val>
            <c:numRef>
              <c:f>'Pivot tables'!$G$13:$G$17</c:f>
              <c:numCache>
                <c:formatCode>"₹"\ #,##0.00</c:formatCode>
                <c:ptCount val="5"/>
                <c:pt idx="0">
                  <c:v>50002272.899999999</c:v>
                </c:pt>
                <c:pt idx="1">
                  <c:v>52640132.350000001</c:v>
                </c:pt>
                <c:pt idx="2">
                  <c:v>67013151.699999973</c:v>
                </c:pt>
                <c:pt idx="3">
                  <c:v>60868247.649999984</c:v>
                </c:pt>
                <c:pt idx="4">
                  <c:v>43135965.949999996</c:v>
                </c:pt>
              </c:numCache>
            </c:numRef>
          </c:val>
          <c:smooth val="0"/>
          <c:extLst>
            <c:ext xmlns:c16="http://schemas.microsoft.com/office/drawing/2014/chart" uri="{C3380CC4-5D6E-409C-BE32-E72D297353CC}">
              <c16:uniqueId val="{00000002-1D28-488F-A31B-C174306E24C7}"/>
            </c:ext>
          </c:extLst>
        </c:ser>
        <c:ser>
          <c:idx val="3"/>
          <c:order val="3"/>
          <c:tx>
            <c:strRef>
              <c:f>'Pivot tables'!$H$11:$H$12</c:f>
              <c:strCache>
                <c:ptCount val="1"/>
                <c:pt idx="0">
                  <c:v>West</c:v>
                </c:pt>
              </c:strCache>
            </c:strRef>
          </c:tx>
          <c:spPr>
            <a:ln w="22225" cap="rnd" cmpd="sng" algn="ctr">
              <a:solidFill>
                <a:schemeClr val="accent1">
                  <a:tint val="58000"/>
                </a:schemeClr>
              </a:solidFill>
              <a:round/>
            </a:ln>
            <a:effectLst/>
          </c:spPr>
          <c:marker>
            <c:symbol val="circle"/>
            <c:size val="4"/>
            <c:spPr>
              <a:solidFill>
                <a:schemeClr val="accent1">
                  <a:tint val="58000"/>
                </a:schemeClr>
              </a:solidFill>
              <a:ln w="9525" cap="flat" cmpd="sng" algn="ctr">
                <a:solidFill>
                  <a:schemeClr val="accent1">
                    <a:tint val="58000"/>
                  </a:schemeClr>
                </a:solidFill>
                <a:round/>
              </a:ln>
              <a:effectLst/>
            </c:spPr>
          </c:marker>
          <c:cat>
            <c:strRef>
              <c:f>'Pivot tables'!$D$13:$D$17</c:f>
              <c:strCache>
                <c:ptCount val="5"/>
                <c:pt idx="0">
                  <c:v>Headset</c:v>
                </c:pt>
                <c:pt idx="1">
                  <c:v>Keyboard</c:v>
                </c:pt>
                <c:pt idx="2">
                  <c:v>Laptop</c:v>
                </c:pt>
                <c:pt idx="3">
                  <c:v>Monitor</c:v>
                </c:pt>
                <c:pt idx="4">
                  <c:v>Mouse</c:v>
                </c:pt>
              </c:strCache>
            </c:strRef>
          </c:cat>
          <c:val>
            <c:numRef>
              <c:f>'Pivot tables'!$H$13:$H$17</c:f>
              <c:numCache>
                <c:formatCode>"₹"\ #,##0.00</c:formatCode>
                <c:ptCount val="5"/>
                <c:pt idx="0">
                  <c:v>55674741.649999999</c:v>
                </c:pt>
                <c:pt idx="1">
                  <c:v>43224823.999999993</c:v>
                </c:pt>
                <c:pt idx="2">
                  <c:v>50927289.399999991</c:v>
                </c:pt>
                <c:pt idx="3">
                  <c:v>61973239.700000003</c:v>
                </c:pt>
                <c:pt idx="4">
                  <c:v>60606513.999999993</c:v>
                </c:pt>
              </c:numCache>
            </c:numRef>
          </c:val>
          <c:smooth val="0"/>
          <c:extLst>
            <c:ext xmlns:c16="http://schemas.microsoft.com/office/drawing/2014/chart" uri="{C3380CC4-5D6E-409C-BE32-E72D297353CC}">
              <c16:uniqueId val="{00000003-1D28-488F-A31B-C174306E24C7}"/>
            </c:ext>
          </c:extLst>
        </c:ser>
        <c:dLbls>
          <c:dLblPos val="t"/>
          <c:showLegendKey val="0"/>
          <c:showVal val="0"/>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185391711"/>
        <c:axId val="1185395071"/>
      </c:lineChart>
      <c:catAx>
        <c:axId val="1185391711"/>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85395071"/>
        <c:crosses val="autoZero"/>
        <c:auto val="1"/>
        <c:lblAlgn val="ctr"/>
        <c:lblOffset val="100"/>
        <c:noMultiLvlLbl val="0"/>
      </c:catAx>
      <c:valAx>
        <c:axId val="1185395071"/>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185391711"/>
        <c:crosses val="autoZero"/>
        <c:crossBetween val="between"/>
      </c:valAx>
      <c:spPr>
        <a:gradFill>
          <a:gsLst>
            <a:gs pos="100000">
              <a:schemeClr val="lt1">
                <a:lumMod val="95000"/>
              </a:schemeClr>
            </a:gs>
            <a:gs pos="0">
              <a:schemeClr val="lt1"/>
            </a:gs>
          </a:gsLst>
          <a:lin ang="5400000" scaled="0"/>
        </a:grad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[Deep_ExcelDashboard.xlsx]Pivot tables!Salesperson</c:name>
    <c:fmtId val="4"/>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IN"/>
              <a:t>SAles</a:t>
            </a:r>
            <a:r>
              <a:rPr lang="en-IN" baseline="0"/>
              <a:t> distribution by salesperson</a:t>
            </a:r>
            <a:endParaRPr lang="en-IN"/>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pPr>
            <a:solidFill>
              <a:schemeClr val="accent1"/>
            </a:solidFill>
            <a:ln w="9525">
              <a:solidFill>
                <a:schemeClr val="lt1"/>
              </a:solidFill>
            </a:ln>
            <a:effectLst/>
          </c:spPr>
        </c:marker>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shade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hade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8"/>
        <c:spPr>
          <a:solidFill>
            <a:schemeClr val="accent1">
              <a:shade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1">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0"/>
        <c:spPr>
          <a:solidFill>
            <a:schemeClr val="accent1">
              <a:tint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
        <c:idx val="21"/>
        <c:spPr>
          <a:solidFill>
            <a:schemeClr val="accent1">
              <a:tint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tables'!$E$1</c:f>
              <c:strCache>
                <c:ptCount val="1"/>
                <c:pt idx="0">
                  <c:v>Total</c:v>
                </c:pt>
              </c:strCache>
            </c:strRef>
          </c:tx>
          <c:dPt>
            <c:idx val="0"/>
            <c:bubble3D val="0"/>
            <c:spPr>
              <a:solidFill>
                <a:schemeClr val="accent1">
                  <a:shade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F23F-4FFF-9825-D9490795F3A4}"/>
              </c:ext>
            </c:extLst>
          </c:dPt>
          <c:dPt>
            <c:idx val="1"/>
            <c:bubble3D val="0"/>
            <c:spPr>
              <a:solidFill>
                <a:schemeClr val="accent1">
                  <a:shade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F23F-4FFF-9825-D9490795F3A4}"/>
              </c:ext>
            </c:extLst>
          </c:dPt>
          <c:dPt>
            <c:idx val="2"/>
            <c:bubble3D val="0"/>
            <c:spPr>
              <a:solidFill>
                <a:schemeClr val="accent1">
                  <a:shade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F23F-4FFF-9825-D9490795F3A4}"/>
              </c:ext>
            </c:extLst>
          </c:dPt>
          <c:dPt>
            <c:idx val="3"/>
            <c:bubble3D val="0"/>
            <c:spPr>
              <a:solidFill>
                <a:schemeClr val="accent1">
                  <a:tint val="9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F23F-4FFF-9825-D9490795F3A4}"/>
              </c:ext>
            </c:extLst>
          </c:dPt>
          <c:dPt>
            <c:idx val="4"/>
            <c:bubble3D val="0"/>
            <c:spPr>
              <a:solidFill>
                <a:schemeClr val="accent1">
                  <a:tint val="7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F23F-4FFF-9825-D9490795F3A4}"/>
              </c:ext>
            </c:extLst>
          </c:dPt>
          <c:dPt>
            <c:idx val="5"/>
            <c:bubble3D val="0"/>
            <c:spPr>
              <a:solidFill>
                <a:schemeClr val="accent1">
                  <a:tint val="5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B-F23F-4FFF-9825-D9490795F3A4}"/>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tables'!$D$2:$D$7</c:f>
              <c:strCache>
                <c:ptCount val="6"/>
                <c:pt idx="0">
                  <c:v>Amit</c:v>
                </c:pt>
                <c:pt idx="1">
                  <c:v>John</c:v>
                </c:pt>
                <c:pt idx="2">
                  <c:v>Kiran</c:v>
                </c:pt>
                <c:pt idx="3">
                  <c:v>Maya</c:v>
                </c:pt>
                <c:pt idx="4">
                  <c:v>Ravi</c:v>
                </c:pt>
                <c:pt idx="5">
                  <c:v>Sara</c:v>
                </c:pt>
              </c:strCache>
            </c:strRef>
          </c:cat>
          <c:val>
            <c:numRef>
              <c:f>'Pivot tables'!$E$2:$E$7</c:f>
              <c:numCache>
                <c:formatCode>0</c:formatCode>
                <c:ptCount val="6"/>
                <c:pt idx="0">
                  <c:v>178520554.44999996</c:v>
                </c:pt>
                <c:pt idx="1">
                  <c:v>186405467.15000001</c:v>
                </c:pt>
                <c:pt idx="2">
                  <c:v>192863851.45000011</c:v>
                </c:pt>
                <c:pt idx="3">
                  <c:v>186832451.5500001</c:v>
                </c:pt>
                <c:pt idx="4">
                  <c:v>186167782.75</c:v>
                </c:pt>
                <c:pt idx="5">
                  <c:v>181040253.35000011</c:v>
                </c:pt>
              </c:numCache>
            </c:numRef>
          </c:val>
          <c:extLst>
            <c:ext xmlns:c16="http://schemas.microsoft.com/office/drawing/2014/chart" uri="{C3380CC4-5D6E-409C-BE32-E72D297353CC}">
              <c16:uniqueId val="{0000000C-F23F-4FFF-9825-D9490795F3A4}"/>
            </c:ext>
          </c:extLst>
        </c:ser>
        <c:dLbls>
          <c:dLblPos val="outEnd"/>
          <c:showLegendKey val="0"/>
          <c:showVal val="0"/>
          <c:showCatName val="0"/>
          <c:showSerName val="0"/>
          <c:showPercent val="1"/>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[Deep_ExcelDashboard.xlsx]Pivot tables!Region</c:name>
    <c:fmtId val="6"/>
  </c:pivotSource>
  <c:chart>
    <c:title>
      <c:tx>
        <c:rich>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r>
              <a:rPr lang="en-US" sz="1600">
                <a:solidFill>
                  <a:schemeClr val="tx1">
                    <a:lumMod val="65000"/>
                    <a:lumOff val="35000"/>
                  </a:schemeClr>
                </a:solidFill>
              </a:rPr>
              <a:t>sALES</a:t>
            </a:r>
            <a:r>
              <a:rPr lang="en-US" sz="1600" baseline="0">
                <a:solidFill>
                  <a:schemeClr val="tx1">
                    <a:lumMod val="65000"/>
                    <a:lumOff val="35000"/>
                  </a:schemeClr>
                </a:solidFill>
              </a:rPr>
              <a:t> BY REGION</a:t>
            </a:r>
            <a:endParaRPr lang="en-US" sz="1600">
              <a:solidFill>
                <a:schemeClr val="tx1">
                  <a:lumMod val="65000"/>
                  <a:lumOff val="35000"/>
                </a:schemeClr>
              </a:solidFill>
            </a:endParaRPr>
          </a:p>
        </c:rich>
      </c:tx>
      <c:layout>
        <c:manualLayout>
          <c:xMode val="edge"/>
          <c:yMode val="edge"/>
          <c:x val="0.2958660878845904"/>
          <c:y val="4.9721945866473938E-2"/>
        </c:manualLayout>
      </c:layout>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100000">
                <a:schemeClr val="accent1">
                  <a:alpha val="0"/>
                </a:schemeClr>
              </a:gs>
              <a:gs pos="50000">
                <a:schemeClr val="accent1"/>
              </a:gs>
            </a:gsLst>
            <a:lin ang="5400000" scaled="0"/>
          </a:gra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100000">
                <a:schemeClr val="accent1">
                  <a:alpha val="0"/>
                </a:schemeClr>
              </a:gs>
              <a:gs pos="50000">
                <a:schemeClr val="accent1"/>
              </a:gs>
            </a:gsLst>
            <a:lin ang="5400000" scaled="0"/>
          </a:gradFill>
          <a:ln>
            <a:noFill/>
          </a:ln>
          <a:effectLst/>
          <a:sp3d/>
        </c:spP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tables'!$B$1</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'Pivot tables'!$A$2:$A$6</c:f>
              <c:strCache>
                <c:ptCount val="4"/>
                <c:pt idx="0">
                  <c:v>East</c:v>
                </c:pt>
                <c:pt idx="1">
                  <c:v>North</c:v>
                </c:pt>
                <c:pt idx="2">
                  <c:v>South</c:v>
                </c:pt>
                <c:pt idx="3">
                  <c:v>West</c:v>
                </c:pt>
              </c:strCache>
            </c:strRef>
          </c:cat>
          <c:val>
            <c:numRef>
              <c:f>'Pivot tables'!$B$2:$B$6</c:f>
              <c:numCache>
                <c:formatCode>"₹"\ #,##0.00</c:formatCode>
                <c:ptCount val="4"/>
                <c:pt idx="0">
                  <c:v>271390976.60000008</c:v>
                </c:pt>
                <c:pt idx="1">
                  <c:v>294373004.79999989</c:v>
                </c:pt>
                <c:pt idx="2">
                  <c:v>273659770.55000013</c:v>
                </c:pt>
                <c:pt idx="3">
                  <c:v>272406608.75000006</c:v>
                </c:pt>
              </c:numCache>
            </c:numRef>
          </c:val>
          <c:extLst>
            <c:ext xmlns:c16="http://schemas.microsoft.com/office/drawing/2014/chart" uri="{C3380CC4-5D6E-409C-BE32-E72D297353CC}">
              <c16:uniqueId val="{00000000-E527-4199-BD4E-25F81FCED0C2}"/>
            </c:ext>
          </c:extLst>
        </c:ser>
        <c:dLbls>
          <c:showLegendKey val="0"/>
          <c:showVal val="0"/>
          <c:showCatName val="0"/>
          <c:showSerName val="0"/>
          <c:showPercent val="0"/>
          <c:showBubbleSize val="0"/>
        </c:dLbls>
        <c:gapWidth val="150"/>
        <c:gapDepth val="0"/>
        <c:shape val="box"/>
        <c:axId val="1185408031"/>
        <c:axId val="1185416191"/>
        <c:axId val="0"/>
      </c:bar3DChart>
      <c:catAx>
        <c:axId val="1185408031"/>
        <c:scaling>
          <c:orientation val="minMax"/>
        </c:scaling>
        <c:delete val="0"/>
        <c:axPos val="b"/>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416191"/>
        <c:crosses val="autoZero"/>
        <c:auto val="1"/>
        <c:lblAlgn val="ctr"/>
        <c:lblOffset val="100"/>
        <c:noMultiLvlLbl val="0"/>
      </c:catAx>
      <c:valAx>
        <c:axId val="1185416191"/>
        <c:scaling>
          <c:orientation val="minMax"/>
        </c:scaling>
        <c:delete val="0"/>
        <c:axPos val="l"/>
        <c:majorGridlines>
          <c:spPr>
            <a:ln w="9525" cap="flat" cmpd="sng" algn="ctr">
              <a:solidFill>
                <a:schemeClr val="tx1">
                  <a:lumMod val="5000"/>
                  <a:lumOff val="95000"/>
                </a:schemeClr>
              </a:solidFill>
              <a:round/>
            </a:ln>
            <a:effectLst>
              <a:outerShdw blurRad="50800" dist="38100" dir="2700000" algn="tl" rotWithShape="0">
                <a:prstClr val="black">
                  <a:alpha val="40000"/>
                </a:prstClr>
              </a:outerShdw>
            </a:effectLst>
          </c:spPr>
        </c:majorGridlines>
        <c:numFmt formatCode="&quot;₹&quot;\ #,##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4080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sv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8</xdr:row>
      <xdr:rowOff>0</xdr:rowOff>
    </xdr:from>
    <xdr:to>
      <xdr:col>8</xdr:col>
      <xdr:colOff>4482</xdr:colOff>
      <xdr:row>25</xdr:row>
      <xdr:rowOff>11206</xdr:rowOff>
    </xdr:to>
    <xdr:graphicFrame macro="">
      <xdr:nvGraphicFramePr>
        <xdr:cNvPr id="3" name="Chart 2">
          <a:extLst>
            <a:ext uri="{FF2B5EF4-FFF2-40B4-BE49-F238E27FC236}">
              <a16:creationId xmlns:a16="http://schemas.microsoft.com/office/drawing/2014/main" id="{CFFCBC5B-FA5E-49B9-A76F-56ED0FDFE6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11206</xdr:colOff>
      <xdr:row>8</xdr:row>
      <xdr:rowOff>0</xdr:rowOff>
    </xdr:from>
    <xdr:to>
      <xdr:col>17</xdr:col>
      <xdr:colOff>11206</xdr:colOff>
      <xdr:row>25</xdr:row>
      <xdr:rowOff>0</xdr:rowOff>
    </xdr:to>
    <xdr:graphicFrame macro="">
      <xdr:nvGraphicFramePr>
        <xdr:cNvPr id="4" name="Chart 3">
          <a:extLst>
            <a:ext uri="{FF2B5EF4-FFF2-40B4-BE49-F238E27FC236}">
              <a16:creationId xmlns:a16="http://schemas.microsoft.com/office/drawing/2014/main" id="{D34D05D1-E50D-4DF8-A7FC-EB848B8B03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17</xdr:col>
      <xdr:colOff>168089</xdr:colOff>
      <xdr:row>7</xdr:row>
      <xdr:rowOff>0</xdr:rowOff>
    </xdr:from>
    <xdr:to>
      <xdr:col>26</xdr:col>
      <xdr:colOff>0</xdr:colOff>
      <xdr:row>25</xdr:row>
      <xdr:rowOff>0</xdr:rowOff>
    </xdr:to>
    <xdr:graphicFrame macro="">
      <xdr:nvGraphicFramePr>
        <xdr:cNvPr id="5" name="Chart 4">
          <a:extLst>
            <a:ext uri="{FF2B5EF4-FFF2-40B4-BE49-F238E27FC236}">
              <a16:creationId xmlns:a16="http://schemas.microsoft.com/office/drawing/2014/main" id="{85B9FD71-1583-4286-887B-36A9B49CAD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0</xdr:row>
      <xdr:rowOff>0</xdr:rowOff>
    </xdr:from>
    <xdr:to>
      <xdr:col>8</xdr:col>
      <xdr:colOff>0</xdr:colOff>
      <xdr:row>3</xdr:row>
      <xdr:rowOff>0</xdr:rowOff>
    </xdr:to>
    <xdr:sp macro="" textlink="">
      <xdr:nvSpPr>
        <xdr:cNvPr id="6" name="Rectangle 5">
          <a:extLst>
            <a:ext uri="{FF2B5EF4-FFF2-40B4-BE49-F238E27FC236}">
              <a16:creationId xmlns:a16="http://schemas.microsoft.com/office/drawing/2014/main" id="{8CBA2409-206C-8EA9-635B-3711CA566029}"/>
            </a:ext>
          </a:extLst>
        </xdr:cNvPr>
        <xdr:cNvSpPr/>
      </xdr:nvSpPr>
      <xdr:spPr>
        <a:xfrm>
          <a:off x="0" y="0"/>
          <a:ext cx="5266765" cy="571500"/>
        </a:xfrm>
        <a:prstGeom prst="rect">
          <a:avLst/>
        </a:prstGeom>
        <a:solidFill>
          <a:schemeClr val="accent5">
            <a:lumMod val="60000"/>
            <a:lumOff val="40000"/>
          </a:schemeClr>
        </a:solidFill>
        <a:ln>
          <a:solidFill>
            <a:schemeClr val="tx2">
              <a:lumMod val="50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a:t>
          </a:r>
        </a:p>
      </xdr:txBody>
    </xdr:sp>
    <xdr:clientData/>
  </xdr:twoCellAnchor>
  <xdr:twoCellAnchor>
    <xdr:from>
      <xdr:col>0</xdr:col>
      <xdr:colOff>0</xdr:colOff>
      <xdr:row>0</xdr:row>
      <xdr:rowOff>0</xdr:rowOff>
    </xdr:from>
    <xdr:to>
      <xdr:col>6</xdr:col>
      <xdr:colOff>1</xdr:colOff>
      <xdr:row>3</xdr:row>
      <xdr:rowOff>0</xdr:rowOff>
    </xdr:to>
    <xdr:sp macro="" textlink="">
      <xdr:nvSpPr>
        <xdr:cNvPr id="7" name="TextBox 6">
          <a:extLst>
            <a:ext uri="{FF2B5EF4-FFF2-40B4-BE49-F238E27FC236}">
              <a16:creationId xmlns:a16="http://schemas.microsoft.com/office/drawing/2014/main" id="{97055C4A-C804-6A74-8B1C-A0253D8988E0}"/>
            </a:ext>
          </a:extLst>
        </xdr:cNvPr>
        <xdr:cNvSpPr txBox="1"/>
      </xdr:nvSpPr>
      <xdr:spPr>
        <a:xfrm>
          <a:off x="280147" y="0"/>
          <a:ext cx="3630707" cy="571500"/>
        </a:xfrm>
        <a:prstGeom prst="rect">
          <a:avLst/>
        </a:prstGeom>
        <a:solidFill>
          <a:schemeClr val="accent5">
            <a:lumMod val="60000"/>
            <a:lumOff val="40000"/>
          </a:schemeClr>
        </a:solidFill>
        <a:ln w="95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a:solidFill>
                <a:schemeClr val="tx1">
                  <a:lumMod val="85000"/>
                  <a:lumOff val="15000"/>
                </a:schemeClr>
              </a:solidFill>
            </a:rPr>
            <a:t>Sales Data Report</a:t>
          </a:r>
        </a:p>
      </xdr:txBody>
    </xdr:sp>
    <xdr:clientData/>
  </xdr:twoCellAnchor>
  <xdr:twoCellAnchor editAs="oneCell">
    <xdr:from>
      <xdr:col>8</xdr:col>
      <xdr:colOff>190499</xdr:colOff>
      <xdr:row>0</xdr:row>
      <xdr:rowOff>22412</xdr:rowOff>
    </xdr:from>
    <xdr:to>
      <xdr:col>16</xdr:col>
      <xdr:colOff>605117</xdr:colOff>
      <xdr:row>7</xdr:row>
      <xdr:rowOff>0</xdr:rowOff>
    </xdr:to>
    <mc:AlternateContent xmlns:mc="http://schemas.openxmlformats.org/markup-compatibility/2006">
      <mc:Choice xmlns:tsle="http://schemas.microsoft.com/office/drawing/2012/timeslicer" Requires="tsle">
        <xdr:graphicFrame macro="">
          <xdr:nvGraphicFramePr>
            <xdr:cNvPr id="10" name="Date">
              <a:extLst>
                <a:ext uri="{FF2B5EF4-FFF2-40B4-BE49-F238E27FC236}">
                  <a16:creationId xmlns:a16="http://schemas.microsoft.com/office/drawing/2014/main" id="{F149F39F-A72B-42C5-9DD2-9737D2CDE81C}"/>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5457264" y="22412"/>
              <a:ext cx="4840941" cy="13335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6</xdr:col>
      <xdr:colOff>0</xdr:colOff>
      <xdr:row>2</xdr:row>
      <xdr:rowOff>0</xdr:rowOff>
    </xdr:from>
    <xdr:to>
      <xdr:col>8</xdr:col>
      <xdr:colOff>0</xdr:colOff>
      <xdr:row>3</xdr:row>
      <xdr:rowOff>0</xdr:rowOff>
    </xdr:to>
    <xdr:sp macro="" textlink="">
      <xdr:nvSpPr>
        <xdr:cNvPr id="12" name="TextBox 11">
          <a:extLst>
            <a:ext uri="{FF2B5EF4-FFF2-40B4-BE49-F238E27FC236}">
              <a16:creationId xmlns:a16="http://schemas.microsoft.com/office/drawing/2014/main" id="{D6C9946E-C856-FE55-7A28-4BC116E98F5B}"/>
            </a:ext>
          </a:extLst>
        </xdr:cNvPr>
        <xdr:cNvSpPr txBox="1"/>
      </xdr:nvSpPr>
      <xdr:spPr>
        <a:xfrm>
          <a:off x="3978088" y="381000"/>
          <a:ext cx="1288677" cy="201706"/>
        </a:xfrm>
        <a:prstGeom prst="rect">
          <a:avLst/>
        </a:prstGeom>
        <a:solidFill>
          <a:schemeClr val="accent5">
            <a:lumMod val="60000"/>
            <a:lumOff val="40000"/>
          </a:schemeClr>
        </a:solidFill>
        <a:ln w="95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(2023-2028)</a:t>
          </a:r>
        </a:p>
        <a:p>
          <a:endParaRPr lang="en-IN" sz="1100"/>
        </a:p>
      </xdr:txBody>
    </xdr:sp>
    <xdr:clientData/>
  </xdr:twoCellAnchor>
  <xdr:twoCellAnchor editAs="oneCell">
    <xdr:from>
      <xdr:col>0</xdr:col>
      <xdr:colOff>0</xdr:colOff>
      <xdr:row>0</xdr:row>
      <xdr:rowOff>0</xdr:rowOff>
    </xdr:from>
    <xdr:to>
      <xdr:col>1</xdr:col>
      <xdr:colOff>248613</xdr:colOff>
      <xdr:row>2</xdr:row>
      <xdr:rowOff>201705</xdr:rowOff>
    </xdr:to>
    <xdr:pic>
      <xdr:nvPicPr>
        <xdr:cNvPr id="15" name="Graphic 14" descr="Upward trend with solid fill">
          <a:extLst>
            <a:ext uri="{FF2B5EF4-FFF2-40B4-BE49-F238E27FC236}">
              <a16:creationId xmlns:a16="http://schemas.microsoft.com/office/drawing/2014/main" id="{9FBBCDBD-66A7-85BF-9A88-D73F82614EB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0" y="0"/>
          <a:ext cx="853731" cy="582705"/>
        </a:xfrm>
        <a:prstGeom prst="rect">
          <a:avLst/>
        </a:prstGeom>
      </xdr:spPr>
    </xdr:pic>
    <xdr:clientData/>
  </xdr:twoCellAnchor>
  <xdr:twoCellAnchor>
    <xdr:from>
      <xdr:col>6</xdr:col>
      <xdr:colOff>0</xdr:colOff>
      <xdr:row>0</xdr:row>
      <xdr:rowOff>0</xdr:rowOff>
    </xdr:from>
    <xdr:to>
      <xdr:col>8</xdr:col>
      <xdr:colOff>0</xdr:colOff>
      <xdr:row>2</xdr:row>
      <xdr:rowOff>0</xdr:rowOff>
    </xdr:to>
    <xdr:sp macro="" textlink="">
      <xdr:nvSpPr>
        <xdr:cNvPr id="16" name="TextBox 15">
          <a:extLst>
            <a:ext uri="{FF2B5EF4-FFF2-40B4-BE49-F238E27FC236}">
              <a16:creationId xmlns:a16="http://schemas.microsoft.com/office/drawing/2014/main" id="{69FDB99F-0ACD-78D4-00F9-5B7F3F00B2F6}"/>
            </a:ext>
          </a:extLst>
        </xdr:cNvPr>
        <xdr:cNvSpPr txBox="1"/>
      </xdr:nvSpPr>
      <xdr:spPr>
        <a:xfrm>
          <a:off x="3978088" y="0"/>
          <a:ext cx="1288677" cy="381000"/>
        </a:xfrm>
        <a:prstGeom prst="rect">
          <a:avLst/>
        </a:prstGeom>
        <a:solidFill>
          <a:schemeClr val="accent5">
            <a:lumMod val="60000"/>
            <a:lumOff val="40000"/>
          </a:schemeClr>
        </a:solidFill>
        <a:ln w="9525" cmpd="sng">
          <a:solidFill>
            <a:schemeClr val="tx2">
              <a:lumMod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n-IN" sz="1200"/>
            <a:t>Timeline:</a:t>
          </a:r>
        </a:p>
      </xdr:txBody>
    </xdr:sp>
    <xdr:clientData/>
  </xdr:twoCellAnchor>
  <xdr:twoCellAnchor editAs="oneCell">
    <xdr:from>
      <xdr:col>18</xdr:col>
      <xdr:colOff>0</xdr:colOff>
      <xdr:row>0</xdr:row>
      <xdr:rowOff>0</xdr:rowOff>
    </xdr:from>
    <xdr:to>
      <xdr:col>26</xdr:col>
      <xdr:colOff>0</xdr:colOff>
      <xdr:row>6</xdr:row>
      <xdr:rowOff>0</xdr:rowOff>
    </xdr:to>
    <mc:AlternateContent xmlns:mc="http://schemas.openxmlformats.org/markup-compatibility/2006">
      <mc:Choice xmlns:a14="http://schemas.microsoft.com/office/drawing/2010/main" Requires="a14">
        <xdr:graphicFrame macro="">
          <xdr:nvGraphicFramePr>
            <xdr:cNvPr id="17" name="Salesperson">
              <a:extLst>
                <a:ext uri="{FF2B5EF4-FFF2-40B4-BE49-F238E27FC236}">
                  <a16:creationId xmlns:a16="http://schemas.microsoft.com/office/drawing/2014/main" id="{9D14F9E1-244D-4524-A68B-673FF10A0A49}"/>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0477500" y="0"/>
              <a:ext cx="4448735" cy="11542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87.679686574076" createdVersion="8" refreshedVersion="8" minRefreshableVersion="3" recordCount="2000" xr:uid="{11EDC096-AFD6-4CAB-AE3C-15DBEAEC679F}">
  <cacheSource type="worksheet">
    <worksheetSource name="Data"/>
  </cacheSource>
  <cacheFields count="13">
    <cacheField name="Date" numFmtId="14">
      <sharedItems containsSemiMixedTypes="0" containsNonDate="0" containsDate="1" containsString="0" minDate="2023-01-01T00:00:00" maxDate="2028-06-23T00:00:00" count="2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d v="2026-01-01T00:00:00"/>
        <d v="2026-01-02T00:00:00"/>
        <d v="2026-01-03T00:00:00"/>
        <d v="2026-01-04T00:00:00"/>
        <d v="2026-01-05T00:00:00"/>
        <d v="2026-01-06T00:00:00"/>
        <d v="2026-01-07T00:00:00"/>
        <d v="2026-01-08T00:00:00"/>
        <d v="2026-01-09T00:00:00"/>
        <d v="2026-01-10T00:00:00"/>
        <d v="2026-01-11T00:00:00"/>
        <d v="2026-01-12T00:00:00"/>
        <d v="2026-01-13T00:00:00"/>
        <d v="2026-01-14T00:00:00"/>
        <d v="2026-01-15T00:00:00"/>
        <d v="2026-01-16T00:00:00"/>
        <d v="2026-01-17T00:00:00"/>
        <d v="2026-01-18T00:00:00"/>
        <d v="2026-01-19T00:00:00"/>
        <d v="2026-01-20T00:00:00"/>
        <d v="2026-01-21T00:00:00"/>
        <d v="2026-01-22T00:00:00"/>
        <d v="2026-01-23T00:00:00"/>
        <d v="2026-01-24T00:00:00"/>
        <d v="2026-01-25T00:00:00"/>
        <d v="2026-01-26T00:00:00"/>
        <d v="2026-01-27T00:00:00"/>
        <d v="2026-01-28T00:00:00"/>
        <d v="2026-01-29T00:00:00"/>
        <d v="2026-01-30T00:00:00"/>
        <d v="2026-01-31T00:00:00"/>
        <d v="2026-02-01T00:00:00"/>
        <d v="2026-02-02T00:00:00"/>
        <d v="2026-02-03T00:00:00"/>
        <d v="2026-02-04T00:00:00"/>
        <d v="2026-02-05T00:00:00"/>
        <d v="2026-02-06T00:00:00"/>
        <d v="2026-02-07T00:00:00"/>
        <d v="2026-02-08T00:00:00"/>
        <d v="2026-02-09T00:00:00"/>
        <d v="2026-02-10T00:00:00"/>
        <d v="2026-02-11T00:00:00"/>
        <d v="2026-02-12T00:00:00"/>
        <d v="2026-02-13T00:00:00"/>
        <d v="2026-02-14T00:00:00"/>
        <d v="2026-02-15T00:00:00"/>
        <d v="2026-02-16T00:00:00"/>
        <d v="2026-02-17T00:00:00"/>
        <d v="2026-02-18T00:00:00"/>
        <d v="2026-02-19T00:00:00"/>
        <d v="2026-02-20T00:00:00"/>
        <d v="2026-02-21T00:00:00"/>
        <d v="2026-02-22T00:00:00"/>
        <d v="2026-02-23T00:00:00"/>
        <d v="2026-02-24T00:00:00"/>
        <d v="2026-02-25T00:00:00"/>
        <d v="2026-02-26T00:00:00"/>
        <d v="2026-02-27T00:00:00"/>
        <d v="2026-02-28T00:00:00"/>
        <d v="2026-03-01T00:00:00"/>
        <d v="2026-03-02T00:00:00"/>
        <d v="2026-03-03T00:00:00"/>
        <d v="2026-03-04T00:00:00"/>
        <d v="2026-03-05T00:00:00"/>
        <d v="2026-03-06T00:00:00"/>
        <d v="2026-03-07T00:00:00"/>
        <d v="2026-03-08T00:00:00"/>
        <d v="2026-03-09T00:00:00"/>
        <d v="2026-03-10T00:00:00"/>
        <d v="2026-03-11T00:00:00"/>
        <d v="2026-03-12T00:00:00"/>
        <d v="2026-03-13T00:00:00"/>
        <d v="2026-03-14T00:00:00"/>
        <d v="2026-03-15T00:00:00"/>
        <d v="2026-03-16T00:00:00"/>
        <d v="2026-03-17T00:00:00"/>
        <d v="2026-03-18T00:00:00"/>
        <d v="2026-03-19T00:00:00"/>
        <d v="2026-03-20T00:00:00"/>
        <d v="2026-03-21T00:00:00"/>
        <d v="2026-03-22T00:00:00"/>
        <d v="2026-03-23T00:00:00"/>
        <d v="2026-03-24T00:00:00"/>
        <d v="2026-03-25T00:00:00"/>
        <d v="2026-03-26T00:00:00"/>
        <d v="2026-03-27T00:00:00"/>
        <d v="2026-03-28T00:00:00"/>
        <d v="2026-03-29T00:00:00"/>
        <d v="2026-03-30T00:00:00"/>
        <d v="2026-03-31T00:00:00"/>
        <d v="2026-04-01T00:00:00"/>
        <d v="2026-04-02T00:00:00"/>
        <d v="2026-04-03T00:00:00"/>
        <d v="2026-04-04T00:00:00"/>
        <d v="2026-04-05T00:00:00"/>
        <d v="2026-04-06T00:00:00"/>
        <d v="2026-04-07T00:00:00"/>
        <d v="2026-04-08T00:00:00"/>
        <d v="2026-04-09T00:00:00"/>
        <d v="2026-04-10T00:00:00"/>
        <d v="2026-04-11T00:00:00"/>
        <d v="2026-04-12T00:00:00"/>
        <d v="2026-04-13T00:00:00"/>
        <d v="2026-04-14T00:00:00"/>
        <d v="2026-04-15T00:00:00"/>
        <d v="2026-04-16T00:00:00"/>
        <d v="2026-04-17T00:00:00"/>
        <d v="2026-04-18T00:00:00"/>
        <d v="2026-04-19T00:00:00"/>
        <d v="2026-04-20T00:00:00"/>
        <d v="2026-04-21T00:00:00"/>
        <d v="2026-04-22T00:00:00"/>
        <d v="2026-04-23T00:00:00"/>
        <d v="2026-04-24T00:00:00"/>
        <d v="2026-04-25T00:00:00"/>
        <d v="2026-04-26T00:00:00"/>
        <d v="2026-04-27T00:00:00"/>
        <d v="2026-04-28T00:00:00"/>
        <d v="2026-04-29T00:00:00"/>
        <d v="2026-04-30T00:00:00"/>
        <d v="2026-05-01T00:00:00"/>
        <d v="2026-05-02T00:00:00"/>
        <d v="2026-05-03T00:00:00"/>
        <d v="2026-05-04T00:00:00"/>
        <d v="2026-05-05T00:00:00"/>
        <d v="2026-05-06T00:00:00"/>
        <d v="2026-05-07T00:00:00"/>
        <d v="2026-05-08T00:00:00"/>
        <d v="2026-05-09T00:00:00"/>
        <d v="2026-05-10T00:00:00"/>
        <d v="2026-05-11T00:00:00"/>
        <d v="2026-05-12T00:00:00"/>
        <d v="2026-05-13T00:00:00"/>
        <d v="2026-05-14T00:00:00"/>
        <d v="2026-05-15T00:00:00"/>
        <d v="2026-05-16T00:00:00"/>
        <d v="2026-05-17T00:00:00"/>
        <d v="2026-05-18T00:00:00"/>
        <d v="2026-05-19T00:00:00"/>
        <d v="2026-05-20T00:00:00"/>
        <d v="2026-05-21T00:00:00"/>
        <d v="2026-05-22T00:00:00"/>
        <d v="2026-05-23T00:00:00"/>
        <d v="2026-05-24T00:00:00"/>
        <d v="2026-05-25T00:00:00"/>
        <d v="2026-05-26T00:00:00"/>
        <d v="2026-05-27T00:00:00"/>
        <d v="2026-05-28T00:00:00"/>
        <d v="2026-05-29T00:00:00"/>
        <d v="2026-05-30T00:00:00"/>
        <d v="2026-05-31T00:00:00"/>
        <d v="2026-06-01T00:00:00"/>
        <d v="2026-06-02T00:00:00"/>
        <d v="2026-06-03T00:00:00"/>
        <d v="2026-06-04T00:00:00"/>
        <d v="2026-06-05T00:00:00"/>
        <d v="2026-06-06T00:00:00"/>
        <d v="2026-06-07T00:00:00"/>
        <d v="2026-06-08T00:00:00"/>
        <d v="2026-06-09T00:00:00"/>
        <d v="2026-06-10T00:00:00"/>
        <d v="2026-06-11T00:00:00"/>
        <d v="2026-06-12T00:00:00"/>
        <d v="2026-06-13T00:00:00"/>
        <d v="2026-06-14T00:00:00"/>
        <d v="2026-06-15T00:00:00"/>
        <d v="2026-06-16T00:00:00"/>
        <d v="2026-06-17T00:00:00"/>
        <d v="2026-06-18T00:00:00"/>
        <d v="2026-06-19T00:00:00"/>
        <d v="2026-06-20T00:00:00"/>
        <d v="2026-06-21T00:00:00"/>
        <d v="2026-06-22T00:00:00"/>
        <d v="2026-06-23T00:00:00"/>
        <d v="2026-06-24T00:00:00"/>
        <d v="2026-06-25T00:00:00"/>
        <d v="2026-06-26T00:00:00"/>
        <d v="2026-06-27T00:00:00"/>
        <d v="2026-06-28T00:00:00"/>
        <d v="2026-06-29T00:00:00"/>
        <d v="2026-06-30T00:00:00"/>
        <d v="2026-07-01T00:00:00"/>
        <d v="2026-07-02T00:00:00"/>
        <d v="2026-07-03T00:00:00"/>
        <d v="2026-07-04T00:00:00"/>
        <d v="2026-07-05T00:00:00"/>
        <d v="2026-07-06T00:00:00"/>
        <d v="2026-07-07T00:00:00"/>
        <d v="2026-07-08T00:00:00"/>
        <d v="2026-07-09T00:00:00"/>
        <d v="2026-07-10T00:00:00"/>
        <d v="2026-07-11T00:00:00"/>
        <d v="2026-07-12T00:00:00"/>
        <d v="2026-07-13T00:00:00"/>
        <d v="2026-07-14T00:00:00"/>
        <d v="2026-07-15T00:00:00"/>
        <d v="2026-07-16T00:00:00"/>
        <d v="2026-07-17T00:00:00"/>
        <d v="2026-07-18T00:00:00"/>
        <d v="2026-07-19T00:00:00"/>
        <d v="2026-07-20T00:00:00"/>
        <d v="2026-07-21T00:00:00"/>
        <d v="2026-07-22T00:00:00"/>
        <d v="2026-07-23T00:00:00"/>
        <d v="2026-07-24T00:00:00"/>
        <d v="2026-07-25T00:00:00"/>
        <d v="2026-07-26T00:00:00"/>
        <d v="2026-07-27T00:00:00"/>
        <d v="2026-07-28T00:00:00"/>
        <d v="2026-07-29T00:00:00"/>
        <d v="2026-07-30T00:00:00"/>
        <d v="2026-07-31T00:00:00"/>
        <d v="2026-08-01T00:00:00"/>
        <d v="2026-08-02T00:00:00"/>
        <d v="2026-08-03T00:00:00"/>
        <d v="2026-08-04T00:00:00"/>
        <d v="2026-08-05T00:00:00"/>
        <d v="2026-08-06T00:00:00"/>
        <d v="2026-08-07T00:00:00"/>
        <d v="2026-08-08T00:00:00"/>
        <d v="2026-08-09T00:00:00"/>
        <d v="2026-08-10T00:00:00"/>
        <d v="2026-08-11T00:00:00"/>
        <d v="2026-08-12T00:00:00"/>
        <d v="2026-08-13T00:00:00"/>
        <d v="2026-08-14T00:00:00"/>
        <d v="2026-08-15T00:00:00"/>
        <d v="2026-08-16T00:00:00"/>
        <d v="2026-08-17T00:00:00"/>
        <d v="2026-08-18T00:00:00"/>
        <d v="2026-08-19T00:00:00"/>
        <d v="2026-08-20T00:00:00"/>
        <d v="2026-08-21T00:00:00"/>
        <d v="2026-08-22T00:00:00"/>
        <d v="2026-08-23T00:00:00"/>
        <d v="2026-08-24T00:00:00"/>
        <d v="2026-08-25T00:00:00"/>
        <d v="2026-08-26T00:00:00"/>
        <d v="2026-08-27T00:00:00"/>
        <d v="2026-08-28T00:00:00"/>
        <d v="2026-08-29T00:00:00"/>
        <d v="2026-08-30T00:00:00"/>
        <d v="2026-08-31T00:00:00"/>
        <d v="2026-09-01T00:00:00"/>
        <d v="2026-09-02T00:00:00"/>
        <d v="2026-09-03T00:00:00"/>
        <d v="2026-09-04T00:00:00"/>
        <d v="2026-09-05T00:00:00"/>
        <d v="2026-09-06T00:00:00"/>
        <d v="2026-09-07T00:00:00"/>
        <d v="2026-09-08T00:00:00"/>
        <d v="2026-09-09T00:00:00"/>
        <d v="2026-09-10T00:00:00"/>
        <d v="2026-09-11T00:00:00"/>
        <d v="2026-09-12T00:00:00"/>
        <d v="2026-09-13T00:00:00"/>
        <d v="2026-09-14T00:00:00"/>
        <d v="2026-09-15T00:00:00"/>
        <d v="2026-09-16T00:00:00"/>
        <d v="2026-09-17T00:00:00"/>
        <d v="2026-09-18T00:00:00"/>
        <d v="2026-09-19T00:00:00"/>
        <d v="2026-09-20T00:00:00"/>
        <d v="2026-09-21T00:00:00"/>
        <d v="2026-09-22T00:00:00"/>
        <d v="2026-09-23T00:00:00"/>
        <d v="2026-09-24T00:00:00"/>
        <d v="2026-09-25T00:00:00"/>
        <d v="2026-09-26T00:00:00"/>
        <d v="2026-09-27T00:00:00"/>
        <d v="2026-09-28T00:00:00"/>
        <d v="2026-09-29T00:00:00"/>
        <d v="2026-09-30T00:00:00"/>
        <d v="2026-10-01T00:00:00"/>
        <d v="2026-10-02T00:00:00"/>
        <d v="2026-10-03T00:00:00"/>
        <d v="2026-10-04T00:00:00"/>
        <d v="2026-10-05T00:00:00"/>
        <d v="2026-10-06T00:00:00"/>
        <d v="2026-10-07T00:00:00"/>
        <d v="2026-10-08T00:00:00"/>
        <d v="2026-10-09T00:00:00"/>
        <d v="2026-10-10T00:00:00"/>
        <d v="2026-10-11T00:00:00"/>
        <d v="2026-10-12T00:00:00"/>
        <d v="2026-10-13T00:00:00"/>
        <d v="2026-10-14T00:00:00"/>
        <d v="2026-10-15T00:00:00"/>
        <d v="2026-10-16T00:00:00"/>
        <d v="2026-10-17T00:00:00"/>
        <d v="2026-10-18T00:00:00"/>
        <d v="2026-10-19T00:00:00"/>
        <d v="2026-10-20T00:00:00"/>
        <d v="2026-10-21T00:00:00"/>
        <d v="2026-10-22T00:00:00"/>
        <d v="2026-10-23T00:00:00"/>
        <d v="2026-10-24T00:00:00"/>
        <d v="2026-10-25T00:00:00"/>
        <d v="2026-10-26T00:00:00"/>
        <d v="2026-10-27T00:00:00"/>
        <d v="2026-10-28T00:00:00"/>
        <d v="2026-10-29T00:00:00"/>
        <d v="2026-10-30T00:00:00"/>
        <d v="2026-10-31T00:00:00"/>
        <d v="2026-11-01T00:00:00"/>
        <d v="2026-11-02T00:00:00"/>
        <d v="2026-11-03T00:00:00"/>
        <d v="2026-11-04T00:00:00"/>
        <d v="2026-11-05T00:00:00"/>
        <d v="2026-11-06T00:00:00"/>
        <d v="2026-11-07T00:00:00"/>
        <d v="2026-11-08T00:00:00"/>
        <d v="2026-11-09T00:00:00"/>
        <d v="2026-11-10T00:00:00"/>
        <d v="2026-11-11T00:00:00"/>
        <d v="2026-11-12T00:00:00"/>
        <d v="2026-11-13T00:00:00"/>
        <d v="2026-11-14T00:00:00"/>
        <d v="2026-11-15T00:00:00"/>
        <d v="2026-11-16T00:00:00"/>
        <d v="2026-11-17T00:00:00"/>
        <d v="2026-11-18T00:00:00"/>
        <d v="2026-11-19T00:00:00"/>
        <d v="2026-11-20T00:00:00"/>
        <d v="2026-11-21T00:00:00"/>
        <d v="2026-11-22T00:00:00"/>
        <d v="2026-11-23T00:00:00"/>
        <d v="2026-11-24T00:00:00"/>
        <d v="2026-11-25T00:00:00"/>
        <d v="2026-11-26T00:00:00"/>
        <d v="2026-11-27T00:00:00"/>
        <d v="2026-11-28T00:00:00"/>
        <d v="2026-11-29T00:00:00"/>
        <d v="2026-11-30T00:00:00"/>
        <d v="2026-12-01T00:00:00"/>
        <d v="2026-12-02T00:00:00"/>
        <d v="2026-12-03T00:00:00"/>
        <d v="2026-12-04T00:00:00"/>
        <d v="2026-12-05T00:00:00"/>
        <d v="2026-12-06T00:00:00"/>
        <d v="2026-12-07T00:00:00"/>
        <d v="2026-12-08T00:00:00"/>
        <d v="2026-12-09T00:00:00"/>
        <d v="2026-12-10T00:00:00"/>
        <d v="2026-12-11T00:00:00"/>
        <d v="2026-12-12T00:00:00"/>
        <d v="2026-12-13T00:00:00"/>
        <d v="2026-12-14T00:00:00"/>
        <d v="2026-12-15T00:00:00"/>
        <d v="2026-12-16T00:00:00"/>
        <d v="2026-12-17T00:00:00"/>
        <d v="2026-12-18T00:00:00"/>
        <d v="2026-12-19T00:00:00"/>
        <d v="2026-12-20T00:00:00"/>
        <d v="2026-12-21T00:00:00"/>
        <d v="2026-12-22T00:00:00"/>
        <d v="2026-12-23T00:00:00"/>
        <d v="2026-12-24T00:00:00"/>
        <d v="2026-12-25T00:00:00"/>
        <d v="2026-12-26T00:00:00"/>
        <d v="2026-12-27T00:00:00"/>
        <d v="2026-12-28T00:00:00"/>
        <d v="2026-12-29T00:00:00"/>
        <d v="2026-12-30T00:00:00"/>
        <d v="2026-12-31T00:00:00"/>
        <d v="2027-01-01T00:00:00"/>
        <d v="2027-01-02T00:00:00"/>
        <d v="2027-01-03T00:00:00"/>
        <d v="2027-01-04T00:00:00"/>
        <d v="2027-01-05T00:00:00"/>
        <d v="2027-01-06T00:00:00"/>
        <d v="2027-01-07T00:00:00"/>
        <d v="2027-01-08T00:00:00"/>
        <d v="2027-01-09T00:00:00"/>
        <d v="2027-01-10T00:00:00"/>
        <d v="2027-01-11T00:00:00"/>
        <d v="2027-01-12T00:00:00"/>
        <d v="2027-01-13T00:00:00"/>
        <d v="2027-01-14T00:00:00"/>
        <d v="2027-01-15T00:00:00"/>
        <d v="2027-01-16T00:00:00"/>
        <d v="2027-01-17T00:00:00"/>
        <d v="2027-01-18T00:00:00"/>
        <d v="2027-01-19T00:00:00"/>
        <d v="2027-01-20T00:00:00"/>
        <d v="2027-01-21T00:00:00"/>
        <d v="2027-01-22T00:00:00"/>
        <d v="2027-01-23T00:00:00"/>
        <d v="2027-01-24T00:00:00"/>
        <d v="2027-01-25T00:00:00"/>
        <d v="2027-01-26T00:00:00"/>
        <d v="2027-01-27T00:00:00"/>
        <d v="2027-01-28T00:00:00"/>
        <d v="2027-01-29T00:00:00"/>
        <d v="2027-01-30T00:00:00"/>
        <d v="2027-01-31T00:00:00"/>
        <d v="2027-02-01T00:00:00"/>
        <d v="2027-02-02T00:00:00"/>
        <d v="2027-02-03T00:00:00"/>
        <d v="2027-02-04T00:00:00"/>
        <d v="2027-02-05T00:00:00"/>
        <d v="2027-02-06T00:00:00"/>
        <d v="2027-02-07T00:00:00"/>
        <d v="2027-02-08T00:00:00"/>
        <d v="2027-02-09T00:00:00"/>
        <d v="2027-02-10T00:00:00"/>
        <d v="2027-02-11T00:00:00"/>
        <d v="2027-02-12T00:00:00"/>
        <d v="2027-02-13T00:00:00"/>
        <d v="2027-02-14T00:00:00"/>
        <d v="2027-02-15T00:00:00"/>
        <d v="2027-02-16T00:00:00"/>
        <d v="2027-02-17T00:00:00"/>
        <d v="2027-02-18T00:00:00"/>
        <d v="2027-02-19T00:00:00"/>
        <d v="2027-02-20T00:00:00"/>
        <d v="2027-02-21T00:00:00"/>
        <d v="2027-02-22T00:00:00"/>
        <d v="2027-02-23T00:00:00"/>
        <d v="2027-02-24T00:00:00"/>
        <d v="2027-02-25T00:00:00"/>
        <d v="2027-02-26T00:00:00"/>
        <d v="2027-02-27T00:00:00"/>
        <d v="2027-02-28T00:00:00"/>
        <d v="2027-03-01T00:00:00"/>
        <d v="2027-03-02T00:00:00"/>
        <d v="2027-03-03T00:00:00"/>
        <d v="2027-03-04T00:00:00"/>
        <d v="2027-03-05T00:00:00"/>
        <d v="2027-03-06T00:00:00"/>
        <d v="2027-03-07T00:00:00"/>
        <d v="2027-03-08T00:00:00"/>
        <d v="2027-03-09T00:00:00"/>
        <d v="2027-03-10T00:00:00"/>
        <d v="2027-03-11T00:00:00"/>
        <d v="2027-03-12T00:00:00"/>
        <d v="2027-03-13T00:00:00"/>
        <d v="2027-03-14T00:00:00"/>
        <d v="2027-03-15T00:00:00"/>
        <d v="2027-03-16T00:00:00"/>
        <d v="2027-03-17T00:00:00"/>
        <d v="2027-03-18T00:00:00"/>
        <d v="2027-03-19T00:00:00"/>
        <d v="2027-03-20T00:00:00"/>
        <d v="2027-03-21T00:00:00"/>
        <d v="2027-03-22T00:00:00"/>
        <d v="2027-03-23T00:00:00"/>
        <d v="2027-03-24T00:00:00"/>
        <d v="2027-03-25T00:00:00"/>
        <d v="2027-03-26T00:00:00"/>
        <d v="2027-03-27T00:00:00"/>
        <d v="2027-03-28T00:00:00"/>
        <d v="2027-03-29T00:00:00"/>
        <d v="2027-03-30T00:00:00"/>
        <d v="2027-03-31T00:00:00"/>
        <d v="2027-04-01T00:00:00"/>
        <d v="2027-04-02T00:00:00"/>
        <d v="2027-04-03T00:00:00"/>
        <d v="2027-04-04T00:00:00"/>
        <d v="2027-04-05T00:00:00"/>
        <d v="2027-04-06T00:00:00"/>
        <d v="2027-04-07T00:00:00"/>
        <d v="2027-04-08T00:00:00"/>
        <d v="2027-04-09T00:00:00"/>
        <d v="2027-04-10T00:00:00"/>
        <d v="2027-04-11T00:00:00"/>
        <d v="2027-04-12T00:00:00"/>
        <d v="2027-04-13T00:00:00"/>
        <d v="2027-04-14T00:00:00"/>
        <d v="2027-04-15T00:00:00"/>
        <d v="2027-04-16T00:00:00"/>
        <d v="2027-04-17T00:00:00"/>
        <d v="2027-04-18T00:00:00"/>
        <d v="2027-04-19T00:00:00"/>
        <d v="2027-04-20T00:00:00"/>
        <d v="2027-04-21T00:00:00"/>
        <d v="2027-04-22T00:00:00"/>
        <d v="2027-04-23T00:00:00"/>
        <d v="2027-04-24T00:00:00"/>
        <d v="2027-04-25T00:00:00"/>
        <d v="2027-04-26T00:00:00"/>
        <d v="2027-04-27T00:00:00"/>
        <d v="2027-04-28T00:00:00"/>
        <d v="2027-04-29T00:00:00"/>
        <d v="2027-04-30T00:00:00"/>
        <d v="2027-05-01T00:00:00"/>
        <d v="2027-05-02T00:00:00"/>
        <d v="2027-05-03T00:00:00"/>
        <d v="2027-05-04T00:00:00"/>
        <d v="2027-05-05T00:00:00"/>
        <d v="2027-05-06T00:00:00"/>
        <d v="2027-05-07T00:00:00"/>
        <d v="2027-05-08T00:00:00"/>
        <d v="2027-05-09T00:00:00"/>
        <d v="2027-05-10T00:00:00"/>
        <d v="2027-05-11T00:00:00"/>
        <d v="2027-05-12T00:00:00"/>
        <d v="2027-05-13T00:00:00"/>
        <d v="2027-05-14T00:00:00"/>
        <d v="2027-05-15T00:00:00"/>
        <d v="2027-05-16T00:00:00"/>
        <d v="2027-05-17T00:00:00"/>
        <d v="2027-05-18T00:00:00"/>
        <d v="2027-05-19T00:00:00"/>
        <d v="2027-05-20T00:00:00"/>
        <d v="2027-05-21T00:00:00"/>
        <d v="2027-05-22T00:00:00"/>
        <d v="2027-05-23T00:00:00"/>
        <d v="2027-05-24T00:00:00"/>
        <d v="2027-05-25T00:00:00"/>
        <d v="2027-05-26T00:00:00"/>
        <d v="2027-05-27T00:00:00"/>
        <d v="2027-05-28T00:00:00"/>
        <d v="2027-05-29T00:00:00"/>
        <d v="2027-05-30T00:00:00"/>
        <d v="2027-05-31T00:00:00"/>
        <d v="2027-06-01T00:00:00"/>
        <d v="2027-06-02T00:00:00"/>
        <d v="2027-06-03T00:00:00"/>
        <d v="2027-06-04T00:00:00"/>
        <d v="2027-06-05T00:00:00"/>
        <d v="2027-06-06T00:00:00"/>
        <d v="2027-06-07T00:00:00"/>
        <d v="2027-06-08T00:00:00"/>
        <d v="2027-06-09T00:00:00"/>
        <d v="2027-06-10T00:00:00"/>
        <d v="2027-06-11T00:00:00"/>
        <d v="2027-06-12T00:00:00"/>
        <d v="2027-06-13T00:00:00"/>
        <d v="2027-06-14T00:00:00"/>
        <d v="2027-06-15T00:00:00"/>
        <d v="2027-06-16T00:00:00"/>
        <d v="2027-06-17T00:00:00"/>
        <d v="2027-06-18T00:00:00"/>
        <d v="2027-06-19T00:00:00"/>
        <d v="2027-06-20T00:00:00"/>
        <d v="2027-06-21T00:00:00"/>
        <d v="2027-06-22T00:00:00"/>
        <d v="2027-06-23T00:00:00"/>
        <d v="2027-06-24T00:00:00"/>
        <d v="2027-06-25T00:00:00"/>
        <d v="2027-06-26T00:00:00"/>
        <d v="2027-06-27T00:00:00"/>
        <d v="2027-06-28T00:00:00"/>
        <d v="2027-06-29T00:00:00"/>
        <d v="2027-06-30T00:00:00"/>
        <d v="2027-07-01T00:00:00"/>
        <d v="2027-07-02T00:00:00"/>
        <d v="2027-07-03T00:00:00"/>
        <d v="2027-07-04T00:00:00"/>
        <d v="2027-07-05T00:00:00"/>
        <d v="2027-07-06T00:00:00"/>
        <d v="2027-07-07T00:00:00"/>
        <d v="2027-07-08T00:00:00"/>
        <d v="2027-07-09T00:00:00"/>
        <d v="2027-07-10T00:00:00"/>
        <d v="2027-07-11T00:00:00"/>
        <d v="2027-07-12T00:00:00"/>
        <d v="2027-07-13T00:00:00"/>
        <d v="2027-07-14T00:00:00"/>
        <d v="2027-07-15T00:00:00"/>
        <d v="2027-07-16T00:00:00"/>
        <d v="2027-07-17T00:00:00"/>
        <d v="2027-07-18T00:00:00"/>
        <d v="2027-07-19T00:00:00"/>
        <d v="2027-07-20T00:00:00"/>
        <d v="2027-07-21T00:00:00"/>
        <d v="2027-07-22T00:00:00"/>
        <d v="2027-07-23T00:00:00"/>
        <d v="2027-07-24T00:00:00"/>
        <d v="2027-07-25T00:00:00"/>
        <d v="2027-07-26T00:00:00"/>
        <d v="2027-07-27T00:00:00"/>
        <d v="2027-07-28T00:00:00"/>
        <d v="2027-07-29T00:00:00"/>
        <d v="2027-07-30T00:00:00"/>
        <d v="2027-07-31T00:00:00"/>
        <d v="2027-08-01T00:00:00"/>
        <d v="2027-08-02T00:00:00"/>
        <d v="2027-08-03T00:00:00"/>
        <d v="2027-08-04T00:00:00"/>
        <d v="2027-08-05T00:00:00"/>
        <d v="2027-08-06T00:00:00"/>
        <d v="2027-08-07T00:00:00"/>
        <d v="2027-08-08T00:00:00"/>
        <d v="2027-08-09T00:00:00"/>
        <d v="2027-08-10T00:00:00"/>
        <d v="2027-08-11T00:00:00"/>
        <d v="2027-08-12T00:00:00"/>
        <d v="2027-08-13T00:00:00"/>
        <d v="2027-08-14T00:00:00"/>
        <d v="2027-08-15T00:00:00"/>
        <d v="2027-08-16T00:00:00"/>
        <d v="2027-08-17T00:00:00"/>
        <d v="2027-08-18T00:00:00"/>
        <d v="2027-08-19T00:00:00"/>
        <d v="2027-08-20T00:00:00"/>
        <d v="2027-08-21T00:00:00"/>
        <d v="2027-08-22T00:00:00"/>
        <d v="2027-08-23T00:00:00"/>
        <d v="2027-08-24T00:00:00"/>
        <d v="2027-08-25T00:00:00"/>
        <d v="2027-08-26T00:00:00"/>
        <d v="2027-08-27T00:00:00"/>
        <d v="2027-08-28T00:00:00"/>
        <d v="2027-08-29T00:00:00"/>
        <d v="2027-08-30T00:00:00"/>
        <d v="2027-08-31T00:00:00"/>
        <d v="2027-09-01T00:00:00"/>
        <d v="2027-09-02T00:00:00"/>
        <d v="2027-09-03T00:00:00"/>
        <d v="2027-09-04T00:00:00"/>
        <d v="2027-09-05T00:00:00"/>
        <d v="2027-09-06T00:00:00"/>
        <d v="2027-09-07T00:00:00"/>
        <d v="2027-09-08T00:00:00"/>
        <d v="2027-09-09T00:00:00"/>
        <d v="2027-09-10T00:00:00"/>
        <d v="2027-09-11T00:00:00"/>
        <d v="2027-09-12T00:00:00"/>
        <d v="2027-09-13T00:00:00"/>
        <d v="2027-09-14T00:00:00"/>
        <d v="2027-09-15T00:00:00"/>
        <d v="2027-09-16T00:00:00"/>
        <d v="2027-09-17T00:00:00"/>
        <d v="2027-09-18T00:00:00"/>
        <d v="2027-09-19T00:00:00"/>
        <d v="2027-09-20T00:00:00"/>
        <d v="2027-09-21T00:00:00"/>
        <d v="2027-09-22T00:00:00"/>
        <d v="2027-09-23T00:00:00"/>
        <d v="2027-09-24T00:00:00"/>
        <d v="2027-09-25T00:00:00"/>
        <d v="2027-09-26T00:00:00"/>
        <d v="2027-09-27T00:00:00"/>
        <d v="2027-09-28T00:00:00"/>
        <d v="2027-09-29T00:00:00"/>
        <d v="2027-09-30T00:00:00"/>
        <d v="2027-10-01T00:00:00"/>
        <d v="2027-10-02T00:00:00"/>
        <d v="2027-10-03T00:00:00"/>
        <d v="2027-10-04T00:00:00"/>
        <d v="2027-10-05T00:00:00"/>
        <d v="2027-10-06T00:00:00"/>
        <d v="2027-10-07T00:00:00"/>
        <d v="2027-10-08T00:00:00"/>
        <d v="2027-10-09T00:00:00"/>
        <d v="2027-10-10T00:00:00"/>
        <d v="2027-10-11T00:00:00"/>
        <d v="2027-10-12T00:00:00"/>
        <d v="2027-10-13T00:00:00"/>
        <d v="2027-10-14T00:00:00"/>
        <d v="2027-10-15T00:00:00"/>
        <d v="2027-10-16T00:00:00"/>
        <d v="2027-10-17T00:00:00"/>
        <d v="2027-10-18T00:00:00"/>
        <d v="2027-10-19T00:00:00"/>
        <d v="2027-10-20T00:00:00"/>
        <d v="2027-10-21T00:00:00"/>
        <d v="2027-10-22T00:00:00"/>
        <d v="2027-10-23T00:00:00"/>
        <d v="2027-10-24T00:00:00"/>
        <d v="2027-10-25T00:00:00"/>
        <d v="2027-10-26T00:00:00"/>
        <d v="2027-10-27T00:00:00"/>
        <d v="2027-10-28T00:00:00"/>
        <d v="2027-10-29T00:00:00"/>
        <d v="2027-10-30T00:00:00"/>
        <d v="2027-10-31T00:00:00"/>
        <d v="2027-11-01T00:00:00"/>
        <d v="2027-11-02T00:00:00"/>
        <d v="2027-11-03T00:00:00"/>
        <d v="2027-11-04T00:00:00"/>
        <d v="2027-11-05T00:00:00"/>
        <d v="2027-11-06T00:00:00"/>
        <d v="2027-11-07T00:00:00"/>
        <d v="2027-11-08T00:00:00"/>
        <d v="2027-11-09T00:00:00"/>
        <d v="2027-11-10T00:00:00"/>
        <d v="2027-11-11T00:00:00"/>
        <d v="2027-11-12T00:00:00"/>
        <d v="2027-11-13T00:00:00"/>
        <d v="2027-11-14T00:00:00"/>
        <d v="2027-11-15T00:00:00"/>
        <d v="2027-11-16T00:00:00"/>
        <d v="2027-11-17T00:00:00"/>
        <d v="2027-11-18T00:00:00"/>
        <d v="2027-11-19T00:00:00"/>
        <d v="2027-11-20T00:00:00"/>
        <d v="2027-11-21T00:00:00"/>
        <d v="2027-11-22T00:00:00"/>
        <d v="2027-11-23T00:00:00"/>
        <d v="2027-11-24T00:00:00"/>
        <d v="2027-11-25T00:00:00"/>
        <d v="2027-11-26T00:00:00"/>
        <d v="2027-11-27T00:00:00"/>
        <d v="2027-11-28T00:00:00"/>
        <d v="2027-11-29T00:00:00"/>
        <d v="2027-11-30T00:00:00"/>
        <d v="2027-12-01T00:00:00"/>
        <d v="2027-12-02T00:00:00"/>
        <d v="2027-12-03T00:00:00"/>
        <d v="2027-12-04T00:00:00"/>
        <d v="2027-12-05T00:00:00"/>
        <d v="2027-12-06T00:00:00"/>
        <d v="2027-12-07T00:00:00"/>
        <d v="2027-12-08T00:00:00"/>
        <d v="2027-12-09T00:00:00"/>
        <d v="2027-12-10T00:00:00"/>
        <d v="2027-12-11T00:00:00"/>
        <d v="2027-12-12T00:00:00"/>
        <d v="2027-12-13T00:00:00"/>
        <d v="2027-12-14T00:00:00"/>
        <d v="2027-12-15T00:00:00"/>
        <d v="2027-12-16T00:00:00"/>
        <d v="2027-12-17T00:00:00"/>
        <d v="2027-12-18T00:00:00"/>
        <d v="2027-12-19T00:00:00"/>
        <d v="2027-12-20T00:00:00"/>
        <d v="2027-12-21T00:00:00"/>
        <d v="2027-12-22T00:00:00"/>
        <d v="2027-12-23T00:00:00"/>
        <d v="2027-12-24T00:00:00"/>
        <d v="2027-12-25T00:00:00"/>
        <d v="2027-12-26T00:00:00"/>
        <d v="2027-12-27T00:00:00"/>
        <d v="2027-12-28T00:00:00"/>
        <d v="2027-12-29T00:00:00"/>
        <d v="2027-12-30T00:00:00"/>
        <d v="2027-12-31T00:00:00"/>
        <d v="2028-01-01T00:00:00"/>
        <d v="2028-01-02T00:00:00"/>
        <d v="2028-01-03T00:00:00"/>
        <d v="2028-01-04T00:00:00"/>
        <d v="2028-01-05T00:00:00"/>
        <d v="2028-01-06T00:00:00"/>
        <d v="2028-01-07T00:00:00"/>
        <d v="2028-01-08T00:00:00"/>
        <d v="2028-01-09T00:00:00"/>
        <d v="2028-01-10T00:00:00"/>
        <d v="2028-01-11T00:00:00"/>
        <d v="2028-01-12T00:00:00"/>
        <d v="2028-01-13T00:00:00"/>
        <d v="2028-01-14T00:00:00"/>
        <d v="2028-01-15T00:00:00"/>
        <d v="2028-01-16T00:00:00"/>
        <d v="2028-01-17T00:00:00"/>
        <d v="2028-01-18T00:00:00"/>
        <d v="2028-01-19T00:00:00"/>
        <d v="2028-01-20T00:00:00"/>
        <d v="2028-01-21T00:00:00"/>
        <d v="2028-01-22T00:00:00"/>
        <d v="2028-01-23T00:00:00"/>
        <d v="2028-01-24T00:00:00"/>
        <d v="2028-01-25T00:00:00"/>
        <d v="2028-01-26T00:00:00"/>
        <d v="2028-01-27T00:00:00"/>
        <d v="2028-01-28T00:00:00"/>
        <d v="2028-01-29T00:00:00"/>
        <d v="2028-01-30T00:00:00"/>
        <d v="2028-01-31T00:00:00"/>
        <d v="2028-02-01T00:00:00"/>
        <d v="2028-02-02T00:00:00"/>
        <d v="2028-02-03T00:00:00"/>
        <d v="2028-02-04T00:00:00"/>
        <d v="2028-02-05T00:00:00"/>
        <d v="2028-02-06T00:00:00"/>
        <d v="2028-02-07T00:00:00"/>
        <d v="2028-02-08T00:00:00"/>
        <d v="2028-02-09T00:00:00"/>
        <d v="2028-02-10T00:00:00"/>
        <d v="2028-02-11T00:00:00"/>
        <d v="2028-02-12T00:00:00"/>
        <d v="2028-02-13T00:00:00"/>
        <d v="2028-02-14T00:00:00"/>
        <d v="2028-02-15T00:00:00"/>
        <d v="2028-02-16T00:00:00"/>
        <d v="2028-02-17T00:00:00"/>
        <d v="2028-02-18T00:00:00"/>
        <d v="2028-02-19T00:00:00"/>
        <d v="2028-02-20T00:00:00"/>
        <d v="2028-02-21T00:00:00"/>
        <d v="2028-02-22T00:00:00"/>
        <d v="2028-02-23T00:00:00"/>
        <d v="2028-02-24T00:00:00"/>
        <d v="2028-02-25T00:00:00"/>
        <d v="2028-02-26T00:00:00"/>
        <d v="2028-02-27T00:00:00"/>
        <d v="2028-02-28T00:00:00"/>
        <d v="2028-02-29T00:00:00"/>
        <d v="2028-03-01T00:00:00"/>
        <d v="2028-03-02T00:00:00"/>
        <d v="2028-03-03T00:00:00"/>
        <d v="2028-03-04T00:00:00"/>
        <d v="2028-03-05T00:00:00"/>
        <d v="2028-03-06T00:00:00"/>
        <d v="2028-03-07T00:00:00"/>
        <d v="2028-03-08T00:00:00"/>
        <d v="2028-03-09T00:00:00"/>
        <d v="2028-03-10T00:00:00"/>
        <d v="2028-03-11T00:00:00"/>
        <d v="2028-03-12T00:00:00"/>
        <d v="2028-03-13T00:00:00"/>
        <d v="2028-03-14T00:00:00"/>
        <d v="2028-03-15T00:00:00"/>
        <d v="2028-03-16T00:00:00"/>
        <d v="2028-03-17T00:00:00"/>
        <d v="2028-03-18T00:00:00"/>
        <d v="2028-03-19T00:00:00"/>
        <d v="2028-03-20T00:00:00"/>
        <d v="2028-03-21T00:00:00"/>
        <d v="2028-03-22T00:00:00"/>
        <d v="2028-03-23T00:00:00"/>
        <d v="2028-03-24T00:00:00"/>
        <d v="2028-03-25T00:00:00"/>
        <d v="2028-03-26T00:00:00"/>
        <d v="2028-03-27T00:00:00"/>
        <d v="2028-03-28T00:00:00"/>
        <d v="2028-03-29T00:00:00"/>
        <d v="2028-03-30T00:00:00"/>
        <d v="2028-03-31T00:00:00"/>
        <d v="2028-04-01T00:00:00"/>
        <d v="2028-04-02T00:00:00"/>
        <d v="2028-04-03T00:00:00"/>
        <d v="2028-04-04T00:00:00"/>
        <d v="2028-04-05T00:00:00"/>
        <d v="2028-04-06T00:00:00"/>
        <d v="2028-04-07T00:00:00"/>
        <d v="2028-04-08T00:00:00"/>
        <d v="2028-04-09T00:00:00"/>
        <d v="2028-04-10T00:00:00"/>
        <d v="2028-04-11T00:00:00"/>
        <d v="2028-04-12T00:00:00"/>
        <d v="2028-04-13T00:00:00"/>
        <d v="2028-04-14T00:00:00"/>
        <d v="2028-04-15T00:00:00"/>
        <d v="2028-04-16T00:00:00"/>
        <d v="2028-04-17T00:00:00"/>
        <d v="2028-04-18T00:00:00"/>
        <d v="2028-04-19T00:00:00"/>
        <d v="2028-04-20T00:00:00"/>
        <d v="2028-04-21T00:00:00"/>
        <d v="2028-04-22T00:00:00"/>
        <d v="2028-04-23T00:00:00"/>
        <d v="2028-04-24T00:00:00"/>
        <d v="2028-04-25T00:00:00"/>
        <d v="2028-04-26T00:00:00"/>
        <d v="2028-04-27T00:00:00"/>
        <d v="2028-04-28T00:00:00"/>
        <d v="2028-04-29T00:00:00"/>
        <d v="2028-04-30T00:00:00"/>
        <d v="2028-05-01T00:00:00"/>
        <d v="2028-05-02T00:00:00"/>
        <d v="2028-05-03T00:00:00"/>
        <d v="2028-05-04T00:00:00"/>
        <d v="2028-05-05T00:00:00"/>
        <d v="2028-05-06T00:00:00"/>
        <d v="2028-05-07T00:00:00"/>
        <d v="2028-05-08T00:00:00"/>
        <d v="2028-05-09T00:00:00"/>
        <d v="2028-05-10T00:00:00"/>
        <d v="2028-05-11T00:00:00"/>
        <d v="2028-05-12T00:00:00"/>
        <d v="2028-05-13T00:00:00"/>
        <d v="2028-05-14T00:00:00"/>
        <d v="2028-05-15T00:00:00"/>
        <d v="2028-05-16T00:00:00"/>
        <d v="2028-05-17T00:00:00"/>
        <d v="2028-05-18T00:00:00"/>
        <d v="2028-05-19T00:00:00"/>
        <d v="2028-05-20T00:00:00"/>
        <d v="2028-05-21T00:00:00"/>
        <d v="2028-05-22T00:00:00"/>
        <d v="2028-05-23T00:00:00"/>
        <d v="2028-05-24T00:00:00"/>
        <d v="2028-05-25T00:00:00"/>
        <d v="2028-05-26T00:00:00"/>
        <d v="2028-05-27T00:00:00"/>
        <d v="2028-05-28T00:00:00"/>
        <d v="2028-05-29T00:00:00"/>
        <d v="2028-05-30T00:00:00"/>
        <d v="2028-05-31T00:00:00"/>
        <d v="2028-06-01T00:00:00"/>
        <d v="2028-06-02T00:00:00"/>
        <d v="2028-06-03T00:00:00"/>
        <d v="2028-06-04T00:00:00"/>
        <d v="2028-06-05T00:00:00"/>
        <d v="2028-06-06T00:00:00"/>
        <d v="2028-06-07T00:00:00"/>
        <d v="2028-06-08T00:00:00"/>
        <d v="2028-06-09T00:00:00"/>
        <d v="2028-06-10T00:00:00"/>
        <d v="2028-06-11T00:00:00"/>
        <d v="2028-06-12T00:00:00"/>
        <d v="2028-06-13T00:00:00"/>
        <d v="2028-06-14T00:00:00"/>
        <d v="2028-06-15T00:00:00"/>
        <d v="2028-06-16T00:00:00"/>
        <d v="2028-06-17T00:00:00"/>
        <d v="2028-06-18T00:00:00"/>
        <d v="2028-06-19T00:00:00"/>
        <d v="2028-06-20T00:00:00"/>
        <d v="2028-06-21T00:00:00"/>
        <d v="2028-06-22T00:00:00"/>
      </sharedItems>
    </cacheField>
    <cacheField name="Region" numFmtId="14">
      <sharedItems count="4">
        <s v="East"/>
        <s v="West"/>
        <s v="North"/>
        <s v="South"/>
      </sharedItems>
    </cacheField>
    <cacheField name="Product" numFmtId="14">
      <sharedItems count="5">
        <s v="Monitor"/>
        <s v="Keyboard"/>
        <s v="Headset"/>
        <s v="Laptop"/>
        <s v="Mouse"/>
      </sharedItems>
    </cacheField>
    <cacheField name="Salesperson" numFmtId="14">
      <sharedItems count="6">
        <s v="Maya"/>
        <s v="Kiran"/>
        <s v="Amit"/>
        <s v="Ravi"/>
        <s v="Sara"/>
        <s v="John"/>
      </sharedItems>
    </cacheField>
    <cacheField name="Customer_ID" numFmtId="0">
      <sharedItems containsSemiMixedTypes="0" containsString="0" containsNumber="1" containsInteger="1" minValue="10060" maxValue="99962"/>
    </cacheField>
    <cacheField name="Units_Sold" numFmtId="2">
      <sharedItems containsSemiMixedTypes="0" containsString="0" containsNumber="1" containsInteger="1" minValue="1" maxValue="49"/>
    </cacheField>
    <cacheField name="Unit_Price" numFmtId="168">
      <sharedItems containsSemiMixedTypes="0" containsString="0" containsNumber="1" containsInteger="1" minValue="502" maxValue="49895"/>
    </cacheField>
    <cacheField name="Discount" numFmtId="10">
      <sharedItems containsSemiMixedTypes="0" containsString="0" containsNumber="1" minValue="0" maxValue="0.2"/>
    </cacheField>
    <cacheField name="Rating" numFmtId="0">
      <sharedItems containsSemiMixedTypes="0" containsString="0" containsNumber="1" containsInteger="1" minValue="1" maxValue="5"/>
    </cacheField>
    <cacheField name="Discount_Amount" numFmtId="168">
      <sharedItems containsSemiMixedTypes="0" containsString="0" containsNumber="1" minValue="0" maxValue="462207.4"/>
    </cacheField>
    <cacheField name="Total_Sale" numFmtId="168">
      <sharedItems containsSemiMixedTypes="0" containsString="0" containsNumber="1" minValue="820.8" maxValue="2426676"/>
    </cacheField>
    <cacheField name="Cost" numFmtId="168">
      <sharedItems containsSemiMixedTypes="0" containsString="0" containsNumber="1" minValue="634.97924748773778" maxValue="1757850.1663608111"/>
    </cacheField>
    <cacheField name="Profit" numFmtId="168">
      <sharedItems containsSemiMixedTypes="0" containsString="0" containsNumber="1" minValue="136.05434615775849" maxValue="857178.88749246672"/>
    </cacheField>
  </cacheFields>
  <extLst>
    <ext xmlns:x14="http://schemas.microsoft.com/office/spreadsheetml/2009/9/main" uri="{725AE2AE-9491-48be-B2B4-4EB974FC3084}">
      <x14:pivotCacheDefinition pivotCacheId="15524104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x v="0"/>
    <x v="0"/>
    <x v="0"/>
    <n v="35416"/>
    <n v="39"/>
    <n v="39849"/>
    <n v="0"/>
    <n v="1"/>
    <n v="0"/>
    <n v="1554111"/>
    <n v="1019533.9365305509"/>
    <n v="534577.06346944906"/>
  </r>
  <r>
    <x v="1"/>
    <x v="1"/>
    <x v="1"/>
    <x v="1"/>
    <n v="11814"/>
    <n v="22"/>
    <n v="29877"/>
    <n v="0.05"/>
    <n v="5"/>
    <n v="32864.699999999997"/>
    <n v="624429.30000000005"/>
    <n v="470235.71356962732"/>
    <n v="154193.58643037279"/>
  </r>
  <r>
    <x v="2"/>
    <x v="2"/>
    <x v="2"/>
    <x v="0"/>
    <n v="88537"/>
    <n v="18"/>
    <n v="30531"/>
    <n v="0"/>
    <n v="5"/>
    <n v="0"/>
    <n v="549558"/>
    <n v="416966.68007068062"/>
    <n v="132591.3199293194"/>
  </r>
  <r>
    <x v="3"/>
    <x v="0"/>
    <x v="3"/>
    <x v="0"/>
    <n v="60258"/>
    <n v="48"/>
    <n v="43233"/>
    <n v="0.15"/>
    <n v="4"/>
    <n v="311277.59999999998"/>
    <n v="1763906.4"/>
    <n v="1522006.055499051"/>
    <n v="241900.34450094911"/>
  </r>
  <r>
    <x v="4"/>
    <x v="0"/>
    <x v="2"/>
    <x v="2"/>
    <n v="26508"/>
    <n v="46"/>
    <n v="12260"/>
    <n v="0.15"/>
    <n v="3"/>
    <n v="84594"/>
    <n v="479366"/>
    <n v="354130.80904687388"/>
    <n v="125235.1909531261"/>
  </r>
  <r>
    <x v="5"/>
    <x v="1"/>
    <x v="3"/>
    <x v="1"/>
    <n v="95166"/>
    <n v="32"/>
    <n v="48190"/>
    <n v="0.2"/>
    <n v="3"/>
    <n v="308416"/>
    <n v="1233664"/>
    <n v="843619.81691556657"/>
    <n v="390044.18308443337"/>
  </r>
  <r>
    <x v="6"/>
    <x v="2"/>
    <x v="4"/>
    <x v="2"/>
    <n v="88916"/>
    <n v="27"/>
    <n v="34214"/>
    <n v="0.05"/>
    <n v="1"/>
    <n v="46188.9"/>
    <n v="877589.1"/>
    <n v="587361.52489835816"/>
    <n v="290227.57510164182"/>
  </r>
  <r>
    <x v="7"/>
    <x v="2"/>
    <x v="3"/>
    <x v="0"/>
    <n v="45699"/>
    <n v="28"/>
    <n v="26262"/>
    <n v="0.1"/>
    <n v="2"/>
    <n v="73533.600000000006"/>
    <n v="661802.4"/>
    <n v="570656.03705825936"/>
    <n v="91146.362941740663"/>
  </r>
  <r>
    <x v="8"/>
    <x v="0"/>
    <x v="0"/>
    <x v="1"/>
    <n v="56335"/>
    <n v="18"/>
    <n v="34832"/>
    <n v="0.05"/>
    <n v="1"/>
    <n v="31348.799999999999"/>
    <n v="595627.19999999995"/>
    <n v="387933.93491602113"/>
    <n v="207693.26508397891"/>
  </r>
  <r>
    <x v="9"/>
    <x v="3"/>
    <x v="1"/>
    <x v="0"/>
    <n v="56806"/>
    <n v="39"/>
    <n v="40600"/>
    <n v="0"/>
    <n v="5"/>
    <n v="0"/>
    <n v="1583400"/>
    <n v="1152336.0837907109"/>
    <n v="431063.91620928911"/>
  </r>
  <r>
    <x v="10"/>
    <x v="0"/>
    <x v="4"/>
    <x v="3"/>
    <n v="87853"/>
    <n v="49"/>
    <n v="5444"/>
    <n v="0.15"/>
    <n v="2"/>
    <n v="40013.4"/>
    <n v="226742.6"/>
    <n v="148777.59561859039"/>
    <n v="77965.004381409584"/>
  </r>
  <r>
    <x v="11"/>
    <x v="0"/>
    <x v="3"/>
    <x v="1"/>
    <n v="73768"/>
    <n v="29"/>
    <n v="49325"/>
    <n v="0"/>
    <n v="1"/>
    <n v="0"/>
    <n v="1430425"/>
    <n v="1190101.0294741821"/>
    <n v="240323.97052581841"/>
  </r>
  <r>
    <x v="12"/>
    <x v="0"/>
    <x v="2"/>
    <x v="1"/>
    <n v="45739"/>
    <n v="18"/>
    <n v="14377"/>
    <n v="0.2"/>
    <n v="4"/>
    <n v="51757.2"/>
    <n v="207028.8"/>
    <n v="153679.91952203319"/>
    <n v="53348.88047796677"/>
  </r>
  <r>
    <x v="13"/>
    <x v="0"/>
    <x v="4"/>
    <x v="0"/>
    <n v="44785"/>
    <n v="44"/>
    <n v="30490"/>
    <n v="0.15"/>
    <n v="5"/>
    <n v="201234"/>
    <n v="1140326"/>
    <n v="804321.08402336622"/>
    <n v="336004.91597663378"/>
  </r>
  <r>
    <x v="14"/>
    <x v="1"/>
    <x v="4"/>
    <x v="3"/>
    <n v="41980"/>
    <n v="8"/>
    <n v="43407"/>
    <n v="0.1"/>
    <n v="3"/>
    <n v="34725.599999999999"/>
    <n v="312530.40000000002"/>
    <n v="221374.62453745381"/>
    <n v="91155.775462546211"/>
  </r>
  <r>
    <x v="15"/>
    <x v="2"/>
    <x v="3"/>
    <x v="4"/>
    <n v="99335"/>
    <n v="31"/>
    <n v="34576"/>
    <n v="0.15"/>
    <n v="1"/>
    <n v="160778.4"/>
    <n v="911077.6"/>
    <n v="779576.54224412271"/>
    <n v="131501.05775587729"/>
  </r>
  <r>
    <x v="16"/>
    <x v="1"/>
    <x v="4"/>
    <x v="2"/>
    <n v="95016"/>
    <n v="34"/>
    <n v="3758"/>
    <n v="0.05"/>
    <n v="5"/>
    <n v="6388.6"/>
    <n v="121383.4"/>
    <n v="92995.729621111052"/>
    <n v="28387.670378888939"/>
  </r>
  <r>
    <x v="17"/>
    <x v="1"/>
    <x v="2"/>
    <x v="0"/>
    <n v="11609"/>
    <n v="7"/>
    <n v="32129"/>
    <n v="0.05"/>
    <n v="5"/>
    <n v="11245.15"/>
    <n v="213657.85"/>
    <n v="174208.1404970478"/>
    <n v="39449.709502952232"/>
  </r>
  <r>
    <x v="18"/>
    <x v="1"/>
    <x v="4"/>
    <x v="1"/>
    <n v="76253"/>
    <n v="36"/>
    <n v="38079"/>
    <n v="0.15"/>
    <n v="3"/>
    <n v="205626.6"/>
    <n v="1165217.3999999999"/>
    <n v="1012703.906281644"/>
    <n v="152513.49371835589"/>
  </r>
  <r>
    <x v="19"/>
    <x v="0"/>
    <x v="2"/>
    <x v="2"/>
    <n v="95481"/>
    <n v="18"/>
    <n v="23458"/>
    <n v="0.2"/>
    <n v="3"/>
    <n v="84448.8"/>
    <n v="337795.2"/>
    <n v="294058.32294194523"/>
    <n v="43736.877058054837"/>
  </r>
  <r>
    <x v="20"/>
    <x v="3"/>
    <x v="3"/>
    <x v="2"/>
    <n v="38141"/>
    <n v="38"/>
    <n v="39965"/>
    <n v="0.05"/>
    <n v="3"/>
    <n v="75933.5"/>
    <n v="1442736.5"/>
    <n v="1007827.500982116"/>
    <n v="434908.99901788449"/>
  </r>
  <r>
    <x v="21"/>
    <x v="2"/>
    <x v="1"/>
    <x v="2"/>
    <n v="40009"/>
    <n v="9"/>
    <n v="20817"/>
    <n v="0.05"/>
    <n v="1"/>
    <n v="9367.65"/>
    <n v="177985.35"/>
    <n v="157647.92142871549"/>
    <n v="20337.428571284541"/>
  </r>
  <r>
    <x v="22"/>
    <x v="3"/>
    <x v="4"/>
    <x v="4"/>
    <n v="16782"/>
    <n v="9"/>
    <n v="16275"/>
    <n v="0.1"/>
    <n v="3"/>
    <n v="14647.5"/>
    <n v="131827.5"/>
    <n v="80080.297600884121"/>
    <n v="51747.202399115879"/>
  </r>
  <r>
    <x v="23"/>
    <x v="1"/>
    <x v="1"/>
    <x v="5"/>
    <n v="35933"/>
    <n v="46"/>
    <n v="11539"/>
    <n v="0.15"/>
    <n v="4"/>
    <n v="79619.099999999991"/>
    <n v="451174.9"/>
    <n v="321710.56396737369"/>
    <n v="129464.33603262631"/>
  </r>
  <r>
    <x v="24"/>
    <x v="1"/>
    <x v="2"/>
    <x v="0"/>
    <n v="87154"/>
    <n v="8"/>
    <n v="29597"/>
    <n v="0.05"/>
    <n v="5"/>
    <n v="11838.8"/>
    <n v="224937.2"/>
    <n v="195411.86603137129"/>
    <n v="29525.33396862866"/>
  </r>
  <r>
    <x v="25"/>
    <x v="3"/>
    <x v="4"/>
    <x v="5"/>
    <n v="18307"/>
    <n v="35"/>
    <n v="34707"/>
    <n v="0.2"/>
    <n v="3"/>
    <n v="242949"/>
    <n v="971796"/>
    <n v="663144.90637758735"/>
    <n v="308651.09362241259"/>
  </r>
  <r>
    <x v="26"/>
    <x v="3"/>
    <x v="0"/>
    <x v="5"/>
    <n v="85874"/>
    <n v="18"/>
    <n v="23053"/>
    <n v="0"/>
    <n v="5"/>
    <n v="0"/>
    <n v="414954"/>
    <n v="282967.27204098972"/>
    <n v="131986.72795901031"/>
  </r>
  <r>
    <x v="27"/>
    <x v="3"/>
    <x v="1"/>
    <x v="5"/>
    <n v="48346"/>
    <n v="5"/>
    <n v="44902"/>
    <n v="0.15"/>
    <n v="2"/>
    <n v="33676.5"/>
    <n v="190833.5"/>
    <n v="131825.24095205241"/>
    <n v="59008.25904794762"/>
  </r>
  <r>
    <x v="28"/>
    <x v="1"/>
    <x v="4"/>
    <x v="2"/>
    <n v="60772"/>
    <n v="14"/>
    <n v="555"/>
    <n v="0.1"/>
    <n v="2"/>
    <n v="777"/>
    <n v="6993"/>
    <n v="5480.3722500703579"/>
    <n v="1512.6277499296421"/>
  </r>
  <r>
    <x v="29"/>
    <x v="1"/>
    <x v="1"/>
    <x v="3"/>
    <n v="82084"/>
    <n v="28"/>
    <n v="23661"/>
    <n v="0.05"/>
    <n v="3"/>
    <n v="33125.4"/>
    <n v="629382.6"/>
    <n v="460393.26659441349"/>
    <n v="168989.33340558651"/>
  </r>
  <r>
    <x v="30"/>
    <x v="2"/>
    <x v="4"/>
    <x v="2"/>
    <n v="50149"/>
    <n v="30"/>
    <n v="33373"/>
    <n v="0.2"/>
    <n v="5"/>
    <n v="200238"/>
    <n v="800952"/>
    <n v="655195.11619406473"/>
    <n v="145756.8838059353"/>
  </r>
  <r>
    <x v="31"/>
    <x v="2"/>
    <x v="3"/>
    <x v="2"/>
    <n v="96700"/>
    <n v="4"/>
    <n v="36469"/>
    <n v="0.15"/>
    <n v="2"/>
    <n v="21881.4"/>
    <n v="123994.6"/>
    <n v="107685.98614816459"/>
    <n v="16308.61385183538"/>
  </r>
  <r>
    <x v="32"/>
    <x v="1"/>
    <x v="1"/>
    <x v="1"/>
    <n v="37526"/>
    <n v="39"/>
    <n v="15684"/>
    <n v="0.2"/>
    <n v="3"/>
    <n v="122335.2"/>
    <n v="489340.8"/>
    <n v="392578.45844821178"/>
    <n v="96762.341551788209"/>
  </r>
  <r>
    <x v="33"/>
    <x v="3"/>
    <x v="0"/>
    <x v="1"/>
    <n v="95712"/>
    <n v="20"/>
    <n v="1169"/>
    <n v="0.2"/>
    <n v="5"/>
    <n v="4676"/>
    <n v="18704"/>
    <n v="12369.703660372639"/>
    <n v="6334.2963396273644"/>
  </r>
  <r>
    <x v="34"/>
    <x v="3"/>
    <x v="0"/>
    <x v="5"/>
    <n v="78477"/>
    <n v="25"/>
    <n v="13163"/>
    <n v="0.1"/>
    <n v="3"/>
    <n v="32907.5"/>
    <n v="296167.5"/>
    <n v="260569.52019520619"/>
    <n v="35597.97980479378"/>
  </r>
  <r>
    <x v="35"/>
    <x v="2"/>
    <x v="2"/>
    <x v="2"/>
    <n v="15695"/>
    <n v="28"/>
    <n v="25818"/>
    <n v="0.15"/>
    <n v="5"/>
    <n v="108435.6"/>
    <n v="614468.4"/>
    <n v="417437.79380916827"/>
    <n v="197030.60619083169"/>
  </r>
  <r>
    <x v="36"/>
    <x v="1"/>
    <x v="4"/>
    <x v="5"/>
    <n v="49169"/>
    <n v="12"/>
    <n v="34234"/>
    <n v="0.05"/>
    <n v="2"/>
    <n v="20540.400000000001"/>
    <n v="390267.6"/>
    <n v="251710.22606742341"/>
    <n v="138557.37393257651"/>
  </r>
  <r>
    <x v="37"/>
    <x v="2"/>
    <x v="1"/>
    <x v="1"/>
    <n v="57947"/>
    <n v="2"/>
    <n v="17191"/>
    <n v="0.1"/>
    <n v="3"/>
    <n v="3438.2"/>
    <n v="30943.8"/>
    <n v="19401.458845085341"/>
    <n v="11542.34115491466"/>
  </r>
  <r>
    <x v="38"/>
    <x v="2"/>
    <x v="2"/>
    <x v="3"/>
    <n v="57224"/>
    <n v="43"/>
    <n v="19022"/>
    <n v="0.05"/>
    <n v="2"/>
    <n v="40897.300000000003"/>
    <n v="777048.7"/>
    <n v="597562.20098573435"/>
    <n v="179486.4990142656"/>
  </r>
  <r>
    <x v="39"/>
    <x v="0"/>
    <x v="1"/>
    <x v="0"/>
    <n v="55865"/>
    <n v="14"/>
    <n v="12156"/>
    <n v="0"/>
    <n v="3"/>
    <n v="0"/>
    <n v="170184"/>
    <n v="107918.5652744422"/>
    <n v="62265.434725557832"/>
  </r>
  <r>
    <x v="40"/>
    <x v="0"/>
    <x v="4"/>
    <x v="5"/>
    <n v="35553"/>
    <n v="22"/>
    <n v="16393"/>
    <n v="0.2"/>
    <n v="1"/>
    <n v="72129.2"/>
    <n v="288516.8"/>
    <n v="185121.83220040411"/>
    <n v="103394.96779959591"/>
  </r>
  <r>
    <x v="41"/>
    <x v="0"/>
    <x v="0"/>
    <x v="3"/>
    <n v="70410"/>
    <n v="31"/>
    <n v="46357"/>
    <n v="0"/>
    <n v="2"/>
    <n v="0"/>
    <n v="1437067"/>
    <n v="991589.37079737859"/>
    <n v="445477.62920262141"/>
  </r>
  <r>
    <x v="42"/>
    <x v="3"/>
    <x v="3"/>
    <x v="0"/>
    <n v="34816"/>
    <n v="23"/>
    <n v="16993"/>
    <n v="0.2"/>
    <n v="2"/>
    <n v="78167.8"/>
    <n v="312671.2"/>
    <n v="214022.1553564959"/>
    <n v="98649.044643504138"/>
  </r>
  <r>
    <x v="43"/>
    <x v="1"/>
    <x v="0"/>
    <x v="4"/>
    <n v="65026"/>
    <n v="48"/>
    <n v="4132"/>
    <n v="0.1"/>
    <n v="4"/>
    <n v="19833.599999999999"/>
    <n v="178502.39999999999"/>
    <n v="139458.90083073371"/>
    <n v="39043.499169266317"/>
  </r>
  <r>
    <x v="44"/>
    <x v="1"/>
    <x v="2"/>
    <x v="5"/>
    <n v="60705"/>
    <n v="20"/>
    <n v="30836"/>
    <n v="0.05"/>
    <n v="2"/>
    <n v="30836"/>
    <n v="585884"/>
    <n v="495085.79739557172"/>
    <n v="90798.202604428283"/>
  </r>
  <r>
    <x v="45"/>
    <x v="1"/>
    <x v="3"/>
    <x v="5"/>
    <n v="71922"/>
    <n v="38"/>
    <n v="23612"/>
    <n v="0.05"/>
    <n v="5"/>
    <n v="44862.8"/>
    <n v="852393.2"/>
    <n v="706126.70093090495"/>
    <n v="146266.49906909501"/>
  </r>
  <r>
    <x v="46"/>
    <x v="1"/>
    <x v="2"/>
    <x v="4"/>
    <n v="83914"/>
    <n v="4"/>
    <n v="38952"/>
    <n v="0.1"/>
    <n v="3"/>
    <n v="15580.8"/>
    <n v="140227.20000000001"/>
    <n v="95178.558038525516"/>
    <n v="45048.641961474503"/>
  </r>
  <r>
    <x v="47"/>
    <x v="0"/>
    <x v="4"/>
    <x v="4"/>
    <n v="11881"/>
    <n v="15"/>
    <n v="13766"/>
    <n v="0.15"/>
    <n v="1"/>
    <n v="30973.5"/>
    <n v="175516.5"/>
    <n v="118226.71200592689"/>
    <n v="57289.787994073144"/>
  </r>
  <r>
    <x v="48"/>
    <x v="3"/>
    <x v="3"/>
    <x v="5"/>
    <n v="49567"/>
    <n v="24"/>
    <n v="17440"/>
    <n v="0"/>
    <n v="5"/>
    <n v="0"/>
    <n v="418560"/>
    <n v="372408.51085247181"/>
    <n v="46151.489147528249"/>
  </r>
  <r>
    <x v="49"/>
    <x v="3"/>
    <x v="2"/>
    <x v="4"/>
    <n v="57365"/>
    <n v="25"/>
    <n v="24503"/>
    <n v="0"/>
    <n v="5"/>
    <n v="0"/>
    <n v="612575"/>
    <n v="369058.59470795852"/>
    <n v="243516.40529204151"/>
  </r>
  <r>
    <x v="50"/>
    <x v="0"/>
    <x v="4"/>
    <x v="2"/>
    <n v="89211"/>
    <n v="1"/>
    <n v="33372"/>
    <n v="0.05"/>
    <n v="5"/>
    <n v="1668.6"/>
    <n v="31703.4"/>
    <n v="27389.079584346371"/>
    <n v="4314.3204156536267"/>
  </r>
  <r>
    <x v="51"/>
    <x v="3"/>
    <x v="0"/>
    <x v="0"/>
    <n v="80122"/>
    <n v="7"/>
    <n v="35315"/>
    <n v="0.05"/>
    <n v="5"/>
    <n v="12360.25"/>
    <n v="234844.75"/>
    <n v="154978.4082423514"/>
    <n v="79866.341757648566"/>
  </r>
  <r>
    <x v="52"/>
    <x v="0"/>
    <x v="4"/>
    <x v="0"/>
    <n v="35006"/>
    <n v="31"/>
    <n v="31369"/>
    <n v="0.05"/>
    <n v="1"/>
    <n v="48621.95"/>
    <n v="923817.05"/>
    <n v="816825.4526604109"/>
    <n v="106991.59733958911"/>
  </r>
  <r>
    <x v="53"/>
    <x v="1"/>
    <x v="1"/>
    <x v="0"/>
    <n v="51198"/>
    <n v="12"/>
    <n v="49797"/>
    <n v="0.1"/>
    <n v="4"/>
    <n v="59756.4"/>
    <n v="537807.6"/>
    <n v="377913.19779468147"/>
    <n v="159894.4022053185"/>
  </r>
  <r>
    <x v="54"/>
    <x v="0"/>
    <x v="4"/>
    <x v="2"/>
    <n v="32831"/>
    <n v="42"/>
    <n v="17757"/>
    <n v="0.15"/>
    <n v="2"/>
    <n v="111869.1"/>
    <n v="633924.9"/>
    <n v="464099.92626903078"/>
    <n v="169824.97373096921"/>
  </r>
  <r>
    <x v="55"/>
    <x v="1"/>
    <x v="4"/>
    <x v="4"/>
    <n v="26459"/>
    <n v="5"/>
    <n v="17182"/>
    <n v="0"/>
    <n v="5"/>
    <n v="0"/>
    <n v="85910"/>
    <n v="69770.619583188542"/>
    <n v="16139.38041681146"/>
  </r>
  <r>
    <x v="56"/>
    <x v="1"/>
    <x v="1"/>
    <x v="3"/>
    <n v="42443"/>
    <n v="44"/>
    <n v="20122"/>
    <n v="0.2"/>
    <n v="2"/>
    <n v="177073.6"/>
    <n v="708294.4"/>
    <n v="549849.44946354663"/>
    <n v="158444.9505364534"/>
  </r>
  <r>
    <x v="57"/>
    <x v="2"/>
    <x v="2"/>
    <x v="4"/>
    <n v="52316"/>
    <n v="42"/>
    <n v="30908"/>
    <n v="0.1"/>
    <n v="2"/>
    <n v="129813.6"/>
    <n v="1168322.3999999999"/>
    <n v="812430.13222123997"/>
    <n v="355892.26777875988"/>
  </r>
  <r>
    <x v="58"/>
    <x v="0"/>
    <x v="2"/>
    <x v="5"/>
    <n v="74486"/>
    <n v="38"/>
    <n v="9337"/>
    <n v="0"/>
    <n v="5"/>
    <n v="0"/>
    <n v="354806"/>
    <n v="271834.35958061973"/>
    <n v="82971.640419380274"/>
  </r>
  <r>
    <x v="59"/>
    <x v="2"/>
    <x v="4"/>
    <x v="1"/>
    <n v="15877"/>
    <n v="12"/>
    <n v="15907"/>
    <n v="0.15"/>
    <n v="4"/>
    <n v="28632.6"/>
    <n v="162251.4"/>
    <n v="132918.30449325489"/>
    <n v="29333.09550674507"/>
  </r>
  <r>
    <x v="60"/>
    <x v="0"/>
    <x v="1"/>
    <x v="0"/>
    <n v="49553"/>
    <n v="39"/>
    <n v="29809"/>
    <n v="0.1"/>
    <n v="2"/>
    <n v="116255.1"/>
    <n v="1046295.9"/>
    <n v="641066.00409734971"/>
    <n v="405229.89590265031"/>
  </r>
  <r>
    <x v="61"/>
    <x v="0"/>
    <x v="1"/>
    <x v="4"/>
    <n v="14922"/>
    <n v="18"/>
    <n v="6882"/>
    <n v="0"/>
    <n v="3"/>
    <n v="0"/>
    <n v="123876"/>
    <n v="74741.797541356689"/>
    <n v="49134.202458643311"/>
  </r>
  <r>
    <x v="62"/>
    <x v="2"/>
    <x v="0"/>
    <x v="3"/>
    <n v="14686"/>
    <n v="2"/>
    <n v="28154"/>
    <n v="0.1"/>
    <n v="2"/>
    <n v="5630.8"/>
    <n v="50677.2"/>
    <n v="37370.38496543542"/>
    <n v="13306.815034564581"/>
  </r>
  <r>
    <x v="63"/>
    <x v="2"/>
    <x v="2"/>
    <x v="5"/>
    <n v="42766"/>
    <n v="10"/>
    <n v="19395"/>
    <n v="0"/>
    <n v="5"/>
    <n v="0"/>
    <n v="193950"/>
    <n v="124040.91360689751"/>
    <n v="69909.086393102523"/>
  </r>
  <r>
    <x v="64"/>
    <x v="0"/>
    <x v="3"/>
    <x v="2"/>
    <n v="89943"/>
    <n v="15"/>
    <n v="34051"/>
    <n v="0"/>
    <n v="1"/>
    <n v="0"/>
    <n v="510765"/>
    <n v="408256.14360899251"/>
    <n v="102508.8563910075"/>
  </r>
  <r>
    <x v="65"/>
    <x v="3"/>
    <x v="2"/>
    <x v="2"/>
    <n v="42006"/>
    <n v="30"/>
    <n v="21876"/>
    <n v="0.15"/>
    <n v="2"/>
    <n v="98442"/>
    <n v="557838"/>
    <n v="370524.77822309983"/>
    <n v="187313.2217769002"/>
  </r>
  <r>
    <x v="66"/>
    <x v="1"/>
    <x v="2"/>
    <x v="3"/>
    <n v="41422"/>
    <n v="44"/>
    <n v="870"/>
    <n v="0.2"/>
    <n v="4"/>
    <n v="7656"/>
    <n v="30624"/>
    <n v="22351.08968835319"/>
    <n v="8272.9103116468104"/>
  </r>
  <r>
    <x v="67"/>
    <x v="2"/>
    <x v="0"/>
    <x v="5"/>
    <n v="22205"/>
    <n v="17"/>
    <n v="49176"/>
    <n v="0.15"/>
    <n v="3"/>
    <n v="125398.8"/>
    <n v="710593.2"/>
    <n v="468495.00707414543"/>
    <n v="242098.1929258545"/>
  </r>
  <r>
    <x v="68"/>
    <x v="1"/>
    <x v="3"/>
    <x v="0"/>
    <n v="96590"/>
    <n v="4"/>
    <n v="986"/>
    <n v="0"/>
    <n v="3"/>
    <n v="0"/>
    <n v="3944"/>
    <n v="3015.365778658364"/>
    <n v="928.63422134163557"/>
  </r>
  <r>
    <x v="69"/>
    <x v="3"/>
    <x v="0"/>
    <x v="4"/>
    <n v="33527"/>
    <n v="7"/>
    <n v="24262"/>
    <n v="0.1"/>
    <n v="1"/>
    <n v="16983.400000000001"/>
    <n v="152850.6"/>
    <n v="97032.0122697021"/>
    <n v="55818.587730297913"/>
  </r>
  <r>
    <x v="70"/>
    <x v="3"/>
    <x v="3"/>
    <x v="5"/>
    <n v="28443"/>
    <n v="41"/>
    <n v="27113"/>
    <n v="0.15"/>
    <n v="1"/>
    <n v="166744.95000000001"/>
    <n v="944888.05"/>
    <n v="573482.84672159981"/>
    <n v="371405.20327840018"/>
  </r>
  <r>
    <x v="71"/>
    <x v="3"/>
    <x v="4"/>
    <x v="2"/>
    <n v="26524"/>
    <n v="31"/>
    <n v="47768"/>
    <n v="0.2"/>
    <n v="2"/>
    <n v="296161.59999999998"/>
    <n v="1184646.3999999999"/>
    <n v="728959.7133027605"/>
    <n v="455686.68669723941"/>
  </r>
  <r>
    <x v="72"/>
    <x v="2"/>
    <x v="3"/>
    <x v="3"/>
    <n v="38202"/>
    <n v="39"/>
    <n v="3696"/>
    <n v="0"/>
    <n v="5"/>
    <n v="0"/>
    <n v="144144"/>
    <n v="127751.5886381349"/>
    <n v="16392.411361865132"/>
  </r>
  <r>
    <x v="73"/>
    <x v="3"/>
    <x v="0"/>
    <x v="3"/>
    <n v="75552"/>
    <n v="34"/>
    <n v="42820"/>
    <n v="0.15"/>
    <n v="4"/>
    <n v="218382"/>
    <n v="1237498"/>
    <n v="795322.47328757879"/>
    <n v="442175.52671242121"/>
  </r>
  <r>
    <x v="74"/>
    <x v="2"/>
    <x v="2"/>
    <x v="4"/>
    <n v="56142"/>
    <n v="6"/>
    <n v="29901"/>
    <n v="0.15"/>
    <n v="3"/>
    <n v="26910.9"/>
    <n v="152495.1"/>
    <n v="123908.89861797811"/>
    <n v="28586.2013820219"/>
  </r>
  <r>
    <x v="75"/>
    <x v="3"/>
    <x v="3"/>
    <x v="3"/>
    <n v="71692"/>
    <n v="38"/>
    <n v="35529"/>
    <n v="0.15"/>
    <n v="1"/>
    <n v="202515.3"/>
    <n v="1147586.7"/>
    <n v="711937.38256427983"/>
    <n v="435649.31743572012"/>
  </r>
  <r>
    <x v="76"/>
    <x v="1"/>
    <x v="3"/>
    <x v="3"/>
    <n v="92384"/>
    <n v="45"/>
    <n v="11313"/>
    <n v="0.15"/>
    <n v="4"/>
    <n v="76362.75"/>
    <n v="432722.25"/>
    <n v="273674.36729400023"/>
    <n v="159047.8827059998"/>
  </r>
  <r>
    <x v="77"/>
    <x v="1"/>
    <x v="1"/>
    <x v="5"/>
    <n v="30855"/>
    <n v="34"/>
    <n v="42416"/>
    <n v="0.1"/>
    <n v="5"/>
    <n v="144214.39999999999"/>
    <n v="1297929.6000000001"/>
    <n v="976903.42483236524"/>
    <n v="321026.17516763491"/>
  </r>
  <r>
    <x v="78"/>
    <x v="0"/>
    <x v="2"/>
    <x v="0"/>
    <n v="93747"/>
    <n v="44"/>
    <n v="9072"/>
    <n v="0.2"/>
    <n v="3"/>
    <n v="79833.600000000006"/>
    <n v="319334.40000000002"/>
    <n v="236135.4238674838"/>
    <n v="83198.976132516225"/>
  </r>
  <r>
    <x v="79"/>
    <x v="1"/>
    <x v="4"/>
    <x v="4"/>
    <n v="70372"/>
    <n v="15"/>
    <n v="48276"/>
    <n v="0.2"/>
    <n v="3"/>
    <n v="144828"/>
    <n v="579312"/>
    <n v="512965.76766666892"/>
    <n v="66346.232333331078"/>
  </r>
  <r>
    <x v="80"/>
    <x v="0"/>
    <x v="0"/>
    <x v="5"/>
    <n v="35095"/>
    <n v="14"/>
    <n v="28725"/>
    <n v="0"/>
    <n v="5"/>
    <n v="0"/>
    <n v="402150"/>
    <n v="355279.67322968692"/>
    <n v="46870.326770313077"/>
  </r>
  <r>
    <x v="81"/>
    <x v="1"/>
    <x v="4"/>
    <x v="0"/>
    <n v="48724"/>
    <n v="6"/>
    <n v="46353"/>
    <n v="0.05"/>
    <n v="3"/>
    <n v="13905.9"/>
    <n v="264212.09999999998"/>
    <n v="220321.87098728819"/>
    <n v="43890.229012711759"/>
  </r>
  <r>
    <x v="82"/>
    <x v="2"/>
    <x v="2"/>
    <x v="5"/>
    <n v="59241"/>
    <n v="37"/>
    <n v="49890"/>
    <n v="0.1"/>
    <n v="5"/>
    <n v="184593"/>
    <n v="1661337"/>
    <n v="1296890.4144474841"/>
    <n v="364446.58555251569"/>
  </r>
  <r>
    <x v="83"/>
    <x v="1"/>
    <x v="3"/>
    <x v="1"/>
    <n v="62003"/>
    <n v="32"/>
    <n v="32775"/>
    <n v="0"/>
    <n v="3"/>
    <n v="0"/>
    <n v="1048800"/>
    <n v="772428.71426453709"/>
    <n v="276371.28573546291"/>
  </r>
  <r>
    <x v="84"/>
    <x v="0"/>
    <x v="3"/>
    <x v="5"/>
    <n v="78379"/>
    <n v="3"/>
    <n v="7343"/>
    <n v="0"/>
    <n v="2"/>
    <n v="0"/>
    <n v="22029"/>
    <n v="15571.27707981624"/>
    <n v="6457.7229201837636"/>
  </r>
  <r>
    <x v="85"/>
    <x v="0"/>
    <x v="2"/>
    <x v="3"/>
    <n v="25972"/>
    <n v="3"/>
    <n v="1605"/>
    <n v="0.15"/>
    <n v="5"/>
    <n v="722.25"/>
    <n v="4092.75"/>
    <n v="3618.5077673652609"/>
    <n v="474.24223263473868"/>
  </r>
  <r>
    <x v="86"/>
    <x v="3"/>
    <x v="3"/>
    <x v="0"/>
    <n v="32927"/>
    <n v="22"/>
    <n v="43709"/>
    <n v="0.05"/>
    <n v="4"/>
    <n v="48079.9"/>
    <n v="913518.1"/>
    <n v="713341.29356578109"/>
    <n v="200176.80643421889"/>
  </r>
  <r>
    <x v="87"/>
    <x v="2"/>
    <x v="3"/>
    <x v="4"/>
    <n v="76630"/>
    <n v="22"/>
    <n v="32139"/>
    <n v="0.05"/>
    <n v="2"/>
    <n v="35352.9"/>
    <n v="671705.1"/>
    <n v="519712.85103497212"/>
    <n v="151992.24896502789"/>
  </r>
  <r>
    <x v="88"/>
    <x v="1"/>
    <x v="3"/>
    <x v="4"/>
    <n v="62347"/>
    <n v="10"/>
    <n v="42987"/>
    <n v="0.1"/>
    <n v="4"/>
    <n v="42987"/>
    <n v="386883"/>
    <n v="259045.38050799689"/>
    <n v="127837.6194920031"/>
  </r>
  <r>
    <x v="89"/>
    <x v="3"/>
    <x v="0"/>
    <x v="0"/>
    <n v="98860"/>
    <n v="3"/>
    <n v="18551"/>
    <n v="0.05"/>
    <n v="3"/>
    <n v="2782.65"/>
    <n v="52870.35"/>
    <n v="32462.888992746652"/>
    <n v="20407.461007253351"/>
  </r>
  <r>
    <x v="90"/>
    <x v="1"/>
    <x v="0"/>
    <x v="3"/>
    <n v="96210"/>
    <n v="12"/>
    <n v="29208"/>
    <n v="0"/>
    <n v="4"/>
    <n v="0"/>
    <n v="350496"/>
    <n v="309683.04493542039"/>
    <n v="40812.955064579612"/>
  </r>
  <r>
    <x v="91"/>
    <x v="1"/>
    <x v="1"/>
    <x v="2"/>
    <n v="79518"/>
    <n v="29"/>
    <n v="35959"/>
    <n v="0.05"/>
    <n v="2"/>
    <n v="52140.55"/>
    <n v="990670.45"/>
    <n v="687644.74501814996"/>
    <n v="303025.70498184999"/>
  </r>
  <r>
    <x v="92"/>
    <x v="3"/>
    <x v="4"/>
    <x v="5"/>
    <n v="55283"/>
    <n v="48"/>
    <n v="12364"/>
    <n v="0.05"/>
    <n v="5"/>
    <n v="29673.599999999999"/>
    <n v="563798.4"/>
    <n v="413138.33496236778"/>
    <n v="150660.06503763219"/>
  </r>
  <r>
    <x v="93"/>
    <x v="3"/>
    <x v="2"/>
    <x v="3"/>
    <n v="91326"/>
    <n v="17"/>
    <n v="35264"/>
    <n v="0.2"/>
    <n v="1"/>
    <n v="119897.60000000001"/>
    <n v="479590.40000000002"/>
    <n v="304248.30492007389"/>
    <n v="175342.0950799261"/>
  </r>
  <r>
    <x v="94"/>
    <x v="3"/>
    <x v="2"/>
    <x v="1"/>
    <n v="22205"/>
    <n v="7"/>
    <n v="1925"/>
    <n v="0"/>
    <n v="4"/>
    <n v="0"/>
    <n v="13475"/>
    <n v="11468.26660365831"/>
    <n v="2006.7333963416879"/>
  </r>
  <r>
    <x v="95"/>
    <x v="3"/>
    <x v="2"/>
    <x v="0"/>
    <n v="99874"/>
    <n v="13"/>
    <n v="49646"/>
    <n v="0.05"/>
    <n v="1"/>
    <n v="32269.9"/>
    <n v="613128.1"/>
    <n v="372959.41595354228"/>
    <n v="240168.6840464577"/>
  </r>
  <r>
    <x v="96"/>
    <x v="3"/>
    <x v="1"/>
    <x v="5"/>
    <n v="22748"/>
    <n v="2"/>
    <n v="7349"/>
    <n v="0.05"/>
    <n v="4"/>
    <n v="734.90000000000009"/>
    <n v="13963.1"/>
    <n v="11871.38892307977"/>
    <n v="2091.71107692023"/>
  </r>
  <r>
    <x v="97"/>
    <x v="1"/>
    <x v="0"/>
    <x v="4"/>
    <n v="31097"/>
    <n v="4"/>
    <n v="36515"/>
    <n v="0.15"/>
    <n v="4"/>
    <n v="21909"/>
    <n v="124151"/>
    <n v="79715.557386791668"/>
    <n v="44435.442613208332"/>
  </r>
  <r>
    <x v="98"/>
    <x v="3"/>
    <x v="1"/>
    <x v="2"/>
    <n v="13092"/>
    <n v="10"/>
    <n v="19476"/>
    <n v="0.05"/>
    <n v="5"/>
    <n v="9738"/>
    <n v="185022"/>
    <n v="160223.3595741723"/>
    <n v="24798.6404258277"/>
  </r>
  <r>
    <x v="99"/>
    <x v="2"/>
    <x v="2"/>
    <x v="1"/>
    <n v="63311"/>
    <n v="39"/>
    <n v="34758"/>
    <n v="0.05"/>
    <n v="3"/>
    <n v="67778.100000000006"/>
    <n v="1287783.8999999999"/>
    <n v="1054607.175906613"/>
    <n v="233176.72409338711"/>
  </r>
  <r>
    <x v="100"/>
    <x v="0"/>
    <x v="4"/>
    <x v="4"/>
    <n v="32692"/>
    <n v="24"/>
    <n v="47578"/>
    <n v="0.2"/>
    <n v="2"/>
    <n v="228374.39999999999"/>
    <n v="913497.59999999998"/>
    <n v="593226.326877538"/>
    <n v="320271.27312246198"/>
  </r>
  <r>
    <x v="101"/>
    <x v="3"/>
    <x v="3"/>
    <x v="0"/>
    <n v="33862"/>
    <n v="17"/>
    <n v="31613"/>
    <n v="0"/>
    <n v="2"/>
    <n v="0"/>
    <n v="537421"/>
    <n v="413677.34146215848"/>
    <n v="123743.6585378415"/>
  </r>
  <r>
    <x v="102"/>
    <x v="3"/>
    <x v="0"/>
    <x v="5"/>
    <n v="89507"/>
    <n v="6"/>
    <n v="15901"/>
    <n v="0.1"/>
    <n v="2"/>
    <n v="9540.6"/>
    <n v="85865.4"/>
    <n v="59573.147848390989"/>
    <n v="26292.252151609009"/>
  </r>
  <r>
    <x v="103"/>
    <x v="1"/>
    <x v="0"/>
    <x v="0"/>
    <n v="90152"/>
    <n v="19"/>
    <n v="13384"/>
    <n v="0"/>
    <n v="3"/>
    <n v="0"/>
    <n v="254296"/>
    <n v="166174.789236246"/>
    <n v="88121.210763753974"/>
  </r>
  <r>
    <x v="104"/>
    <x v="3"/>
    <x v="1"/>
    <x v="5"/>
    <n v="80469"/>
    <n v="5"/>
    <n v="19324"/>
    <n v="0.15"/>
    <n v="1"/>
    <n v="14493"/>
    <n v="82127"/>
    <n v="70444.816947310828"/>
    <n v="11682.18305268917"/>
  </r>
  <r>
    <x v="105"/>
    <x v="3"/>
    <x v="0"/>
    <x v="3"/>
    <n v="14926"/>
    <n v="32"/>
    <n v="38063"/>
    <n v="0"/>
    <n v="2"/>
    <n v="0"/>
    <n v="1218016"/>
    <n v="878258.75579102081"/>
    <n v="339757.24420897919"/>
  </r>
  <r>
    <x v="106"/>
    <x v="3"/>
    <x v="2"/>
    <x v="2"/>
    <n v="13969"/>
    <n v="10"/>
    <n v="34914"/>
    <n v="0.05"/>
    <n v="1"/>
    <n v="17457"/>
    <n v="331683"/>
    <n v="238666.85244355601"/>
    <n v="93016.147556444048"/>
  </r>
  <r>
    <x v="107"/>
    <x v="1"/>
    <x v="2"/>
    <x v="3"/>
    <n v="45733"/>
    <n v="9"/>
    <n v="16642"/>
    <n v="0.15"/>
    <n v="3"/>
    <n v="22466.7"/>
    <n v="127311.3"/>
    <n v="82875.328026692412"/>
    <n v="44435.971973307591"/>
  </r>
  <r>
    <x v="108"/>
    <x v="3"/>
    <x v="1"/>
    <x v="3"/>
    <n v="79855"/>
    <n v="27"/>
    <n v="47574"/>
    <n v="0"/>
    <n v="3"/>
    <n v="0"/>
    <n v="1284498"/>
    <n v="918312.92844024918"/>
    <n v="366185.07155975082"/>
  </r>
  <r>
    <x v="109"/>
    <x v="0"/>
    <x v="2"/>
    <x v="0"/>
    <n v="51743"/>
    <n v="13"/>
    <n v="6456"/>
    <n v="0.15"/>
    <n v="5"/>
    <n v="12589.2"/>
    <n v="71338.8"/>
    <n v="61457.309963065367"/>
    <n v="9881.4900369346287"/>
  </r>
  <r>
    <x v="110"/>
    <x v="1"/>
    <x v="4"/>
    <x v="2"/>
    <n v="49876"/>
    <n v="19"/>
    <n v="14428"/>
    <n v="0.1"/>
    <n v="2"/>
    <n v="27413.200000000001"/>
    <n v="246718.8"/>
    <n v="174908.48390926511"/>
    <n v="71810.316090734879"/>
  </r>
  <r>
    <x v="111"/>
    <x v="0"/>
    <x v="1"/>
    <x v="5"/>
    <n v="30323"/>
    <n v="21"/>
    <n v="10221"/>
    <n v="0"/>
    <n v="5"/>
    <n v="0"/>
    <n v="214641"/>
    <n v="190060.54207755509"/>
    <n v="24580.457922444912"/>
  </r>
  <r>
    <x v="112"/>
    <x v="1"/>
    <x v="4"/>
    <x v="5"/>
    <n v="26428"/>
    <n v="24"/>
    <n v="11657"/>
    <n v="0.05"/>
    <n v="2"/>
    <n v="13988.4"/>
    <n v="265779.59999999998"/>
    <n v="234920.64021241371"/>
    <n v="30858.959787586329"/>
  </r>
  <r>
    <x v="113"/>
    <x v="3"/>
    <x v="3"/>
    <x v="1"/>
    <n v="44578"/>
    <n v="38"/>
    <n v="35635"/>
    <n v="0.15"/>
    <n v="3"/>
    <n v="203119.5"/>
    <n v="1151010.5"/>
    <n v="740640.26348960341"/>
    <n v="410370.23651039659"/>
  </r>
  <r>
    <x v="114"/>
    <x v="0"/>
    <x v="4"/>
    <x v="4"/>
    <n v="96486"/>
    <n v="4"/>
    <n v="7196"/>
    <n v="0.2"/>
    <n v="3"/>
    <n v="5756.8"/>
    <n v="23027.200000000001"/>
    <n v="15041.21450913499"/>
    <n v="7985.9854908650068"/>
  </r>
  <r>
    <x v="115"/>
    <x v="1"/>
    <x v="3"/>
    <x v="1"/>
    <n v="74140"/>
    <n v="24"/>
    <n v="28362"/>
    <n v="0.15"/>
    <n v="4"/>
    <n v="102103.2"/>
    <n v="578584.80000000005"/>
    <n v="496889.91133444861"/>
    <n v="81694.888665551436"/>
  </r>
  <r>
    <x v="116"/>
    <x v="2"/>
    <x v="3"/>
    <x v="1"/>
    <n v="93829"/>
    <n v="35"/>
    <n v="5690"/>
    <n v="0.2"/>
    <n v="4"/>
    <n v="39830"/>
    <n v="159320"/>
    <n v="114364.4008809259"/>
    <n v="44955.599119074133"/>
  </r>
  <r>
    <x v="117"/>
    <x v="3"/>
    <x v="4"/>
    <x v="5"/>
    <n v="16364"/>
    <n v="3"/>
    <n v="5163"/>
    <n v="0.05"/>
    <n v="3"/>
    <n v="774.45"/>
    <n v="14714.55"/>
    <n v="8848.0383543007356"/>
    <n v="5866.5116456992637"/>
  </r>
  <r>
    <x v="118"/>
    <x v="1"/>
    <x v="1"/>
    <x v="0"/>
    <n v="45349"/>
    <n v="4"/>
    <n v="40330"/>
    <n v="0.1"/>
    <n v="3"/>
    <n v="16132"/>
    <n v="145188"/>
    <n v="99041.670527815018"/>
    <n v="46146.329472184982"/>
  </r>
  <r>
    <x v="119"/>
    <x v="2"/>
    <x v="2"/>
    <x v="3"/>
    <n v="10691"/>
    <n v="37"/>
    <n v="4831"/>
    <n v="0.2"/>
    <n v="1"/>
    <n v="35749.4"/>
    <n v="142997.6"/>
    <n v="111436.4135152144"/>
    <n v="31561.18648478559"/>
  </r>
  <r>
    <x v="120"/>
    <x v="1"/>
    <x v="2"/>
    <x v="3"/>
    <n v="76467"/>
    <n v="40"/>
    <n v="45148"/>
    <n v="0.1"/>
    <n v="1"/>
    <n v="180592"/>
    <n v="1625328"/>
    <n v="1364917.6061765349"/>
    <n v="260410.3938234651"/>
  </r>
  <r>
    <x v="121"/>
    <x v="2"/>
    <x v="3"/>
    <x v="3"/>
    <n v="55896"/>
    <n v="48"/>
    <n v="29049"/>
    <n v="0.15"/>
    <n v="5"/>
    <n v="209152.8"/>
    <n v="1185199.2"/>
    <n v="758547.14468041121"/>
    <n v="426652.05531958869"/>
  </r>
  <r>
    <x v="122"/>
    <x v="3"/>
    <x v="3"/>
    <x v="2"/>
    <n v="67062"/>
    <n v="35"/>
    <n v="16746"/>
    <n v="0.05"/>
    <n v="4"/>
    <n v="29305.5"/>
    <n v="556804.5"/>
    <n v="352547.67874301341"/>
    <n v="204256.82125698659"/>
  </r>
  <r>
    <x v="123"/>
    <x v="0"/>
    <x v="1"/>
    <x v="5"/>
    <n v="89762"/>
    <n v="31"/>
    <n v="26261"/>
    <n v="0.2"/>
    <n v="4"/>
    <n v="162818.20000000001"/>
    <n v="651272.80000000005"/>
    <n v="570923.83930544474"/>
    <n v="80348.96069455531"/>
  </r>
  <r>
    <x v="124"/>
    <x v="2"/>
    <x v="0"/>
    <x v="0"/>
    <n v="23861"/>
    <n v="44"/>
    <n v="3762"/>
    <n v="0.15"/>
    <n v="3"/>
    <n v="24829.200000000001"/>
    <n v="140698.79999999999"/>
    <n v="116124.9821923788"/>
    <n v="24573.817807621192"/>
  </r>
  <r>
    <x v="125"/>
    <x v="1"/>
    <x v="4"/>
    <x v="2"/>
    <n v="98302"/>
    <n v="25"/>
    <n v="46588"/>
    <n v="0"/>
    <n v="3"/>
    <n v="0"/>
    <n v="1164700"/>
    <n v="904894.89030786848"/>
    <n v="259805.10969213149"/>
  </r>
  <r>
    <x v="126"/>
    <x v="3"/>
    <x v="3"/>
    <x v="4"/>
    <n v="73928"/>
    <n v="40"/>
    <n v="7536"/>
    <n v="0.15"/>
    <n v="5"/>
    <n v="45216"/>
    <n v="256224"/>
    <n v="212859.63482397501"/>
    <n v="43364.365176024992"/>
  </r>
  <r>
    <x v="127"/>
    <x v="2"/>
    <x v="2"/>
    <x v="0"/>
    <n v="93231"/>
    <n v="13"/>
    <n v="22822"/>
    <n v="0.1"/>
    <n v="4"/>
    <n v="29668.6"/>
    <n v="267017.40000000002"/>
    <n v="194563.91296042781"/>
    <n v="72453.487039572268"/>
  </r>
  <r>
    <x v="128"/>
    <x v="1"/>
    <x v="1"/>
    <x v="1"/>
    <n v="51347"/>
    <n v="4"/>
    <n v="19631"/>
    <n v="0.05"/>
    <n v="1"/>
    <n v="3926.2"/>
    <n v="74597.8"/>
    <n v="61732.419043985043"/>
    <n v="12865.380956014969"/>
  </r>
  <r>
    <x v="129"/>
    <x v="1"/>
    <x v="4"/>
    <x v="0"/>
    <n v="13121"/>
    <n v="46"/>
    <n v="5177"/>
    <n v="0.05"/>
    <n v="2"/>
    <n v="11907.1"/>
    <n v="226234.9"/>
    <n v="160975.38376520859"/>
    <n v="65259.516234791372"/>
  </r>
  <r>
    <x v="130"/>
    <x v="1"/>
    <x v="1"/>
    <x v="0"/>
    <n v="93793"/>
    <n v="14"/>
    <n v="8472"/>
    <n v="0.15"/>
    <n v="5"/>
    <n v="17791.2"/>
    <n v="100816.8"/>
    <n v="67872.730108821663"/>
    <n v="32944.06989117834"/>
  </r>
  <r>
    <x v="131"/>
    <x v="2"/>
    <x v="4"/>
    <x v="3"/>
    <n v="38164"/>
    <n v="13"/>
    <n v="15829"/>
    <n v="0"/>
    <n v="2"/>
    <n v="0"/>
    <n v="205777"/>
    <n v="168470.45843802101"/>
    <n v="37306.541561979007"/>
  </r>
  <r>
    <x v="132"/>
    <x v="2"/>
    <x v="4"/>
    <x v="0"/>
    <n v="35491"/>
    <n v="27"/>
    <n v="37532"/>
    <n v="0.1"/>
    <n v="1"/>
    <n v="101336.4"/>
    <n v="912027.6"/>
    <n v="662042.37402080756"/>
    <n v="249985.22597919239"/>
  </r>
  <r>
    <x v="133"/>
    <x v="2"/>
    <x v="3"/>
    <x v="1"/>
    <n v="69222"/>
    <n v="6"/>
    <n v="36401"/>
    <n v="0.15"/>
    <n v="1"/>
    <n v="32760.9"/>
    <n v="185645.1"/>
    <n v="166043.4152011041"/>
    <n v="19601.684798895931"/>
  </r>
  <r>
    <x v="134"/>
    <x v="0"/>
    <x v="1"/>
    <x v="1"/>
    <n v="33165"/>
    <n v="17"/>
    <n v="44880"/>
    <n v="0.15"/>
    <n v="2"/>
    <n v="114444"/>
    <n v="648516"/>
    <n v="457103.61974691611"/>
    <n v="191412.38025308389"/>
  </r>
  <r>
    <x v="135"/>
    <x v="2"/>
    <x v="1"/>
    <x v="5"/>
    <n v="13748"/>
    <n v="36"/>
    <n v="20993"/>
    <n v="0.05"/>
    <n v="5"/>
    <n v="37787.4"/>
    <n v="717960.6"/>
    <n v="629305.55156428099"/>
    <n v="88655.048435718985"/>
  </r>
  <r>
    <x v="136"/>
    <x v="2"/>
    <x v="2"/>
    <x v="0"/>
    <n v="36553"/>
    <n v="40"/>
    <n v="19095"/>
    <n v="0.1"/>
    <n v="2"/>
    <n v="76380"/>
    <n v="687420"/>
    <n v="604853.13454079453"/>
    <n v="82566.865459205466"/>
  </r>
  <r>
    <x v="137"/>
    <x v="2"/>
    <x v="2"/>
    <x v="3"/>
    <n v="70380"/>
    <n v="49"/>
    <n v="22423"/>
    <n v="0"/>
    <n v="5"/>
    <n v="0"/>
    <n v="1098727"/>
    <n v="738955.30889088218"/>
    <n v="359771.69110911782"/>
  </r>
  <r>
    <x v="138"/>
    <x v="0"/>
    <x v="3"/>
    <x v="0"/>
    <n v="54331"/>
    <n v="35"/>
    <n v="47426"/>
    <n v="0.05"/>
    <n v="5"/>
    <n v="82995.5"/>
    <n v="1576914.5"/>
    <n v="1323766.666635982"/>
    <n v="253147.8333640185"/>
  </r>
  <r>
    <x v="139"/>
    <x v="2"/>
    <x v="3"/>
    <x v="4"/>
    <n v="49560"/>
    <n v="17"/>
    <n v="10235"/>
    <n v="0.15"/>
    <n v="3"/>
    <n v="26099.25"/>
    <n v="147895.75"/>
    <n v="107952.4136232703"/>
    <n v="39943.336376729712"/>
  </r>
  <r>
    <x v="140"/>
    <x v="1"/>
    <x v="0"/>
    <x v="4"/>
    <n v="63865"/>
    <n v="41"/>
    <n v="34957"/>
    <n v="0.05"/>
    <n v="4"/>
    <n v="71661.850000000006"/>
    <n v="1361575.15"/>
    <n v="1191728.750432211"/>
    <n v="169846.3995677889"/>
  </r>
  <r>
    <x v="141"/>
    <x v="2"/>
    <x v="2"/>
    <x v="3"/>
    <n v="56686"/>
    <n v="2"/>
    <n v="43031"/>
    <n v="0.05"/>
    <n v="4"/>
    <n v="4303.1000000000004"/>
    <n v="81758.899999999994"/>
    <n v="60095.839618187172"/>
    <n v="21663.060381812818"/>
  </r>
  <r>
    <x v="142"/>
    <x v="1"/>
    <x v="4"/>
    <x v="5"/>
    <n v="85910"/>
    <n v="13"/>
    <n v="8227"/>
    <n v="0.2"/>
    <n v="1"/>
    <n v="21390.2"/>
    <n v="85560.8"/>
    <n v="70441.446449507683"/>
    <n v="15119.35355049232"/>
  </r>
  <r>
    <x v="143"/>
    <x v="1"/>
    <x v="1"/>
    <x v="5"/>
    <n v="14675"/>
    <n v="2"/>
    <n v="8264"/>
    <n v="0.05"/>
    <n v="3"/>
    <n v="826.40000000000009"/>
    <n v="15701.6"/>
    <n v="11620.600641517891"/>
    <n v="4080.9993584821132"/>
  </r>
  <r>
    <x v="144"/>
    <x v="1"/>
    <x v="3"/>
    <x v="1"/>
    <n v="76706"/>
    <n v="28"/>
    <n v="46271"/>
    <n v="0.05"/>
    <n v="4"/>
    <n v="64779.4"/>
    <n v="1230808.6000000001"/>
    <n v="822598.89876536478"/>
    <n v="408209.70123463531"/>
  </r>
  <r>
    <x v="145"/>
    <x v="0"/>
    <x v="1"/>
    <x v="1"/>
    <n v="87986"/>
    <n v="43"/>
    <n v="28099"/>
    <n v="0.1"/>
    <n v="5"/>
    <n v="120825.7"/>
    <n v="1087431.3"/>
    <n v="717492.65096204635"/>
    <n v="369938.6490379537"/>
  </r>
  <r>
    <x v="146"/>
    <x v="0"/>
    <x v="1"/>
    <x v="2"/>
    <n v="86216"/>
    <n v="26"/>
    <n v="1318"/>
    <n v="0.05"/>
    <n v="5"/>
    <n v="1713.4"/>
    <n v="32554.6"/>
    <n v="23687.682706961288"/>
    <n v="8866.9172930387103"/>
  </r>
  <r>
    <x v="147"/>
    <x v="0"/>
    <x v="0"/>
    <x v="3"/>
    <n v="20068"/>
    <n v="22"/>
    <n v="47707"/>
    <n v="0"/>
    <n v="2"/>
    <n v="0"/>
    <n v="1049554"/>
    <n v="867612.13177436928"/>
    <n v="181941.86822563069"/>
  </r>
  <r>
    <x v="148"/>
    <x v="2"/>
    <x v="2"/>
    <x v="0"/>
    <n v="64460"/>
    <n v="47"/>
    <n v="48345"/>
    <n v="0.15"/>
    <n v="2"/>
    <n v="340832.25"/>
    <n v="1931382.75"/>
    <n v="1509417.038698504"/>
    <n v="421965.71130149579"/>
  </r>
  <r>
    <x v="149"/>
    <x v="1"/>
    <x v="3"/>
    <x v="3"/>
    <n v="56418"/>
    <n v="43"/>
    <n v="37789"/>
    <n v="0.1"/>
    <n v="5"/>
    <n v="162492.70000000001"/>
    <n v="1462434.3"/>
    <n v="1179583.108060559"/>
    <n v="282851.19193944061"/>
  </r>
  <r>
    <x v="150"/>
    <x v="0"/>
    <x v="1"/>
    <x v="2"/>
    <n v="36206"/>
    <n v="3"/>
    <n v="34392"/>
    <n v="0.05"/>
    <n v="5"/>
    <n v="5158.8"/>
    <n v="98017.2"/>
    <n v="67112.171515488881"/>
    <n v="30905.02848451112"/>
  </r>
  <r>
    <x v="151"/>
    <x v="0"/>
    <x v="3"/>
    <x v="1"/>
    <n v="10287"/>
    <n v="35"/>
    <n v="6160"/>
    <n v="0"/>
    <n v="2"/>
    <n v="0"/>
    <n v="215600"/>
    <n v="160499.23817653791"/>
    <n v="55100.76182346209"/>
  </r>
  <r>
    <x v="152"/>
    <x v="2"/>
    <x v="4"/>
    <x v="3"/>
    <n v="32337"/>
    <n v="12"/>
    <n v="30021"/>
    <n v="0.15"/>
    <n v="4"/>
    <n v="54037.8"/>
    <n v="306214.2"/>
    <n v="187806.85816391121"/>
    <n v="118407.3418360889"/>
  </r>
  <r>
    <x v="153"/>
    <x v="0"/>
    <x v="0"/>
    <x v="3"/>
    <n v="30666"/>
    <n v="24"/>
    <n v="38909"/>
    <n v="0.1"/>
    <n v="1"/>
    <n v="93381.6"/>
    <n v="840434.4"/>
    <n v="710385.34964589414"/>
    <n v="130049.0503541059"/>
  </r>
  <r>
    <x v="154"/>
    <x v="2"/>
    <x v="4"/>
    <x v="1"/>
    <n v="11161"/>
    <n v="5"/>
    <n v="34970"/>
    <n v="0"/>
    <n v="2"/>
    <n v="0"/>
    <n v="174850"/>
    <n v="156834.79337029261"/>
    <n v="18015.206629707362"/>
  </r>
  <r>
    <x v="155"/>
    <x v="3"/>
    <x v="3"/>
    <x v="2"/>
    <n v="48751"/>
    <n v="20"/>
    <n v="18885"/>
    <n v="0.05"/>
    <n v="4"/>
    <n v="18885"/>
    <n v="358815"/>
    <n v="259087.29325670141"/>
    <n v="99727.706743298622"/>
  </r>
  <r>
    <x v="156"/>
    <x v="0"/>
    <x v="3"/>
    <x v="1"/>
    <n v="92063"/>
    <n v="39"/>
    <n v="23796"/>
    <n v="0.2"/>
    <n v="4"/>
    <n v="185608.8"/>
    <n v="742435.2"/>
    <n v="447903.06060163438"/>
    <n v="294532.13939836557"/>
  </r>
  <r>
    <x v="157"/>
    <x v="3"/>
    <x v="2"/>
    <x v="5"/>
    <n v="99389"/>
    <n v="39"/>
    <n v="24116"/>
    <n v="0.2"/>
    <n v="4"/>
    <n v="188104.8"/>
    <n v="752419.2"/>
    <n v="489778.09260504361"/>
    <n v="262641.10739495629"/>
  </r>
  <r>
    <x v="158"/>
    <x v="2"/>
    <x v="1"/>
    <x v="0"/>
    <n v="24758"/>
    <n v="13"/>
    <n v="26882"/>
    <n v="0.1"/>
    <n v="3"/>
    <n v="34946.6"/>
    <n v="314519.40000000002"/>
    <n v="250281.34862218061"/>
    <n v="64238.051377819473"/>
  </r>
  <r>
    <x v="159"/>
    <x v="1"/>
    <x v="1"/>
    <x v="1"/>
    <n v="75780"/>
    <n v="41"/>
    <n v="11639"/>
    <n v="0"/>
    <n v="3"/>
    <n v="0"/>
    <n v="477199"/>
    <n v="373944.49157026899"/>
    <n v="103254.50842973099"/>
  </r>
  <r>
    <x v="160"/>
    <x v="0"/>
    <x v="4"/>
    <x v="2"/>
    <n v="13178"/>
    <n v="45"/>
    <n v="32560"/>
    <n v="0.15"/>
    <n v="4"/>
    <n v="219780"/>
    <n v="1245420"/>
    <n v="1041618.743719868"/>
    <n v="203801.25628013149"/>
  </r>
  <r>
    <x v="161"/>
    <x v="2"/>
    <x v="0"/>
    <x v="4"/>
    <n v="41831"/>
    <n v="12"/>
    <n v="22919"/>
    <n v="0"/>
    <n v="5"/>
    <n v="0"/>
    <n v="275028"/>
    <n v="185964.36352998021"/>
    <n v="89063.636470019817"/>
  </r>
  <r>
    <x v="162"/>
    <x v="1"/>
    <x v="1"/>
    <x v="5"/>
    <n v="12176"/>
    <n v="13"/>
    <n v="28285"/>
    <n v="0.2"/>
    <n v="3"/>
    <n v="73541"/>
    <n v="294164"/>
    <n v="243888.30564150211"/>
    <n v="50275.694358497858"/>
  </r>
  <r>
    <x v="163"/>
    <x v="1"/>
    <x v="2"/>
    <x v="4"/>
    <n v="43654"/>
    <n v="10"/>
    <n v="16202"/>
    <n v="0.1"/>
    <n v="2"/>
    <n v="16202"/>
    <n v="145818"/>
    <n v="117586.93621516151"/>
    <n v="28231.06378483845"/>
  </r>
  <r>
    <x v="164"/>
    <x v="3"/>
    <x v="4"/>
    <x v="1"/>
    <n v="36627"/>
    <n v="33"/>
    <n v="29717"/>
    <n v="0.05"/>
    <n v="3"/>
    <n v="49033.05"/>
    <n v="931627.95"/>
    <n v="649199.67262062815"/>
    <n v="282428.27737937181"/>
  </r>
  <r>
    <x v="165"/>
    <x v="2"/>
    <x v="4"/>
    <x v="5"/>
    <n v="62550"/>
    <n v="40"/>
    <n v="39791"/>
    <n v="0"/>
    <n v="5"/>
    <n v="0"/>
    <n v="1591640"/>
    <n v="1215450.2267920149"/>
    <n v="376189.7732079851"/>
  </r>
  <r>
    <x v="166"/>
    <x v="1"/>
    <x v="2"/>
    <x v="0"/>
    <n v="54910"/>
    <n v="16"/>
    <n v="12897"/>
    <n v="0.2"/>
    <n v="1"/>
    <n v="41270.400000000001"/>
    <n v="165081.60000000001"/>
    <n v="106342.6187834992"/>
    <n v="58738.98121650079"/>
  </r>
  <r>
    <x v="167"/>
    <x v="0"/>
    <x v="0"/>
    <x v="1"/>
    <n v="68251"/>
    <n v="45"/>
    <n v="41379"/>
    <n v="0.15"/>
    <n v="3"/>
    <n v="279308.25"/>
    <n v="1582746.75"/>
    <n v="1164536.5490934099"/>
    <n v="418210.20090659033"/>
  </r>
  <r>
    <x v="168"/>
    <x v="0"/>
    <x v="2"/>
    <x v="0"/>
    <n v="45422"/>
    <n v="35"/>
    <n v="35669"/>
    <n v="0.1"/>
    <n v="4"/>
    <n v="124841.5"/>
    <n v="1123573.5"/>
    <n v="971171.09369856608"/>
    <n v="152402.40630143389"/>
  </r>
  <r>
    <x v="169"/>
    <x v="3"/>
    <x v="0"/>
    <x v="3"/>
    <n v="21984"/>
    <n v="3"/>
    <n v="27440"/>
    <n v="0.05"/>
    <n v="4"/>
    <n v="4116"/>
    <n v="78204"/>
    <n v="56804.055200359457"/>
    <n v="21399.94479964054"/>
  </r>
  <r>
    <x v="170"/>
    <x v="1"/>
    <x v="2"/>
    <x v="4"/>
    <n v="99312"/>
    <n v="5"/>
    <n v="42749"/>
    <n v="0"/>
    <n v="4"/>
    <n v="0"/>
    <n v="213745"/>
    <n v="182082.9557026767"/>
    <n v="31662.044297323271"/>
  </r>
  <r>
    <x v="171"/>
    <x v="2"/>
    <x v="2"/>
    <x v="5"/>
    <n v="71386"/>
    <n v="26"/>
    <n v="28841"/>
    <n v="0.15"/>
    <n v="1"/>
    <n v="112479.9"/>
    <n v="637386.1"/>
    <n v="495297.44714842562"/>
    <n v="142088.65285157441"/>
  </r>
  <r>
    <x v="172"/>
    <x v="0"/>
    <x v="3"/>
    <x v="0"/>
    <n v="93291"/>
    <n v="11"/>
    <n v="10567"/>
    <n v="0.05"/>
    <n v="5"/>
    <n v="5811.85"/>
    <n v="110425.15"/>
    <n v="72611.494447750418"/>
    <n v="37813.655552249576"/>
  </r>
  <r>
    <x v="173"/>
    <x v="1"/>
    <x v="4"/>
    <x v="2"/>
    <n v="17135"/>
    <n v="7"/>
    <n v="46644"/>
    <n v="0.2"/>
    <n v="2"/>
    <n v="65301.600000000013"/>
    <n v="261206.39999999999"/>
    <n v="202260.441058517"/>
    <n v="58945.958941483033"/>
  </r>
  <r>
    <x v="174"/>
    <x v="1"/>
    <x v="2"/>
    <x v="0"/>
    <n v="10320"/>
    <n v="10"/>
    <n v="14324"/>
    <n v="0.2"/>
    <n v="5"/>
    <n v="28648"/>
    <n v="114592"/>
    <n v="86149.692496429867"/>
    <n v="28442.307503570129"/>
  </r>
  <r>
    <x v="175"/>
    <x v="3"/>
    <x v="2"/>
    <x v="2"/>
    <n v="31684"/>
    <n v="42"/>
    <n v="13944"/>
    <n v="0.15"/>
    <n v="1"/>
    <n v="87847.2"/>
    <n v="497800.8"/>
    <n v="358213.67267214839"/>
    <n v="139587.1273278516"/>
  </r>
  <r>
    <x v="176"/>
    <x v="0"/>
    <x v="1"/>
    <x v="1"/>
    <n v="65913"/>
    <n v="34"/>
    <n v="46147"/>
    <n v="0.2"/>
    <n v="4"/>
    <n v="313799.59999999998"/>
    <n v="1255198.3999999999"/>
    <n v="798167.0208815604"/>
    <n v="457031.37911843951"/>
  </r>
  <r>
    <x v="177"/>
    <x v="0"/>
    <x v="4"/>
    <x v="5"/>
    <n v="98774"/>
    <n v="3"/>
    <n v="49380"/>
    <n v="0.1"/>
    <n v="5"/>
    <n v="14814"/>
    <n v="133326"/>
    <n v="96663.029794828733"/>
    <n v="36662.970205171267"/>
  </r>
  <r>
    <x v="178"/>
    <x v="2"/>
    <x v="1"/>
    <x v="0"/>
    <n v="31889"/>
    <n v="8"/>
    <n v="33807"/>
    <n v="0.15"/>
    <n v="2"/>
    <n v="40568.400000000001"/>
    <n v="229887.6"/>
    <n v="142950.7104132075"/>
    <n v="86936.889586792531"/>
  </r>
  <r>
    <x v="179"/>
    <x v="0"/>
    <x v="4"/>
    <x v="0"/>
    <n v="58899"/>
    <n v="31"/>
    <n v="11474"/>
    <n v="0.2"/>
    <n v="4"/>
    <n v="71138.8"/>
    <n v="284555.2"/>
    <n v="179164.69415237461"/>
    <n v="105390.50584762541"/>
  </r>
  <r>
    <x v="180"/>
    <x v="2"/>
    <x v="1"/>
    <x v="5"/>
    <n v="20770"/>
    <n v="11"/>
    <n v="47114"/>
    <n v="0"/>
    <n v="2"/>
    <n v="0"/>
    <n v="518254"/>
    <n v="375617.52205755352"/>
    <n v="142636.47794244651"/>
  </r>
  <r>
    <x v="181"/>
    <x v="0"/>
    <x v="2"/>
    <x v="0"/>
    <n v="49321"/>
    <n v="45"/>
    <n v="38883"/>
    <n v="0.2"/>
    <n v="3"/>
    <n v="349947"/>
    <n v="1399788"/>
    <n v="968113.60016450158"/>
    <n v="431674.39983549842"/>
  </r>
  <r>
    <x v="182"/>
    <x v="3"/>
    <x v="2"/>
    <x v="2"/>
    <n v="95962"/>
    <n v="7"/>
    <n v="29790"/>
    <n v="0.1"/>
    <n v="2"/>
    <n v="20853"/>
    <n v="187677"/>
    <n v="164717.21473345341"/>
    <n v="22959.78526654662"/>
  </r>
  <r>
    <x v="183"/>
    <x v="0"/>
    <x v="3"/>
    <x v="0"/>
    <n v="51777"/>
    <n v="45"/>
    <n v="16516"/>
    <n v="0.05"/>
    <n v="4"/>
    <n v="37161"/>
    <n v="706059"/>
    <n v="503216.53957229649"/>
    <n v="202842.46042770351"/>
  </r>
  <r>
    <x v="184"/>
    <x v="2"/>
    <x v="1"/>
    <x v="4"/>
    <n v="56250"/>
    <n v="2"/>
    <n v="32612"/>
    <n v="0.05"/>
    <n v="3"/>
    <n v="3261.2"/>
    <n v="61962.8"/>
    <n v="51265.383373898752"/>
    <n v="10697.41662610126"/>
  </r>
  <r>
    <x v="185"/>
    <x v="2"/>
    <x v="0"/>
    <x v="1"/>
    <n v="83034"/>
    <n v="6"/>
    <n v="29013"/>
    <n v="0.2"/>
    <n v="4"/>
    <n v="34815.599999999999"/>
    <n v="139262.39999999999"/>
    <n v="105710.5029347479"/>
    <n v="33551.897065252117"/>
  </r>
  <r>
    <x v="186"/>
    <x v="3"/>
    <x v="3"/>
    <x v="3"/>
    <n v="50130"/>
    <n v="41"/>
    <n v="3456"/>
    <n v="0.05"/>
    <n v="4"/>
    <n v="7084.8"/>
    <n v="134611.20000000001"/>
    <n v="109200.06502762419"/>
    <n v="25411.134972375861"/>
  </r>
  <r>
    <x v="187"/>
    <x v="0"/>
    <x v="1"/>
    <x v="2"/>
    <n v="91931"/>
    <n v="32"/>
    <n v="8577"/>
    <n v="0.2"/>
    <n v="3"/>
    <n v="54892.800000000003"/>
    <n v="219571.20000000001"/>
    <n v="148876.91355896121"/>
    <n v="70694.28644103877"/>
  </r>
  <r>
    <x v="188"/>
    <x v="0"/>
    <x v="1"/>
    <x v="4"/>
    <n v="59346"/>
    <n v="20"/>
    <n v="36990"/>
    <n v="0.1"/>
    <n v="2"/>
    <n v="73980"/>
    <n v="665820"/>
    <n v="587633.75070456485"/>
    <n v="78186.249295435147"/>
  </r>
  <r>
    <x v="189"/>
    <x v="3"/>
    <x v="3"/>
    <x v="1"/>
    <n v="12537"/>
    <n v="34"/>
    <n v="45327"/>
    <n v="0.05"/>
    <n v="1"/>
    <n v="77055.900000000009"/>
    <n v="1464062.1"/>
    <n v="1111262.0033935129"/>
    <n v="352800.09660648741"/>
  </r>
  <r>
    <x v="190"/>
    <x v="0"/>
    <x v="2"/>
    <x v="5"/>
    <n v="94762"/>
    <n v="16"/>
    <n v="38355"/>
    <n v="0"/>
    <n v="1"/>
    <n v="0"/>
    <n v="613680"/>
    <n v="521258.08681989962"/>
    <n v="92421.913180100382"/>
  </r>
  <r>
    <x v="191"/>
    <x v="0"/>
    <x v="1"/>
    <x v="2"/>
    <n v="25216"/>
    <n v="25"/>
    <n v="43606"/>
    <n v="0.2"/>
    <n v="1"/>
    <n v="218030"/>
    <n v="872120"/>
    <n v="618781.09505831636"/>
    <n v="253338.90494168361"/>
  </r>
  <r>
    <x v="192"/>
    <x v="2"/>
    <x v="2"/>
    <x v="3"/>
    <n v="94149"/>
    <n v="12"/>
    <n v="35438"/>
    <n v="0.05"/>
    <n v="1"/>
    <n v="21262.799999999999"/>
    <n v="403993.2"/>
    <n v="254541.33107377149"/>
    <n v="149451.86892622849"/>
  </r>
  <r>
    <x v="193"/>
    <x v="0"/>
    <x v="3"/>
    <x v="1"/>
    <n v="13009"/>
    <n v="7"/>
    <n v="36659"/>
    <n v="0.1"/>
    <n v="5"/>
    <n v="25661.3"/>
    <n v="230951.7"/>
    <n v="185249.47510527939"/>
    <n v="45702.224894720654"/>
  </r>
  <r>
    <x v="194"/>
    <x v="0"/>
    <x v="2"/>
    <x v="3"/>
    <n v="99904"/>
    <n v="39"/>
    <n v="40210"/>
    <n v="0.1"/>
    <n v="1"/>
    <n v="156819"/>
    <n v="1411371"/>
    <n v="850108.12279009179"/>
    <n v="561262.87720990821"/>
  </r>
  <r>
    <x v="195"/>
    <x v="3"/>
    <x v="4"/>
    <x v="5"/>
    <n v="39327"/>
    <n v="17"/>
    <n v="18500"/>
    <n v="0"/>
    <n v="3"/>
    <n v="0"/>
    <n v="314500"/>
    <n v="233543.89233895569"/>
    <n v="80956.107661044283"/>
  </r>
  <r>
    <x v="196"/>
    <x v="3"/>
    <x v="0"/>
    <x v="5"/>
    <n v="24209"/>
    <n v="45"/>
    <n v="14306"/>
    <n v="0.1"/>
    <n v="1"/>
    <n v="64377"/>
    <n v="579393"/>
    <n v="381148.22183748841"/>
    <n v="198244.77816251159"/>
  </r>
  <r>
    <x v="197"/>
    <x v="1"/>
    <x v="1"/>
    <x v="2"/>
    <n v="58443"/>
    <n v="11"/>
    <n v="48060"/>
    <n v="0.1"/>
    <n v="4"/>
    <n v="52866"/>
    <n v="475794"/>
    <n v="375026.85022719571"/>
    <n v="100767.1497728043"/>
  </r>
  <r>
    <x v="198"/>
    <x v="2"/>
    <x v="0"/>
    <x v="0"/>
    <n v="25029"/>
    <n v="6"/>
    <n v="13309"/>
    <n v="0.05"/>
    <n v="1"/>
    <n v="3992.7"/>
    <n v="75861.3"/>
    <n v="67806.799446621764"/>
    <n v="8054.5005533782387"/>
  </r>
  <r>
    <x v="199"/>
    <x v="0"/>
    <x v="2"/>
    <x v="5"/>
    <n v="77613"/>
    <n v="23"/>
    <n v="15355"/>
    <n v="0.2"/>
    <n v="2"/>
    <n v="70633"/>
    <n v="282532"/>
    <n v="208881.80457857539"/>
    <n v="73650.195421424578"/>
  </r>
  <r>
    <x v="200"/>
    <x v="0"/>
    <x v="1"/>
    <x v="1"/>
    <n v="89443"/>
    <n v="27"/>
    <n v="42376"/>
    <n v="0.15"/>
    <n v="3"/>
    <n v="171622.8"/>
    <n v="972529.2"/>
    <n v="822029.79762609035"/>
    <n v="150499.4023739096"/>
  </r>
  <r>
    <x v="201"/>
    <x v="1"/>
    <x v="2"/>
    <x v="0"/>
    <n v="66997"/>
    <n v="46"/>
    <n v="29888"/>
    <n v="0.1"/>
    <n v="3"/>
    <n v="137484.79999999999"/>
    <n v="1237363.2"/>
    <n v="930911.95994257112"/>
    <n v="306451.24005742877"/>
  </r>
  <r>
    <x v="202"/>
    <x v="0"/>
    <x v="4"/>
    <x v="4"/>
    <n v="72559"/>
    <n v="6"/>
    <n v="6958"/>
    <n v="0.1"/>
    <n v="5"/>
    <n v="4174.8"/>
    <n v="37573.199999999997"/>
    <n v="28133.008997003311"/>
    <n v="9440.1910029966857"/>
  </r>
  <r>
    <x v="203"/>
    <x v="2"/>
    <x v="3"/>
    <x v="3"/>
    <n v="74892"/>
    <n v="38"/>
    <n v="36024"/>
    <n v="0.15"/>
    <n v="4"/>
    <n v="205336.8"/>
    <n v="1163575.2"/>
    <n v="1022930.430648059"/>
    <n v="140644.76935194139"/>
  </r>
  <r>
    <x v="204"/>
    <x v="1"/>
    <x v="1"/>
    <x v="0"/>
    <n v="80409"/>
    <n v="2"/>
    <n v="7353"/>
    <n v="0.1"/>
    <n v="3"/>
    <n v="1470.6"/>
    <n v="13235.4"/>
    <n v="11474.956277762951"/>
    <n v="1760.4437222370509"/>
  </r>
  <r>
    <x v="205"/>
    <x v="2"/>
    <x v="4"/>
    <x v="3"/>
    <n v="18635"/>
    <n v="22"/>
    <n v="40977"/>
    <n v="0.05"/>
    <n v="2"/>
    <n v="45074.7"/>
    <n v="856419.3"/>
    <n v="715743.98530078796"/>
    <n v="140675.31469921209"/>
  </r>
  <r>
    <x v="206"/>
    <x v="1"/>
    <x v="4"/>
    <x v="0"/>
    <n v="43065"/>
    <n v="20"/>
    <n v="32722"/>
    <n v="0.05"/>
    <n v="1"/>
    <n v="32722"/>
    <n v="621718"/>
    <n v="428287.06033218128"/>
    <n v="193430.93966781869"/>
  </r>
  <r>
    <x v="207"/>
    <x v="1"/>
    <x v="1"/>
    <x v="4"/>
    <n v="43783"/>
    <n v="25"/>
    <n v="18820"/>
    <n v="0.15"/>
    <n v="3"/>
    <n v="70575"/>
    <n v="399925"/>
    <n v="305343.74719751911"/>
    <n v="94581.252802480944"/>
  </r>
  <r>
    <x v="208"/>
    <x v="3"/>
    <x v="2"/>
    <x v="5"/>
    <n v="44152"/>
    <n v="15"/>
    <n v="29118"/>
    <n v="0.1"/>
    <n v="2"/>
    <n v="43677"/>
    <n v="393093"/>
    <n v="262259.53053954948"/>
    <n v="130833.46946045051"/>
  </r>
  <r>
    <x v="209"/>
    <x v="2"/>
    <x v="4"/>
    <x v="4"/>
    <n v="68741"/>
    <n v="49"/>
    <n v="46115"/>
    <n v="0.1"/>
    <n v="1"/>
    <n v="225963.5"/>
    <n v="2033671.5"/>
    <n v="1491037.1211574059"/>
    <n v="542634.37884259387"/>
  </r>
  <r>
    <x v="210"/>
    <x v="0"/>
    <x v="0"/>
    <x v="5"/>
    <n v="61502"/>
    <n v="29"/>
    <n v="17852"/>
    <n v="0.2"/>
    <n v="5"/>
    <n v="103541.6"/>
    <n v="414166.4"/>
    <n v="308663.27468360867"/>
    <n v="105503.12531639131"/>
  </r>
  <r>
    <x v="211"/>
    <x v="0"/>
    <x v="4"/>
    <x v="5"/>
    <n v="39092"/>
    <n v="8"/>
    <n v="7797"/>
    <n v="0.1"/>
    <n v="3"/>
    <n v="6237.6"/>
    <n v="56138.400000000001"/>
    <n v="47689.122369312587"/>
    <n v="8449.2776306874075"/>
  </r>
  <r>
    <x v="212"/>
    <x v="2"/>
    <x v="2"/>
    <x v="3"/>
    <n v="27653"/>
    <n v="37"/>
    <n v="28440"/>
    <n v="0.05"/>
    <n v="3"/>
    <n v="52614"/>
    <n v="999666"/>
    <n v="868518.3275552924"/>
    <n v="131147.6724447076"/>
  </r>
  <r>
    <x v="213"/>
    <x v="0"/>
    <x v="2"/>
    <x v="1"/>
    <n v="50469"/>
    <n v="49"/>
    <n v="49524"/>
    <n v="0"/>
    <n v="2"/>
    <n v="0"/>
    <n v="2426676"/>
    <n v="1757850.1663608111"/>
    <n v="668825.83363918937"/>
  </r>
  <r>
    <x v="214"/>
    <x v="0"/>
    <x v="0"/>
    <x v="4"/>
    <n v="96483"/>
    <n v="33"/>
    <n v="3703"/>
    <n v="0"/>
    <n v="4"/>
    <n v="0"/>
    <n v="122199"/>
    <n v="73968.43964505136"/>
    <n v="48230.56035494864"/>
  </r>
  <r>
    <x v="215"/>
    <x v="2"/>
    <x v="4"/>
    <x v="0"/>
    <n v="69754"/>
    <n v="22"/>
    <n v="39767"/>
    <n v="0"/>
    <n v="5"/>
    <n v="0"/>
    <n v="874874"/>
    <n v="751107.45789356146"/>
    <n v="123766.5421064385"/>
  </r>
  <r>
    <x v="216"/>
    <x v="1"/>
    <x v="2"/>
    <x v="4"/>
    <n v="39978"/>
    <n v="47"/>
    <n v="38441"/>
    <n v="0"/>
    <n v="4"/>
    <n v="0"/>
    <n v="1806727"/>
    <n v="1178498.398191818"/>
    <n v="628228.60180818173"/>
  </r>
  <r>
    <x v="217"/>
    <x v="2"/>
    <x v="1"/>
    <x v="3"/>
    <n v="97592"/>
    <n v="5"/>
    <n v="17773"/>
    <n v="0.1"/>
    <n v="3"/>
    <n v="8886.5"/>
    <n v="79978.5"/>
    <n v="62908.255994702347"/>
    <n v="17070.244005297649"/>
  </r>
  <r>
    <x v="218"/>
    <x v="1"/>
    <x v="3"/>
    <x v="5"/>
    <n v="53169"/>
    <n v="39"/>
    <n v="25868"/>
    <n v="0.1"/>
    <n v="4"/>
    <n v="100885.2"/>
    <n v="907966.8"/>
    <n v="551581.90456808894"/>
    <n v="356384.89543191111"/>
  </r>
  <r>
    <x v="219"/>
    <x v="0"/>
    <x v="3"/>
    <x v="3"/>
    <n v="58287"/>
    <n v="18"/>
    <n v="12150"/>
    <n v="0.2"/>
    <n v="1"/>
    <n v="43740"/>
    <n v="174960"/>
    <n v="125945.2958734765"/>
    <n v="49014.704126523502"/>
  </r>
  <r>
    <x v="220"/>
    <x v="0"/>
    <x v="3"/>
    <x v="2"/>
    <n v="64745"/>
    <n v="38"/>
    <n v="31484"/>
    <n v="0.1"/>
    <n v="5"/>
    <n v="119639.2"/>
    <n v="1076752.8"/>
    <n v="964542.33479746466"/>
    <n v="112210.4652025354"/>
  </r>
  <r>
    <x v="221"/>
    <x v="0"/>
    <x v="4"/>
    <x v="2"/>
    <n v="15543"/>
    <n v="37"/>
    <n v="42441"/>
    <n v="0"/>
    <n v="4"/>
    <n v="0"/>
    <n v="1570317"/>
    <n v="989626.46208135632"/>
    <n v="580690.53791864368"/>
  </r>
  <r>
    <x v="222"/>
    <x v="3"/>
    <x v="0"/>
    <x v="0"/>
    <n v="66392"/>
    <n v="30"/>
    <n v="7882"/>
    <n v="0.15"/>
    <n v="1"/>
    <n v="35469"/>
    <n v="200991"/>
    <n v="146142.15309406799"/>
    <n v="54848.846905931983"/>
  </r>
  <r>
    <x v="223"/>
    <x v="1"/>
    <x v="2"/>
    <x v="3"/>
    <n v="31067"/>
    <n v="31"/>
    <n v="1301"/>
    <n v="0.15"/>
    <n v="2"/>
    <n v="6049.65"/>
    <n v="34281.35"/>
    <n v="23727.664483483299"/>
    <n v="10553.6855165167"/>
  </r>
  <r>
    <x v="224"/>
    <x v="3"/>
    <x v="1"/>
    <x v="0"/>
    <n v="61033"/>
    <n v="10"/>
    <n v="41502"/>
    <n v="0.05"/>
    <n v="4"/>
    <n v="20751"/>
    <n v="394269"/>
    <n v="343615.85679605033"/>
    <n v="50653.14320394973"/>
  </r>
  <r>
    <x v="225"/>
    <x v="3"/>
    <x v="1"/>
    <x v="0"/>
    <n v="55256"/>
    <n v="15"/>
    <n v="47165"/>
    <n v="0.05"/>
    <n v="5"/>
    <n v="35373.75"/>
    <n v="672101.25"/>
    <n v="578546.12195990048"/>
    <n v="93555.128040099517"/>
  </r>
  <r>
    <x v="226"/>
    <x v="2"/>
    <x v="4"/>
    <x v="2"/>
    <n v="79345"/>
    <n v="42"/>
    <n v="48465"/>
    <n v="0.1"/>
    <n v="1"/>
    <n v="203553"/>
    <n v="1831977"/>
    <n v="1229823.7985428569"/>
    <n v="602153.2014571426"/>
  </r>
  <r>
    <x v="227"/>
    <x v="3"/>
    <x v="3"/>
    <x v="0"/>
    <n v="32191"/>
    <n v="48"/>
    <n v="20233"/>
    <n v="0.15"/>
    <n v="4"/>
    <n v="145677.6"/>
    <n v="825506.4"/>
    <n v="515410.15134359041"/>
    <n v="310096.24865640962"/>
  </r>
  <r>
    <x v="228"/>
    <x v="2"/>
    <x v="4"/>
    <x v="2"/>
    <n v="96803"/>
    <n v="44"/>
    <n v="10469"/>
    <n v="0"/>
    <n v="2"/>
    <n v="0"/>
    <n v="460636"/>
    <n v="363046.35638602113"/>
    <n v="97589.643613978929"/>
  </r>
  <r>
    <x v="229"/>
    <x v="2"/>
    <x v="0"/>
    <x v="5"/>
    <n v="82742"/>
    <n v="18"/>
    <n v="36469"/>
    <n v="0"/>
    <n v="4"/>
    <n v="0"/>
    <n v="656442"/>
    <n v="460107.1649899098"/>
    <n v="196334.8350100902"/>
  </r>
  <r>
    <x v="230"/>
    <x v="3"/>
    <x v="0"/>
    <x v="3"/>
    <n v="96593"/>
    <n v="23"/>
    <n v="17233"/>
    <n v="0"/>
    <n v="1"/>
    <n v="0"/>
    <n v="396359"/>
    <n v="317731.40909286862"/>
    <n v="78627.590907131438"/>
  </r>
  <r>
    <x v="231"/>
    <x v="1"/>
    <x v="2"/>
    <x v="0"/>
    <n v="38992"/>
    <n v="33"/>
    <n v="32949"/>
    <n v="0.1"/>
    <n v="4"/>
    <n v="108731.7"/>
    <n v="978585.3"/>
    <n v="596580.75633826468"/>
    <n v="382004.54366173543"/>
  </r>
  <r>
    <x v="232"/>
    <x v="1"/>
    <x v="2"/>
    <x v="2"/>
    <n v="91531"/>
    <n v="16"/>
    <n v="26643"/>
    <n v="0.1"/>
    <n v="5"/>
    <n v="42628.800000000003"/>
    <n v="383659.2"/>
    <n v="245549.47315464221"/>
    <n v="138109.7268453578"/>
  </r>
  <r>
    <x v="233"/>
    <x v="1"/>
    <x v="0"/>
    <x v="4"/>
    <n v="58803"/>
    <n v="38"/>
    <n v="26205"/>
    <n v="0.2"/>
    <n v="3"/>
    <n v="199158"/>
    <n v="796632"/>
    <n v="642015.02536144084"/>
    <n v="154616.97463855919"/>
  </r>
  <r>
    <x v="234"/>
    <x v="1"/>
    <x v="0"/>
    <x v="0"/>
    <n v="73477"/>
    <n v="35"/>
    <n v="28863"/>
    <n v="0"/>
    <n v="1"/>
    <n v="0"/>
    <n v="1010205"/>
    <n v="670484.36935195792"/>
    <n v="339720.63064804208"/>
  </r>
  <r>
    <x v="235"/>
    <x v="1"/>
    <x v="0"/>
    <x v="1"/>
    <n v="23210"/>
    <n v="34"/>
    <n v="31220"/>
    <n v="0"/>
    <n v="1"/>
    <n v="0"/>
    <n v="1061480"/>
    <n v="909981.64982048224"/>
    <n v="151498.35017951779"/>
  </r>
  <r>
    <x v="236"/>
    <x v="3"/>
    <x v="4"/>
    <x v="5"/>
    <n v="93329"/>
    <n v="28"/>
    <n v="10472"/>
    <n v="0.1"/>
    <n v="1"/>
    <n v="29321.599999999999"/>
    <n v="263894.40000000002"/>
    <n v="162975.1821473201"/>
    <n v="100919.2178526799"/>
  </r>
  <r>
    <x v="237"/>
    <x v="3"/>
    <x v="0"/>
    <x v="5"/>
    <n v="36270"/>
    <n v="2"/>
    <n v="33851"/>
    <n v="0.1"/>
    <n v="1"/>
    <n v="6770.2000000000007"/>
    <n v="60931.8"/>
    <n v="40497.991523608223"/>
    <n v="20433.80847639178"/>
  </r>
  <r>
    <x v="238"/>
    <x v="0"/>
    <x v="1"/>
    <x v="4"/>
    <n v="72008"/>
    <n v="30"/>
    <n v="45987"/>
    <n v="0.2"/>
    <n v="4"/>
    <n v="275922"/>
    <n v="1103688"/>
    <n v="992842.48905899655"/>
    <n v="110845.51094100341"/>
  </r>
  <r>
    <x v="239"/>
    <x v="1"/>
    <x v="3"/>
    <x v="2"/>
    <n v="15197"/>
    <n v="13"/>
    <n v="36645"/>
    <n v="0.2"/>
    <n v="5"/>
    <n v="95277"/>
    <n v="381108"/>
    <n v="278179.43019139417"/>
    <n v="102928.5698086058"/>
  </r>
  <r>
    <x v="240"/>
    <x v="3"/>
    <x v="0"/>
    <x v="0"/>
    <n v="17452"/>
    <n v="41"/>
    <n v="22912"/>
    <n v="0.05"/>
    <n v="2"/>
    <n v="46969.600000000013"/>
    <n v="892422.4"/>
    <n v="723656.13137343095"/>
    <n v="168766.2686265691"/>
  </r>
  <r>
    <x v="241"/>
    <x v="0"/>
    <x v="3"/>
    <x v="2"/>
    <n v="51486"/>
    <n v="16"/>
    <n v="24578"/>
    <n v="0.15"/>
    <n v="5"/>
    <n v="58987.199999999997"/>
    <n v="334260.8"/>
    <n v="218873.6090524153"/>
    <n v="115387.19094758471"/>
  </r>
  <r>
    <x v="242"/>
    <x v="1"/>
    <x v="4"/>
    <x v="5"/>
    <n v="24859"/>
    <n v="5"/>
    <n v="23080"/>
    <n v="0"/>
    <n v="1"/>
    <n v="0"/>
    <n v="115400"/>
    <n v="90353.65560519931"/>
    <n v="25046.34439480069"/>
  </r>
  <r>
    <x v="243"/>
    <x v="2"/>
    <x v="3"/>
    <x v="2"/>
    <n v="37236"/>
    <n v="28"/>
    <n v="15355"/>
    <n v="0"/>
    <n v="4"/>
    <n v="0"/>
    <n v="429940"/>
    <n v="351618.61291042442"/>
    <n v="78321.387089575641"/>
  </r>
  <r>
    <x v="244"/>
    <x v="0"/>
    <x v="4"/>
    <x v="5"/>
    <n v="41899"/>
    <n v="39"/>
    <n v="36669"/>
    <n v="0.2"/>
    <n v="4"/>
    <n v="286018.2"/>
    <n v="1144072.8"/>
    <n v="794378.92959911388"/>
    <n v="349693.87040088623"/>
  </r>
  <r>
    <x v="245"/>
    <x v="3"/>
    <x v="1"/>
    <x v="2"/>
    <n v="42083"/>
    <n v="45"/>
    <n v="46904"/>
    <n v="0.2"/>
    <n v="1"/>
    <n v="422136"/>
    <n v="1688544"/>
    <n v="1433015.173513259"/>
    <n v="255528.82648674099"/>
  </r>
  <r>
    <x v="246"/>
    <x v="2"/>
    <x v="4"/>
    <x v="4"/>
    <n v="77708"/>
    <n v="20"/>
    <n v="20069"/>
    <n v="0.05"/>
    <n v="4"/>
    <n v="20069"/>
    <n v="381311"/>
    <n v="297813.52807945339"/>
    <n v="83497.471920546552"/>
  </r>
  <r>
    <x v="247"/>
    <x v="2"/>
    <x v="4"/>
    <x v="3"/>
    <n v="26663"/>
    <n v="24"/>
    <n v="49006"/>
    <n v="0.15"/>
    <n v="1"/>
    <n v="176421.6"/>
    <n v="999722.4"/>
    <n v="716537.93672026834"/>
    <n v="283184.46327973169"/>
  </r>
  <r>
    <x v="248"/>
    <x v="2"/>
    <x v="2"/>
    <x v="4"/>
    <n v="29053"/>
    <n v="27"/>
    <n v="26238"/>
    <n v="0.05"/>
    <n v="5"/>
    <n v="35421.300000000003"/>
    <n v="673004.7"/>
    <n v="516391.60549175832"/>
    <n v="156613.0945082416"/>
  </r>
  <r>
    <x v="249"/>
    <x v="0"/>
    <x v="0"/>
    <x v="4"/>
    <n v="21085"/>
    <n v="30"/>
    <n v="7272"/>
    <n v="0.15"/>
    <n v="3"/>
    <n v="32724"/>
    <n v="185436"/>
    <n v="143347.26735153841"/>
    <n v="42088.732648461591"/>
  </r>
  <r>
    <x v="250"/>
    <x v="3"/>
    <x v="0"/>
    <x v="3"/>
    <n v="40564"/>
    <n v="45"/>
    <n v="25374"/>
    <n v="0"/>
    <n v="4"/>
    <n v="0"/>
    <n v="1141830"/>
    <n v="741801.94897699112"/>
    <n v="400028.05102300888"/>
  </r>
  <r>
    <x v="251"/>
    <x v="2"/>
    <x v="1"/>
    <x v="3"/>
    <n v="99745"/>
    <n v="27"/>
    <n v="20231"/>
    <n v="0.05"/>
    <n v="1"/>
    <n v="27311.85"/>
    <n v="518925.15"/>
    <n v="374051.47663292132"/>
    <n v="144873.67336707879"/>
  </r>
  <r>
    <x v="252"/>
    <x v="1"/>
    <x v="1"/>
    <x v="0"/>
    <n v="69095"/>
    <n v="26"/>
    <n v="10631"/>
    <n v="0.2"/>
    <n v="1"/>
    <n v="55281.2"/>
    <n v="221124.8"/>
    <n v="155457.18602690779"/>
    <n v="65667.613973092142"/>
  </r>
  <r>
    <x v="253"/>
    <x v="2"/>
    <x v="0"/>
    <x v="0"/>
    <n v="79517"/>
    <n v="7"/>
    <n v="1288"/>
    <n v="0.05"/>
    <n v="4"/>
    <n v="450.8"/>
    <n v="8565.2000000000007"/>
    <n v="6169.2635998304186"/>
    <n v="2395.9364001695808"/>
  </r>
  <r>
    <x v="254"/>
    <x v="2"/>
    <x v="2"/>
    <x v="4"/>
    <n v="31153"/>
    <n v="42"/>
    <n v="16684"/>
    <n v="0.05"/>
    <n v="2"/>
    <n v="35036.400000000001"/>
    <n v="665691.6"/>
    <n v="551414.43762770784"/>
    <n v="114277.16237229211"/>
  </r>
  <r>
    <x v="255"/>
    <x v="0"/>
    <x v="0"/>
    <x v="4"/>
    <n v="15247"/>
    <n v="47"/>
    <n v="31397"/>
    <n v="0"/>
    <n v="1"/>
    <n v="0"/>
    <n v="1475659"/>
    <n v="1099014.043147159"/>
    <n v="376644.95685284119"/>
  </r>
  <r>
    <x v="256"/>
    <x v="0"/>
    <x v="2"/>
    <x v="5"/>
    <n v="20553"/>
    <n v="38"/>
    <n v="3389"/>
    <n v="0.2"/>
    <n v="4"/>
    <n v="25756.400000000001"/>
    <n v="103025.60000000001"/>
    <n v="90878.350763150156"/>
    <n v="12147.24923684985"/>
  </r>
  <r>
    <x v="257"/>
    <x v="3"/>
    <x v="1"/>
    <x v="5"/>
    <n v="30811"/>
    <n v="5"/>
    <n v="10069"/>
    <n v="0.2"/>
    <n v="1"/>
    <n v="10069"/>
    <n v="40276"/>
    <n v="27714.033367327309"/>
    <n v="12561.966632672689"/>
  </r>
  <r>
    <x v="258"/>
    <x v="1"/>
    <x v="3"/>
    <x v="0"/>
    <n v="16135"/>
    <n v="23"/>
    <n v="22157"/>
    <n v="0.1"/>
    <n v="2"/>
    <n v="50961.100000000013"/>
    <n v="458649.9"/>
    <n v="332388.66138300748"/>
    <n v="126261.2386169925"/>
  </r>
  <r>
    <x v="259"/>
    <x v="0"/>
    <x v="1"/>
    <x v="1"/>
    <n v="15573"/>
    <n v="28"/>
    <n v="10641"/>
    <n v="0.1"/>
    <n v="3"/>
    <n v="29794.799999999999"/>
    <n v="268153.2"/>
    <n v="224199.41609752449"/>
    <n v="43953.783902475458"/>
  </r>
  <r>
    <x v="260"/>
    <x v="2"/>
    <x v="1"/>
    <x v="1"/>
    <n v="89267"/>
    <n v="34"/>
    <n v="20156"/>
    <n v="0.1"/>
    <n v="2"/>
    <n v="68530.400000000009"/>
    <n v="616773.6"/>
    <n v="471096.22623329249"/>
    <n v="145677.3737667074"/>
  </r>
  <r>
    <x v="261"/>
    <x v="3"/>
    <x v="4"/>
    <x v="0"/>
    <n v="17189"/>
    <n v="15"/>
    <n v="22118"/>
    <n v="0"/>
    <n v="5"/>
    <n v="0"/>
    <n v="331770"/>
    <n v="253508.2584417717"/>
    <n v="78261.74155822827"/>
  </r>
  <r>
    <x v="262"/>
    <x v="2"/>
    <x v="4"/>
    <x v="5"/>
    <n v="90077"/>
    <n v="32"/>
    <n v="12434"/>
    <n v="0.05"/>
    <n v="4"/>
    <n v="19894.400000000001"/>
    <n v="377993.6"/>
    <n v="232844.83207167481"/>
    <n v="145148.76792832511"/>
  </r>
  <r>
    <x v="263"/>
    <x v="2"/>
    <x v="4"/>
    <x v="5"/>
    <n v="53646"/>
    <n v="26"/>
    <n v="43037"/>
    <n v="0.2"/>
    <n v="2"/>
    <n v="223792.4"/>
    <n v="895169.6"/>
    <n v="644146.05019074446"/>
    <n v="251023.54980925549"/>
  </r>
  <r>
    <x v="264"/>
    <x v="0"/>
    <x v="4"/>
    <x v="1"/>
    <n v="86623"/>
    <n v="48"/>
    <n v="23786"/>
    <n v="0.2"/>
    <n v="3"/>
    <n v="228345.60000000001"/>
    <n v="913382.40000000002"/>
    <n v="622214.46788409597"/>
    <n v="291167.93211590411"/>
  </r>
  <r>
    <x v="265"/>
    <x v="3"/>
    <x v="2"/>
    <x v="2"/>
    <n v="63687"/>
    <n v="31"/>
    <n v="8112"/>
    <n v="0.05"/>
    <n v="1"/>
    <n v="12573.6"/>
    <n v="238898.4"/>
    <n v="214960.90857244711"/>
    <n v="23937.49142755289"/>
  </r>
  <r>
    <x v="266"/>
    <x v="1"/>
    <x v="0"/>
    <x v="2"/>
    <n v="78312"/>
    <n v="19"/>
    <n v="32569"/>
    <n v="0.2"/>
    <n v="4"/>
    <n v="123762.2"/>
    <n v="495048.8"/>
    <n v="342824.52230713208"/>
    <n v="152224.27769286791"/>
  </r>
  <r>
    <x v="267"/>
    <x v="1"/>
    <x v="3"/>
    <x v="5"/>
    <n v="37564"/>
    <n v="9"/>
    <n v="16705"/>
    <n v="0.05"/>
    <n v="2"/>
    <n v="7517.25"/>
    <n v="142827.75"/>
    <n v="123595.8449842213"/>
    <n v="19231.905015778731"/>
  </r>
  <r>
    <x v="268"/>
    <x v="0"/>
    <x v="1"/>
    <x v="2"/>
    <n v="38835"/>
    <n v="29"/>
    <n v="27831"/>
    <n v="0"/>
    <n v="3"/>
    <n v="0"/>
    <n v="807099"/>
    <n v="647995.67139523034"/>
    <n v="159103.32860476969"/>
  </r>
  <r>
    <x v="269"/>
    <x v="0"/>
    <x v="2"/>
    <x v="3"/>
    <n v="71587"/>
    <n v="39"/>
    <n v="14434"/>
    <n v="0"/>
    <n v="2"/>
    <n v="0"/>
    <n v="562926"/>
    <n v="395328.81316825998"/>
    <n v="167597.18683173999"/>
  </r>
  <r>
    <x v="270"/>
    <x v="3"/>
    <x v="3"/>
    <x v="0"/>
    <n v="17697"/>
    <n v="4"/>
    <n v="10595"/>
    <n v="0"/>
    <n v="5"/>
    <n v="0"/>
    <n v="42380"/>
    <n v="32338.496086648611"/>
    <n v="10041.503913351389"/>
  </r>
  <r>
    <x v="271"/>
    <x v="1"/>
    <x v="2"/>
    <x v="0"/>
    <n v="90165"/>
    <n v="3"/>
    <n v="26458"/>
    <n v="0.05"/>
    <n v="4"/>
    <n v="3968.7"/>
    <n v="75405.3"/>
    <n v="64257.438056499886"/>
    <n v="11147.86194350012"/>
  </r>
  <r>
    <x v="272"/>
    <x v="1"/>
    <x v="2"/>
    <x v="5"/>
    <n v="83922"/>
    <n v="29"/>
    <n v="37508"/>
    <n v="0.05"/>
    <n v="1"/>
    <n v="54386.600000000013"/>
    <n v="1033345.4"/>
    <n v="893854.61018282163"/>
    <n v="139490.78981717839"/>
  </r>
  <r>
    <x v="273"/>
    <x v="1"/>
    <x v="1"/>
    <x v="4"/>
    <n v="27046"/>
    <n v="11"/>
    <n v="19206"/>
    <n v="0.15"/>
    <n v="3"/>
    <n v="31689.9"/>
    <n v="179576.1"/>
    <n v="116386.5319612473"/>
    <n v="63189.568038752703"/>
  </r>
  <r>
    <x v="274"/>
    <x v="2"/>
    <x v="0"/>
    <x v="1"/>
    <n v="67823"/>
    <n v="33"/>
    <n v="44016"/>
    <n v="0.2"/>
    <n v="2"/>
    <n v="290505.59999999998"/>
    <n v="1162022.3999999999"/>
    <n v="815590.91895667673"/>
    <n v="346431.48104332318"/>
  </r>
  <r>
    <x v="275"/>
    <x v="1"/>
    <x v="4"/>
    <x v="5"/>
    <n v="83580"/>
    <n v="38"/>
    <n v="38566"/>
    <n v="0.2"/>
    <n v="4"/>
    <n v="293101.59999999998"/>
    <n v="1172406.3999999999"/>
    <n v="821349.18057322339"/>
    <n v="351057.21942677652"/>
  </r>
  <r>
    <x v="276"/>
    <x v="2"/>
    <x v="0"/>
    <x v="2"/>
    <n v="63370"/>
    <n v="11"/>
    <n v="31972"/>
    <n v="0.15"/>
    <n v="2"/>
    <n v="52753.8"/>
    <n v="298938.2"/>
    <n v="183133.55869749299"/>
    <n v="115804.64130250701"/>
  </r>
  <r>
    <x v="277"/>
    <x v="3"/>
    <x v="1"/>
    <x v="1"/>
    <n v="19615"/>
    <n v="27"/>
    <n v="35129"/>
    <n v="0.15"/>
    <n v="4"/>
    <n v="142272.45000000001"/>
    <n v="806210.55"/>
    <n v="628418.00802028971"/>
    <n v="177792.54197971031"/>
  </r>
  <r>
    <x v="278"/>
    <x v="2"/>
    <x v="1"/>
    <x v="4"/>
    <n v="15060"/>
    <n v="33"/>
    <n v="47410"/>
    <n v="0"/>
    <n v="5"/>
    <n v="0"/>
    <n v="1564530"/>
    <n v="1339935.4852523601"/>
    <n v="224594.51474763971"/>
  </r>
  <r>
    <x v="279"/>
    <x v="3"/>
    <x v="1"/>
    <x v="2"/>
    <n v="86436"/>
    <n v="21"/>
    <n v="23504"/>
    <n v="0.15"/>
    <n v="2"/>
    <n v="74037.599999999991"/>
    <n v="419546.4"/>
    <n v="299754.28822331992"/>
    <n v="119792.1117766801"/>
  </r>
  <r>
    <x v="280"/>
    <x v="1"/>
    <x v="3"/>
    <x v="3"/>
    <n v="70519"/>
    <n v="39"/>
    <n v="20931"/>
    <n v="0.05"/>
    <n v="5"/>
    <n v="40815.449999999997"/>
    <n v="775493.55"/>
    <n v="637464.06063101534"/>
    <n v="138029.48936898471"/>
  </r>
  <r>
    <x v="281"/>
    <x v="1"/>
    <x v="0"/>
    <x v="2"/>
    <n v="81117"/>
    <n v="31"/>
    <n v="40588"/>
    <n v="0.1"/>
    <n v="3"/>
    <n v="125822.8"/>
    <n v="1132405.2"/>
    <n v="892686.4837210885"/>
    <n v="239718.71627891151"/>
  </r>
  <r>
    <x v="282"/>
    <x v="3"/>
    <x v="0"/>
    <x v="3"/>
    <n v="71158"/>
    <n v="38"/>
    <n v="44635"/>
    <n v="0.05"/>
    <n v="5"/>
    <n v="84806.5"/>
    <n v="1611323.5"/>
    <n v="1148381.5905735469"/>
    <n v="462941.90942645312"/>
  </r>
  <r>
    <x v="283"/>
    <x v="0"/>
    <x v="2"/>
    <x v="1"/>
    <n v="44782"/>
    <n v="46"/>
    <n v="38515"/>
    <n v="0.15"/>
    <n v="4"/>
    <n v="265753.5"/>
    <n v="1505936.5"/>
    <n v="967290.03022143955"/>
    <n v="538646.46977856045"/>
  </r>
  <r>
    <x v="284"/>
    <x v="3"/>
    <x v="2"/>
    <x v="3"/>
    <n v="95709"/>
    <n v="2"/>
    <n v="35002"/>
    <n v="0.2"/>
    <n v="3"/>
    <n v="14000.8"/>
    <n v="56003.199999999997"/>
    <n v="45519.241677534912"/>
    <n v="10483.958322465091"/>
  </r>
  <r>
    <x v="285"/>
    <x v="0"/>
    <x v="2"/>
    <x v="1"/>
    <n v="88533"/>
    <n v="27"/>
    <n v="31885"/>
    <n v="0.05"/>
    <n v="2"/>
    <n v="43044.75"/>
    <n v="817850.25"/>
    <n v="700382.05111796572"/>
    <n v="117468.1988820343"/>
  </r>
  <r>
    <x v="286"/>
    <x v="2"/>
    <x v="1"/>
    <x v="1"/>
    <n v="68255"/>
    <n v="36"/>
    <n v="5163"/>
    <n v="0.2"/>
    <n v="2"/>
    <n v="37173.599999999999"/>
    <n v="148694.39999999999"/>
    <n v="119811.4566704833"/>
    <n v="28882.943329516678"/>
  </r>
  <r>
    <x v="287"/>
    <x v="2"/>
    <x v="0"/>
    <x v="1"/>
    <n v="82684"/>
    <n v="11"/>
    <n v="39177"/>
    <n v="0.05"/>
    <n v="4"/>
    <n v="21547.35"/>
    <n v="409399.65"/>
    <n v="247835.6235319156"/>
    <n v="161564.02646808451"/>
  </r>
  <r>
    <x v="288"/>
    <x v="2"/>
    <x v="1"/>
    <x v="1"/>
    <n v="66918"/>
    <n v="47"/>
    <n v="13318"/>
    <n v="0.2"/>
    <n v="1"/>
    <n v="125189.2"/>
    <n v="500756.8"/>
    <n v="332938.10767499119"/>
    <n v="167818.6923250088"/>
  </r>
  <r>
    <x v="289"/>
    <x v="1"/>
    <x v="3"/>
    <x v="1"/>
    <n v="94284"/>
    <n v="18"/>
    <n v="23186"/>
    <n v="0.05"/>
    <n v="1"/>
    <n v="20867.400000000001"/>
    <n v="396480.6"/>
    <n v="246152.59982838409"/>
    <n v="150328.00017161589"/>
  </r>
  <r>
    <x v="290"/>
    <x v="2"/>
    <x v="2"/>
    <x v="2"/>
    <n v="89558"/>
    <n v="1"/>
    <n v="24477"/>
    <n v="0.2"/>
    <n v="2"/>
    <n v="4895.4000000000005"/>
    <n v="19581.599999999999"/>
    <n v="15099.681734238549"/>
    <n v="4481.9182657614474"/>
  </r>
  <r>
    <x v="291"/>
    <x v="0"/>
    <x v="1"/>
    <x v="1"/>
    <n v="95549"/>
    <n v="35"/>
    <n v="41431"/>
    <n v="0.1"/>
    <n v="4"/>
    <n v="145008.5"/>
    <n v="1305076.5"/>
    <n v="1079224.272428751"/>
    <n v="225852.22757124901"/>
  </r>
  <r>
    <x v="292"/>
    <x v="2"/>
    <x v="1"/>
    <x v="2"/>
    <n v="91422"/>
    <n v="35"/>
    <n v="18954"/>
    <n v="0"/>
    <n v="1"/>
    <n v="0"/>
    <n v="663390"/>
    <n v="420041.13807284337"/>
    <n v="243348.8619271566"/>
  </r>
  <r>
    <x v="293"/>
    <x v="3"/>
    <x v="3"/>
    <x v="1"/>
    <n v="35256"/>
    <n v="31"/>
    <n v="13858"/>
    <n v="0.05"/>
    <n v="5"/>
    <n v="21479.9"/>
    <n v="408118.1"/>
    <n v="347513.111549614"/>
    <n v="60604.988450385979"/>
  </r>
  <r>
    <x v="294"/>
    <x v="3"/>
    <x v="4"/>
    <x v="3"/>
    <n v="40005"/>
    <n v="28"/>
    <n v="7168"/>
    <n v="0.1"/>
    <n v="2"/>
    <n v="20070.400000000001"/>
    <n v="180633.60000000001"/>
    <n v="138483.2359799695"/>
    <n v="42150.364020030509"/>
  </r>
  <r>
    <x v="295"/>
    <x v="1"/>
    <x v="0"/>
    <x v="1"/>
    <n v="16638"/>
    <n v="39"/>
    <n v="46284"/>
    <n v="0"/>
    <n v="5"/>
    <n v="0"/>
    <n v="1805076"/>
    <n v="1456679.5513682209"/>
    <n v="348396.44863177912"/>
  </r>
  <r>
    <x v="296"/>
    <x v="3"/>
    <x v="4"/>
    <x v="4"/>
    <n v="47419"/>
    <n v="1"/>
    <n v="41269"/>
    <n v="0.05"/>
    <n v="4"/>
    <n v="2063.4499999999998"/>
    <n v="39205.550000000003"/>
    <n v="34948.633123715619"/>
    <n v="4256.9168762843838"/>
  </r>
  <r>
    <x v="297"/>
    <x v="0"/>
    <x v="2"/>
    <x v="1"/>
    <n v="43377"/>
    <n v="25"/>
    <n v="10421"/>
    <n v="0.1"/>
    <n v="5"/>
    <n v="26052.5"/>
    <n v="234472.5"/>
    <n v="146569.76715507251"/>
    <n v="87902.732844927523"/>
  </r>
  <r>
    <x v="298"/>
    <x v="2"/>
    <x v="1"/>
    <x v="1"/>
    <n v="53116"/>
    <n v="43"/>
    <n v="35459"/>
    <n v="0.1"/>
    <n v="1"/>
    <n v="152473.70000000001"/>
    <n v="1372263.3"/>
    <n v="1194372.9755432331"/>
    <n v="177890.32445676689"/>
  </r>
  <r>
    <x v="299"/>
    <x v="1"/>
    <x v="3"/>
    <x v="3"/>
    <n v="46634"/>
    <n v="38"/>
    <n v="32828"/>
    <n v="0.1"/>
    <n v="1"/>
    <n v="124746.4"/>
    <n v="1122717.6000000001"/>
    <n v="716103.87485775421"/>
    <n v="406613.72514224588"/>
  </r>
  <r>
    <x v="300"/>
    <x v="2"/>
    <x v="3"/>
    <x v="0"/>
    <n v="92291"/>
    <n v="20"/>
    <n v="9359"/>
    <n v="0.15"/>
    <n v="3"/>
    <n v="28077"/>
    <n v="159103"/>
    <n v="114218.0775036948"/>
    <n v="44884.922496305197"/>
  </r>
  <r>
    <x v="301"/>
    <x v="2"/>
    <x v="0"/>
    <x v="3"/>
    <n v="33382"/>
    <n v="3"/>
    <n v="24470"/>
    <n v="0.2"/>
    <n v="2"/>
    <n v="14682"/>
    <n v="58728"/>
    <n v="50237.787527440109"/>
    <n v="8490.2124725598915"/>
  </r>
  <r>
    <x v="302"/>
    <x v="0"/>
    <x v="4"/>
    <x v="4"/>
    <n v="66063"/>
    <n v="2"/>
    <n v="9372"/>
    <n v="0"/>
    <n v="4"/>
    <n v="0"/>
    <n v="18744"/>
    <n v="16342.448824024381"/>
    <n v="2401.5511759756168"/>
  </r>
  <r>
    <x v="303"/>
    <x v="3"/>
    <x v="0"/>
    <x v="0"/>
    <n v="32394"/>
    <n v="18"/>
    <n v="19730"/>
    <n v="0.2"/>
    <n v="2"/>
    <n v="71028"/>
    <n v="284112"/>
    <n v="213627.0806742775"/>
    <n v="70484.919325722498"/>
  </r>
  <r>
    <x v="304"/>
    <x v="3"/>
    <x v="1"/>
    <x v="5"/>
    <n v="77789"/>
    <n v="44"/>
    <n v="27208"/>
    <n v="0.2"/>
    <n v="5"/>
    <n v="239430.39999999999"/>
    <n v="957721.59999999998"/>
    <n v="745329.01342096843"/>
    <n v="212392.58657903149"/>
  </r>
  <r>
    <x v="305"/>
    <x v="2"/>
    <x v="0"/>
    <x v="5"/>
    <n v="10864"/>
    <n v="10"/>
    <n v="19347"/>
    <n v="0.2"/>
    <n v="4"/>
    <n v="38694"/>
    <n v="154776"/>
    <n v="125746.8635579479"/>
    <n v="29029.136442052131"/>
  </r>
  <r>
    <x v="306"/>
    <x v="1"/>
    <x v="3"/>
    <x v="4"/>
    <n v="50222"/>
    <n v="5"/>
    <n v="27605"/>
    <n v="0.1"/>
    <n v="4"/>
    <n v="13802.5"/>
    <n v="124222.5"/>
    <n v="105567.70910756019"/>
    <n v="18654.790892439811"/>
  </r>
  <r>
    <x v="307"/>
    <x v="3"/>
    <x v="3"/>
    <x v="3"/>
    <n v="23666"/>
    <n v="9"/>
    <n v="5422"/>
    <n v="0.2"/>
    <n v="1"/>
    <n v="9759.6"/>
    <n v="39038.400000000001"/>
    <n v="24846.12049226377"/>
    <n v="14192.27950773623"/>
  </r>
  <r>
    <x v="308"/>
    <x v="1"/>
    <x v="2"/>
    <x v="2"/>
    <n v="30955"/>
    <n v="2"/>
    <n v="4892"/>
    <n v="0.15"/>
    <n v="5"/>
    <n v="1467.6"/>
    <n v="8316.4"/>
    <n v="7010.8981184872637"/>
    <n v="1305.501881512736"/>
  </r>
  <r>
    <x v="309"/>
    <x v="3"/>
    <x v="2"/>
    <x v="4"/>
    <n v="91845"/>
    <n v="34"/>
    <n v="14041"/>
    <n v="0.05"/>
    <n v="1"/>
    <n v="23869.7"/>
    <n v="453524.3"/>
    <n v="337595.70878024271"/>
    <n v="115928.59121975731"/>
  </r>
  <r>
    <x v="310"/>
    <x v="1"/>
    <x v="1"/>
    <x v="0"/>
    <n v="79590"/>
    <n v="38"/>
    <n v="20051"/>
    <n v="0.1"/>
    <n v="1"/>
    <n v="76193.8"/>
    <n v="685744.2"/>
    <n v="504150.24004561832"/>
    <n v="181593.9599543816"/>
  </r>
  <r>
    <x v="311"/>
    <x v="0"/>
    <x v="4"/>
    <x v="0"/>
    <n v="76471"/>
    <n v="31"/>
    <n v="19881"/>
    <n v="0"/>
    <n v="3"/>
    <n v="0"/>
    <n v="616311"/>
    <n v="448162.82401590649"/>
    <n v="168148.17598409351"/>
  </r>
  <r>
    <x v="312"/>
    <x v="1"/>
    <x v="0"/>
    <x v="1"/>
    <n v="98314"/>
    <n v="10"/>
    <n v="48283"/>
    <n v="0.05"/>
    <n v="1"/>
    <n v="24141.5"/>
    <n v="458688.5"/>
    <n v="345283.94946573878"/>
    <n v="113404.5505342612"/>
  </r>
  <r>
    <x v="313"/>
    <x v="0"/>
    <x v="1"/>
    <x v="5"/>
    <n v="53298"/>
    <n v="12"/>
    <n v="36495"/>
    <n v="0.05"/>
    <n v="2"/>
    <n v="21897"/>
    <n v="416043"/>
    <n v="367580.30021578528"/>
    <n v="48462.699784214667"/>
  </r>
  <r>
    <x v="314"/>
    <x v="0"/>
    <x v="2"/>
    <x v="0"/>
    <n v="73108"/>
    <n v="36"/>
    <n v="23448"/>
    <n v="0.05"/>
    <n v="4"/>
    <n v="42206.400000000001"/>
    <n v="801921.6"/>
    <n v="613037.89398105559"/>
    <n v="188883.70601894439"/>
  </r>
  <r>
    <x v="315"/>
    <x v="1"/>
    <x v="0"/>
    <x v="4"/>
    <n v="58924"/>
    <n v="21"/>
    <n v="27228"/>
    <n v="0.2"/>
    <n v="1"/>
    <n v="114357.6"/>
    <n v="457430.4"/>
    <n v="405261.95477961702"/>
    <n v="52168.445220383059"/>
  </r>
  <r>
    <x v="316"/>
    <x v="0"/>
    <x v="2"/>
    <x v="0"/>
    <n v="26709"/>
    <n v="49"/>
    <n v="2524"/>
    <n v="0.2"/>
    <n v="2"/>
    <n v="24735.200000000001"/>
    <n v="98940.800000000003"/>
    <n v="64715.89492656479"/>
    <n v="34224.905073435213"/>
  </r>
  <r>
    <x v="317"/>
    <x v="2"/>
    <x v="0"/>
    <x v="4"/>
    <n v="19726"/>
    <n v="47"/>
    <n v="17213"/>
    <n v="0.1"/>
    <n v="5"/>
    <n v="80901.100000000006"/>
    <n v="728109.9"/>
    <n v="595041.11254026927"/>
    <n v="133068.78745973081"/>
  </r>
  <r>
    <x v="318"/>
    <x v="0"/>
    <x v="4"/>
    <x v="2"/>
    <n v="70824"/>
    <n v="6"/>
    <n v="2986"/>
    <n v="0.2"/>
    <n v="4"/>
    <n v="3583.2"/>
    <n v="14332.8"/>
    <n v="12092.180057691439"/>
    <n v="2240.6199423085641"/>
  </r>
  <r>
    <x v="319"/>
    <x v="3"/>
    <x v="1"/>
    <x v="1"/>
    <n v="50542"/>
    <n v="48"/>
    <n v="1655"/>
    <n v="0.2"/>
    <n v="5"/>
    <n v="15888"/>
    <n v="63552"/>
    <n v="51079.198646697943"/>
    <n v="12472.80135330206"/>
  </r>
  <r>
    <x v="320"/>
    <x v="1"/>
    <x v="0"/>
    <x v="5"/>
    <n v="30245"/>
    <n v="49"/>
    <n v="10582"/>
    <n v="0.2"/>
    <n v="2"/>
    <n v="103703.6"/>
    <n v="414814.4"/>
    <n v="324416.67045564129"/>
    <n v="90397.729544358735"/>
  </r>
  <r>
    <x v="321"/>
    <x v="2"/>
    <x v="3"/>
    <x v="0"/>
    <n v="44753"/>
    <n v="3"/>
    <n v="37745"/>
    <n v="0.1"/>
    <n v="5"/>
    <n v="11323.5"/>
    <n v="101911.5"/>
    <n v="78415.17532189934"/>
    <n v="23496.32467810066"/>
  </r>
  <r>
    <x v="322"/>
    <x v="1"/>
    <x v="3"/>
    <x v="4"/>
    <n v="89788"/>
    <n v="10"/>
    <n v="19069"/>
    <n v="0.1"/>
    <n v="5"/>
    <n v="19069"/>
    <n v="171621"/>
    <n v="147298.72510519149"/>
    <n v="24322.274894808481"/>
  </r>
  <r>
    <x v="323"/>
    <x v="3"/>
    <x v="0"/>
    <x v="3"/>
    <n v="31316"/>
    <n v="5"/>
    <n v="7586"/>
    <n v="0.15"/>
    <n v="5"/>
    <n v="5689.5"/>
    <n v="32240.5"/>
    <n v="27291.38913476462"/>
    <n v="4949.1108652353832"/>
  </r>
  <r>
    <x v="324"/>
    <x v="3"/>
    <x v="0"/>
    <x v="5"/>
    <n v="94698"/>
    <n v="46"/>
    <n v="2817"/>
    <n v="0.15"/>
    <n v="1"/>
    <n v="19437.3"/>
    <n v="110144.7"/>
    <n v="70127.656352346239"/>
    <n v="40017.043647653758"/>
  </r>
  <r>
    <x v="325"/>
    <x v="3"/>
    <x v="0"/>
    <x v="2"/>
    <n v="25960"/>
    <n v="26"/>
    <n v="36889"/>
    <n v="0.15"/>
    <n v="1"/>
    <n v="143867.1"/>
    <n v="815246.9"/>
    <n v="696690.67703180597"/>
    <n v="118556.2229681941"/>
  </r>
  <r>
    <x v="326"/>
    <x v="0"/>
    <x v="3"/>
    <x v="4"/>
    <n v="40791"/>
    <n v="21"/>
    <n v="4991"/>
    <n v="0.15"/>
    <n v="1"/>
    <n v="15721.65"/>
    <n v="89089.35"/>
    <n v="64520.341248403922"/>
    <n v="24569.00875159608"/>
  </r>
  <r>
    <x v="327"/>
    <x v="0"/>
    <x v="3"/>
    <x v="1"/>
    <n v="35216"/>
    <n v="45"/>
    <n v="16416"/>
    <n v="0.05"/>
    <n v="4"/>
    <n v="36936"/>
    <n v="701784"/>
    <n v="474482.51284253411"/>
    <n v="227301.48715746589"/>
  </r>
  <r>
    <x v="328"/>
    <x v="1"/>
    <x v="0"/>
    <x v="1"/>
    <n v="42467"/>
    <n v="26"/>
    <n v="15748"/>
    <n v="0.05"/>
    <n v="2"/>
    <n v="20472.400000000001"/>
    <n v="388975.6"/>
    <n v="334880.98518130719"/>
    <n v="54094.614818692731"/>
  </r>
  <r>
    <x v="329"/>
    <x v="1"/>
    <x v="2"/>
    <x v="2"/>
    <n v="74427"/>
    <n v="38"/>
    <n v="3011"/>
    <n v="0.15"/>
    <n v="1"/>
    <n v="17162.7"/>
    <n v="97255.3"/>
    <n v="70958.190448745823"/>
    <n v="26297.10955125418"/>
  </r>
  <r>
    <x v="330"/>
    <x v="2"/>
    <x v="2"/>
    <x v="2"/>
    <n v="72047"/>
    <n v="44"/>
    <n v="24726"/>
    <n v="0.15"/>
    <n v="5"/>
    <n v="163191.6"/>
    <n v="924752.4"/>
    <n v="779112.59619488032"/>
    <n v="145639.80380511971"/>
  </r>
  <r>
    <x v="331"/>
    <x v="2"/>
    <x v="4"/>
    <x v="1"/>
    <n v="83290"/>
    <n v="26"/>
    <n v="25525"/>
    <n v="0"/>
    <n v="5"/>
    <n v="0"/>
    <n v="663650"/>
    <n v="450632.3421223489"/>
    <n v="213017.6578776511"/>
  </r>
  <r>
    <x v="332"/>
    <x v="1"/>
    <x v="1"/>
    <x v="0"/>
    <n v="57014"/>
    <n v="8"/>
    <n v="42814"/>
    <n v="0.05"/>
    <n v="5"/>
    <n v="17125.599999999999"/>
    <n v="325386.40000000002"/>
    <n v="195615.40432560549"/>
    <n v="129770.99567439449"/>
  </r>
  <r>
    <x v="333"/>
    <x v="0"/>
    <x v="2"/>
    <x v="0"/>
    <n v="14078"/>
    <n v="5"/>
    <n v="48880"/>
    <n v="0"/>
    <n v="5"/>
    <n v="0"/>
    <n v="244400"/>
    <n v="182967.06802364389"/>
    <n v="61432.931976356107"/>
  </r>
  <r>
    <x v="334"/>
    <x v="3"/>
    <x v="3"/>
    <x v="4"/>
    <n v="88389"/>
    <n v="15"/>
    <n v="8348"/>
    <n v="0"/>
    <n v="3"/>
    <n v="0"/>
    <n v="125220"/>
    <n v="78897.174689046587"/>
    <n v="46322.825310953413"/>
  </r>
  <r>
    <x v="335"/>
    <x v="1"/>
    <x v="2"/>
    <x v="3"/>
    <n v="60519"/>
    <n v="16"/>
    <n v="14774"/>
    <n v="0.2"/>
    <n v="4"/>
    <n v="47276.800000000003"/>
    <n v="189107.20000000001"/>
    <n v="156261.6974089921"/>
    <n v="32845.502591007942"/>
  </r>
  <r>
    <x v="336"/>
    <x v="2"/>
    <x v="4"/>
    <x v="4"/>
    <n v="14042"/>
    <n v="1"/>
    <n v="31458"/>
    <n v="0.1"/>
    <n v="2"/>
    <n v="3145.8"/>
    <n v="28312.2"/>
    <n v="19332.208340227309"/>
    <n v="8979.9916597726951"/>
  </r>
  <r>
    <x v="337"/>
    <x v="0"/>
    <x v="4"/>
    <x v="3"/>
    <n v="59052"/>
    <n v="16"/>
    <n v="35733"/>
    <n v="0.05"/>
    <n v="2"/>
    <n v="28586.400000000001"/>
    <n v="543141.6"/>
    <n v="398173.6818987744"/>
    <n v="144967.9181012256"/>
  </r>
  <r>
    <x v="338"/>
    <x v="1"/>
    <x v="1"/>
    <x v="2"/>
    <n v="24389"/>
    <n v="37"/>
    <n v="16804"/>
    <n v="0.15"/>
    <n v="1"/>
    <n v="93262.2"/>
    <n v="528485.80000000005"/>
    <n v="330890.28098227869"/>
    <n v="197595.51901772141"/>
  </r>
  <r>
    <x v="339"/>
    <x v="1"/>
    <x v="2"/>
    <x v="5"/>
    <n v="78111"/>
    <n v="3"/>
    <n v="48937"/>
    <n v="0.15"/>
    <n v="3"/>
    <n v="22021.65"/>
    <n v="124789.35"/>
    <n v="85605.216385566353"/>
    <n v="39184.133614433653"/>
  </r>
  <r>
    <x v="340"/>
    <x v="0"/>
    <x v="3"/>
    <x v="4"/>
    <n v="60733"/>
    <n v="47"/>
    <n v="11794"/>
    <n v="0.1"/>
    <n v="2"/>
    <n v="55431.8"/>
    <n v="498886.2"/>
    <n v="416294.12933890341"/>
    <n v="82592.070661096601"/>
  </r>
  <r>
    <x v="341"/>
    <x v="1"/>
    <x v="3"/>
    <x v="4"/>
    <n v="44754"/>
    <n v="31"/>
    <n v="26925"/>
    <n v="0.05"/>
    <n v="4"/>
    <n v="41733.75"/>
    <n v="792941.25"/>
    <n v="511824.84250461461"/>
    <n v="281116.40749538539"/>
  </r>
  <r>
    <x v="342"/>
    <x v="0"/>
    <x v="0"/>
    <x v="3"/>
    <n v="28624"/>
    <n v="13"/>
    <n v="3675"/>
    <n v="0.15"/>
    <n v="5"/>
    <n v="7166.25"/>
    <n v="40608.75"/>
    <n v="32249.3522483743"/>
    <n v="8359.3977516257"/>
  </r>
  <r>
    <x v="343"/>
    <x v="3"/>
    <x v="3"/>
    <x v="2"/>
    <n v="95886"/>
    <n v="16"/>
    <n v="41117"/>
    <n v="0.15"/>
    <n v="1"/>
    <n v="98680.8"/>
    <n v="559191.19999999995"/>
    <n v="489419.65906223172"/>
    <n v="69771.540937768295"/>
  </r>
  <r>
    <x v="344"/>
    <x v="0"/>
    <x v="1"/>
    <x v="2"/>
    <n v="36681"/>
    <n v="43"/>
    <n v="45741"/>
    <n v="0.2"/>
    <n v="4"/>
    <n v="393372.6"/>
    <n v="1573490.4"/>
    <n v="1265009.224513764"/>
    <n v="308481.17548623611"/>
  </r>
  <r>
    <x v="345"/>
    <x v="0"/>
    <x v="1"/>
    <x v="3"/>
    <n v="99524"/>
    <n v="21"/>
    <n v="28275"/>
    <n v="0"/>
    <n v="2"/>
    <n v="0"/>
    <n v="593775"/>
    <n v="500734.3210678476"/>
    <n v="93040.678932152397"/>
  </r>
  <r>
    <x v="346"/>
    <x v="0"/>
    <x v="3"/>
    <x v="2"/>
    <n v="91006"/>
    <n v="2"/>
    <n v="9925"/>
    <n v="0.15"/>
    <n v="3"/>
    <n v="2977.5"/>
    <n v="16872.5"/>
    <n v="10675.0871446291"/>
    <n v="6197.4128553709033"/>
  </r>
  <r>
    <x v="347"/>
    <x v="1"/>
    <x v="3"/>
    <x v="1"/>
    <n v="34704"/>
    <n v="27"/>
    <n v="26513"/>
    <n v="0.05"/>
    <n v="1"/>
    <n v="35792.550000000003"/>
    <n v="680058.45"/>
    <n v="459188.75908698799"/>
    <n v="220869.69091301199"/>
  </r>
  <r>
    <x v="348"/>
    <x v="1"/>
    <x v="0"/>
    <x v="0"/>
    <n v="17493"/>
    <n v="38"/>
    <n v="28428"/>
    <n v="0.1"/>
    <n v="2"/>
    <n v="108026.4"/>
    <n v="972237.6"/>
    <n v="844253.85204274405"/>
    <n v="127983.7479572559"/>
  </r>
  <r>
    <x v="349"/>
    <x v="0"/>
    <x v="3"/>
    <x v="1"/>
    <n v="79639"/>
    <n v="26"/>
    <n v="45490"/>
    <n v="0.2"/>
    <n v="1"/>
    <n v="236548"/>
    <n v="946192"/>
    <n v="770703.36322815809"/>
    <n v="175488.63677184191"/>
  </r>
  <r>
    <x v="350"/>
    <x v="1"/>
    <x v="0"/>
    <x v="5"/>
    <n v="64383"/>
    <n v="38"/>
    <n v="41712"/>
    <n v="0.05"/>
    <n v="2"/>
    <n v="79252.800000000003"/>
    <n v="1505803.2"/>
    <n v="1192394.5794993599"/>
    <n v="313408.62050064019"/>
  </r>
  <r>
    <x v="351"/>
    <x v="2"/>
    <x v="0"/>
    <x v="4"/>
    <n v="12994"/>
    <n v="46"/>
    <n v="8710"/>
    <n v="0.2"/>
    <n v="5"/>
    <n v="80132"/>
    <n v="320528"/>
    <n v="256143.5473186849"/>
    <n v="64384.452681315131"/>
  </r>
  <r>
    <x v="352"/>
    <x v="2"/>
    <x v="3"/>
    <x v="5"/>
    <n v="79280"/>
    <n v="25"/>
    <n v="3259"/>
    <n v="0"/>
    <n v="3"/>
    <n v="0"/>
    <n v="81475"/>
    <n v="59009.097048591248"/>
    <n v="22465.902951408749"/>
  </r>
  <r>
    <x v="353"/>
    <x v="1"/>
    <x v="4"/>
    <x v="4"/>
    <n v="57234"/>
    <n v="11"/>
    <n v="16591"/>
    <n v="0.15"/>
    <n v="5"/>
    <n v="27375.15"/>
    <n v="155125.85"/>
    <n v="95149.075605847611"/>
    <n v="59976.774394152388"/>
  </r>
  <r>
    <x v="354"/>
    <x v="1"/>
    <x v="4"/>
    <x v="0"/>
    <n v="57291"/>
    <n v="8"/>
    <n v="502"/>
    <n v="0.05"/>
    <n v="2"/>
    <n v="200.8"/>
    <n v="3815.2"/>
    <n v="3186.9604113924738"/>
    <n v="628.239588607526"/>
  </r>
  <r>
    <x v="355"/>
    <x v="0"/>
    <x v="0"/>
    <x v="2"/>
    <n v="15594"/>
    <n v="8"/>
    <n v="41458"/>
    <n v="0.1"/>
    <n v="4"/>
    <n v="33166.400000000001"/>
    <n v="298497.59999999998"/>
    <n v="239876.84162955481"/>
    <n v="58620.758370445139"/>
  </r>
  <r>
    <x v="356"/>
    <x v="3"/>
    <x v="3"/>
    <x v="1"/>
    <n v="17371"/>
    <n v="33"/>
    <n v="30660"/>
    <n v="0"/>
    <n v="5"/>
    <n v="0"/>
    <n v="1011780"/>
    <n v="750580.2302099918"/>
    <n v="261199.7697900082"/>
  </r>
  <r>
    <x v="357"/>
    <x v="1"/>
    <x v="4"/>
    <x v="3"/>
    <n v="57315"/>
    <n v="7"/>
    <n v="21207"/>
    <n v="0"/>
    <n v="4"/>
    <n v="0"/>
    <n v="148449"/>
    <n v="129139.9245425407"/>
    <n v="19309.075457459268"/>
  </r>
  <r>
    <x v="358"/>
    <x v="2"/>
    <x v="3"/>
    <x v="1"/>
    <n v="93564"/>
    <n v="38"/>
    <n v="15748"/>
    <n v="0.2"/>
    <n v="2"/>
    <n v="119684.8"/>
    <n v="478739.20000000001"/>
    <n v="335523.36272617028"/>
    <n v="143215.8372738297"/>
  </r>
  <r>
    <x v="359"/>
    <x v="0"/>
    <x v="3"/>
    <x v="0"/>
    <n v="89526"/>
    <n v="21"/>
    <n v="6273"/>
    <n v="0"/>
    <n v="3"/>
    <n v="0"/>
    <n v="131733"/>
    <n v="90671.365899844022"/>
    <n v="41061.634100155978"/>
  </r>
  <r>
    <x v="360"/>
    <x v="1"/>
    <x v="3"/>
    <x v="5"/>
    <n v="26626"/>
    <n v="8"/>
    <n v="13286"/>
    <n v="0.05"/>
    <n v="4"/>
    <n v="5314.4000000000005"/>
    <n v="100973.6"/>
    <n v="87022.976103012494"/>
    <n v="13950.62389698751"/>
  </r>
  <r>
    <x v="361"/>
    <x v="2"/>
    <x v="2"/>
    <x v="3"/>
    <n v="96005"/>
    <n v="21"/>
    <n v="15537"/>
    <n v="0.2"/>
    <n v="2"/>
    <n v="65255.4"/>
    <n v="261021.6"/>
    <n v="219022.25784763141"/>
    <n v="41999.342152368597"/>
  </r>
  <r>
    <x v="362"/>
    <x v="2"/>
    <x v="3"/>
    <x v="2"/>
    <n v="17130"/>
    <n v="20"/>
    <n v="2385"/>
    <n v="0"/>
    <n v="4"/>
    <n v="0"/>
    <n v="47700"/>
    <n v="35989.361090377817"/>
    <n v="11710.638909622179"/>
  </r>
  <r>
    <x v="363"/>
    <x v="3"/>
    <x v="2"/>
    <x v="0"/>
    <n v="16828"/>
    <n v="8"/>
    <n v="40328"/>
    <n v="0.1"/>
    <n v="5"/>
    <n v="32262.400000000001"/>
    <n v="290361.59999999998"/>
    <n v="185605.06443736929"/>
    <n v="104756.5355626307"/>
  </r>
  <r>
    <x v="364"/>
    <x v="0"/>
    <x v="0"/>
    <x v="3"/>
    <n v="67514"/>
    <n v="46"/>
    <n v="16831"/>
    <n v="0.05"/>
    <n v="2"/>
    <n v="38711.300000000003"/>
    <n v="735514.7"/>
    <n v="488765.28864395298"/>
    <n v="246749.411356047"/>
  </r>
  <r>
    <x v="365"/>
    <x v="0"/>
    <x v="4"/>
    <x v="0"/>
    <n v="62664"/>
    <n v="31"/>
    <n v="41112"/>
    <n v="0.1"/>
    <n v="5"/>
    <n v="127447.2"/>
    <n v="1147024.8"/>
    <n v="914027.81383591902"/>
    <n v="232996.986164081"/>
  </r>
  <r>
    <x v="366"/>
    <x v="3"/>
    <x v="4"/>
    <x v="0"/>
    <n v="27883"/>
    <n v="29"/>
    <n v="22995"/>
    <n v="0.1"/>
    <n v="1"/>
    <n v="66685.5"/>
    <n v="600169.5"/>
    <n v="429428.70215821831"/>
    <n v="170740.79784178169"/>
  </r>
  <r>
    <x v="367"/>
    <x v="3"/>
    <x v="4"/>
    <x v="2"/>
    <n v="53059"/>
    <n v="48"/>
    <n v="13950"/>
    <n v="0.2"/>
    <n v="2"/>
    <n v="133920"/>
    <n v="535680"/>
    <n v="455832.58779348817"/>
    <n v="79847.41220651177"/>
  </r>
  <r>
    <x v="368"/>
    <x v="0"/>
    <x v="4"/>
    <x v="4"/>
    <n v="94078"/>
    <n v="9"/>
    <n v="9991"/>
    <n v="0.15"/>
    <n v="4"/>
    <n v="13487.85"/>
    <n v="76431.149999999994"/>
    <n v="67640.536143456324"/>
    <n v="8790.6138565436704"/>
  </r>
  <r>
    <x v="369"/>
    <x v="0"/>
    <x v="4"/>
    <x v="3"/>
    <n v="52932"/>
    <n v="15"/>
    <n v="9768"/>
    <n v="0.2"/>
    <n v="1"/>
    <n v="29304"/>
    <n v="117216"/>
    <n v="98659.661349907445"/>
    <n v="18556.338650092559"/>
  </r>
  <r>
    <x v="370"/>
    <x v="1"/>
    <x v="4"/>
    <x v="2"/>
    <n v="71269"/>
    <n v="30"/>
    <n v="28257"/>
    <n v="0.05"/>
    <n v="5"/>
    <n v="42385.5"/>
    <n v="805324.5"/>
    <n v="574408.67370035569"/>
    <n v="230915.82629964431"/>
  </r>
  <r>
    <x v="371"/>
    <x v="1"/>
    <x v="4"/>
    <x v="0"/>
    <n v="85986"/>
    <n v="26"/>
    <n v="42407"/>
    <n v="0.05"/>
    <n v="5"/>
    <n v="55129.100000000013"/>
    <n v="1047452.9"/>
    <n v="876305.30624672992"/>
    <n v="171147.59375327011"/>
  </r>
  <r>
    <x v="372"/>
    <x v="3"/>
    <x v="0"/>
    <x v="2"/>
    <n v="95959"/>
    <n v="10"/>
    <n v="7291"/>
    <n v="0.2"/>
    <n v="4"/>
    <n v="14582"/>
    <n v="58328"/>
    <n v="41146.466979059413"/>
    <n v="17181.533020940591"/>
  </r>
  <r>
    <x v="373"/>
    <x v="1"/>
    <x v="3"/>
    <x v="4"/>
    <n v="12035"/>
    <n v="29"/>
    <n v="40439"/>
    <n v="0.15"/>
    <n v="1"/>
    <n v="175909.65"/>
    <n v="996821.35"/>
    <n v="648063.49052149733"/>
    <n v="348757.85947850271"/>
  </r>
  <r>
    <x v="374"/>
    <x v="2"/>
    <x v="1"/>
    <x v="1"/>
    <n v="50745"/>
    <n v="16"/>
    <n v="28814"/>
    <n v="0.2"/>
    <n v="3"/>
    <n v="92204.800000000003"/>
    <n v="368819.20000000001"/>
    <n v="224986.33653121849"/>
    <n v="143832.86346878149"/>
  </r>
  <r>
    <x v="375"/>
    <x v="1"/>
    <x v="2"/>
    <x v="3"/>
    <n v="27241"/>
    <n v="36"/>
    <n v="29083"/>
    <n v="0.05"/>
    <n v="4"/>
    <n v="52349.4"/>
    <n v="994638.6"/>
    <n v="711877.77935316693"/>
    <n v="282760.82064683299"/>
  </r>
  <r>
    <x v="376"/>
    <x v="1"/>
    <x v="1"/>
    <x v="4"/>
    <n v="62975"/>
    <n v="20"/>
    <n v="22050"/>
    <n v="0.15"/>
    <n v="5"/>
    <n v="66150"/>
    <n v="374850"/>
    <n v="326519.76149727788"/>
    <n v="48330.238502722117"/>
  </r>
  <r>
    <x v="377"/>
    <x v="2"/>
    <x v="1"/>
    <x v="5"/>
    <n v="33154"/>
    <n v="45"/>
    <n v="593"/>
    <n v="0.05"/>
    <n v="2"/>
    <n v="1334.25"/>
    <n v="25350.75"/>
    <n v="17027.99677186416"/>
    <n v="8322.7532281358363"/>
  </r>
  <r>
    <x v="378"/>
    <x v="3"/>
    <x v="3"/>
    <x v="3"/>
    <n v="35625"/>
    <n v="37"/>
    <n v="36255"/>
    <n v="0.15"/>
    <n v="1"/>
    <n v="201215.25"/>
    <n v="1140219.75"/>
    <n v="754772.96678638412"/>
    <n v="385446.78321361588"/>
  </r>
  <r>
    <x v="379"/>
    <x v="2"/>
    <x v="3"/>
    <x v="4"/>
    <n v="54950"/>
    <n v="22"/>
    <n v="46115"/>
    <n v="0.15"/>
    <n v="3"/>
    <n v="152179.5"/>
    <n v="862350.5"/>
    <n v="768307.93171890115"/>
    <n v="94042.568281098851"/>
  </r>
  <r>
    <x v="380"/>
    <x v="1"/>
    <x v="3"/>
    <x v="0"/>
    <n v="66396"/>
    <n v="7"/>
    <n v="10467"/>
    <n v="0.2"/>
    <n v="2"/>
    <n v="14653.8"/>
    <n v="58615.199999999997"/>
    <n v="35608.806322668002"/>
    <n v="23006.393677331991"/>
  </r>
  <r>
    <x v="381"/>
    <x v="3"/>
    <x v="4"/>
    <x v="3"/>
    <n v="23331"/>
    <n v="23"/>
    <n v="16718"/>
    <n v="0.2"/>
    <n v="1"/>
    <n v="76902.8"/>
    <n v="307611.2"/>
    <n v="257081.33706636101"/>
    <n v="50529.86293363903"/>
  </r>
  <r>
    <x v="382"/>
    <x v="1"/>
    <x v="0"/>
    <x v="3"/>
    <n v="73927"/>
    <n v="41"/>
    <n v="43720"/>
    <n v="0.2"/>
    <n v="4"/>
    <n v="358504"/>
    <n v="1434016"/>
    <n v="998664.49753550999"/>
    <n v="435351.50246449001"/>
  </r>
  <r>
    <x v="383"/>
    <x v="2"/>
    <x v="4"/>
    <x v="2"/>
    <n v="96226"/>
    <n v="40"/>
    <n v="9127"/>
    <n v="0.15"/>
    <n v="4"/>
    <n v="54762"/>
    <n v="310318"/>
    <n v="189680.7563399637"/>
    <n v="120637.2436600363"/>
  </r>
  <r>
    <x v="384"/>
    <x v="2"/>
    <x v="0"/>
    <x v="0"/>
    <n v="94719"/>
    <n v="29"/>
    <n v="5447"/>
    <n v="0.15"/>
    <n v="1"/>
    <n v="23694.45"/>
    <n v="134268.54999999999"/>
    <n v="117530.7348780772"/>
    <n v="16737.815121922758"/>
  </r>
  <r>
    <x v="385"/>
    <x v="1"/>
    <x v="0"/>
    <x v="5"/>
    <n v="73014"/>
    <n v="16"/>
    <n v="39919"/>
    <n v="0.05"/>
    <n v="3"/>
    <n v="31935.200000000001"/>
    <n v="606768.80000000005"/>
    <n v="389480.46273914177"/>
    <n v="217288.33726085821"/>
  </r>
  <r>
    <x v="386"/>
    <x v="0"/>
    <x v="1"/>
    <x v="1"/>
    <n v="49346"/>
    <n v="38"/>
    <n v="23678"/>
    <n v="0.1"/>
    <n v="1"/>
    <n v="89976.400000000009"/>
    <n v="809787.6"/>
    <n v="619919.76656938496"/>
    <n v="189867.83343061499"/>
  </r>
  <r>
    <x v="387"/>
    <x v="0"/>
    <x v="1"/>
    <x v="4"/>
    <n v="80411"/>
    <n v="28"/>
    <n v="29376"/>
    <n v="0.2"/>
    <n v="2"/>
    <n v="164505.60000000001"/>
    <n v="658022.40000000002"/>
    <n v="448913.5821908667"/>
    <n v="209108.8178091333"/>
  </r>
  <r>
    <x v="388"/>
    <x v="2"/>
    <x v="0"/>
    <x v="2"/>
    <n v="64478"/>
    <n v="48"/>
    <n v="23408"/>
    <n v="0.05"/>
    <n v="2"/>
    <n v="56179.199999999997"/>
    <n v="1067404.8"/>
    <n v="661319.01299321698"/>
    <n v="406085.78700678312"/>
  </r>
  <r>
    <x v="389"/>
    <x v="2"/>
    <x v="0"/>
    <x v="4"/>
    <n v="22254"/>
    <n v="38"/>
    <n v="36412"/>
    <n v="0.05"/>
    <n v="4"/>
    <n v="69182.8"/>
    <n v="1314473.2"/>
    <n v="808370.45084456878"/>
    <n v="506102.74915543117"/>
  </r>
  <r>
    <x v="390"/>
    <x v="0"/>
    <x v="4"/>
    <x v="5"/>
    <n v="65734"/>
    <n v="31"/>
    <n v="20471"/>
    <n v="0"/>
    <n v="1"/>
    <n v="0"/>
    <n v="634601"/>
    <n v="402760.31899147178"/>
    <n v="231840.68100852819"/>
  </r>
  <r>
    <x v="391"/>
    <x v="0"/>
    <x v="4"/>
    <x v="5"/>
    <n v="38621"/>
    <n v="14"/>
    <n v="33084"/>
    <n v="0.2"/>
    <n v="4"/>
    <n v="92635.200000000012"/>
    <n v="370540.79999999999"/>
    <n v="230257.79712605459"/>
    <n v="140283.0028739454"/>
  </r>
  <r>
    <x v="392"/>
    <x v="1"/>
    <x v="1"/>
    <x v="3"/>
    <n v="86441"/>
    <n v="33"/>
    <n v="49728"/>
    <n v="0.05"/>
    <n v="3"/>
    <n v="82051.200000000012"/>
    <n v="1558972.8"/>
    <n v="1291090.504474445"/>
    <n v="267882.2955255548"/>
  </r>
  <r>
    <x v="393"/>
    <x v="1"/>
    <x v="3"/>
    <x v="5"/>
    <n v="56121"/>
    <n v="9"/>
    <n v="9459"/>
    <n v="0"/>
    <n v="2"/>
    <n v="0"/>
    <n v="85131"/>
    <n v="63479.62090997718"/>
    <n v="21651.37909002282"/>
  </r>
  <r>
    <x v="394"/>
    <x v="0"/>
    <x v="0"/>
    <x v="4"/>
    <n v="91418"/>
    <n v="27"/>
    <n v="28761"/>
    <n v="0.2"/>
    <n v="5"/>
    <n v="155309.4"/>
    <n v="621237.6"/>
    <n v="436647.79796658631"/>
    <n v="184589.8020334137"/>
  </r>
  <r>
    <x v="395"/>
    <x v="1"/>
    <x v="4"/>
    <x v="0"/>
    <n v="70197"/>
    <n v="24"/>
    <n v="41565"/>
    <n v="0.15"/>
    <n v="5"/>
    <n v="149634"/>
    <n v="847926"/>
    <n v="615179.36294777773"/>
    <n v="232746.6370522223"/>
  </r>
  <r>
    <x v="396"/>
    <x v="1"/>
    <x v="1"/>
    <x v="0"/>
    <n v="94577"/>
    <n v="13"/>
    <n v="39962"/>
    <n v="0"/>
    <n v="1"/>
    <n v="0"/>
    <n v="519506"/>
    <n v="456481.62084311742"/>
    <n v="63024.379156882642"/>
  </r>
  <r>
    <x v="397"/>
    <x v="3"/>
    <x v="4"/>
    <x v="3"/>
    <n v="52431"/>
    <n v="26"/>
    <n v="16335"/>
    <n v="0.15"/>
    <n v="1"/>
    <n v="63706.5"/>
    <n v="361003.5"/>
    <n v="315237.47760894481"/>
    <n v="45766.022391055238"/>
  </r>
  <r>
    <x v="398"/>
    <x v="1"/>
    <x v="0"/>
    <x v="1"/>
    <n v="14837"/>
    <n v="29"/>
    <n v="19757"/>
    <n v="0.1"/>
    <n v="5"/>
    <n v="57295.3"/>
    <n v="515657.7"/>
    <n v="420107.8463052311"/>
    <n v="95549.853694768914"/>
  </r>
  <r>
    <x v="399"/>
    <x v="2"/>
    <x v="0"/>
    <x v="4"/>
    <n v="93163"/>
    <n v="49"/>
    <n v="3846"/>
    <n v="0.1"/>
    <n v="1"/>
    <n v="18845.400000000001"/>
    <n v="169608.6"/>
    <n v="146780.08184374921"/>
    <n v="22828.518156250761"/>
  </r>
  <r>
    <x v="400"/>
    <x v="1"/>
    <x v="2"/>
    <x v="4"/>
    <n v="81232"/>
    <n v="43"/>
    <n v="31307"/>
    <n v="0.1"/>
    <n v="2"/>
    <n v="134620.1"/>
    <n v="1211580.8999999999"/>
    <n v="843132.37348435179"/>
    <n v="368448.52651564812"/>
  </r>
  <r>
    <x v="401"/>
    <x v="1"/>
    <x v="3"/>
    <x v="5"/>
    <n v="58994"/>
    <n v="28"/>
    <n v="30918"/>
    <n v="0.1"/>
    <n v="3"/>
    <n v="86570.400000000009"/>
    <n v="779133.6"/>
    <n v="556560.68434992211"/>
    <n v="222572.91565007789"/>
  </r>
  <r>
    <x v="402"/>
    <x v="0"/>
    <x v="2"/>
    <x v="4"/>
    <n v="89079"/>
    <n v="28"/>
    <n v="11840"/>
    <n v="0.05"/>
    <n v="3"/>
    <n v="16576"/>
    <n v="314944"/>
    <n v="246951.89082056939"/>
    <n v="67992.109179430612"/>
  </r>
  <r>
    <x v="403"/>
    <x v="2"/>
    <x v="1"/>
    <x v="2"/>
    <n v="22615"/>
    <n v="8"/>
    <n v="33512"/>
    <n v="0.1"/>
    <n v="4"/>
    <n v="26809.599999999999"/>
    <n v="241286.39999999999"/>
    <n v="189913.577930984"/>
    <n v="51372.822069016023"/>
  </r>
  <r>
    <x v="404"/>
    <x v="1"/>
    <x v="4"/>
    <x v="1"/>
    <n v="11466"/>
    <n v="23"/>
    <n v="35893"/>
    <n v="0.05"/>
    <n v="2"/>
    <n v="41276.949999999997"/>
    <n v="784262.05"/>
    <n v="583890.900733268"/>
    <n v="200371.14926673201"/>
  </r>
  <r>
    <x v="405"/>
    <x v="1"/>
    <x v="1"/>
    <x v="5"/>
    <n v="40771"/>
    <n v="29"/>
    <n v="37117"/>
    <n v="0.05"/>
    <n v="1"/>
    <n v="53819.65"/>
    <n v="1022573.35"/>
    <n v="736454.62148429709"/>
    <n v="286118.72851570288"/>
  </r>
  <r>
    <x v="406"/>
    <x v="3"/>
    <x v="0"/>
    <x v="2"/>
    <n v="93886"/>
    <n v="5"/>
    <n v="10097"/>
    <n v="0.2"/>
    <n v="1"/>
    <n v="10097"/>
    <n v="40388"/>
    <n v="36181.755127575598"/>
    <n v="4206.2448724244023"/>
  </r>
  <r>
    <x v="407"/>
    <x v="1"/>
    <x v="2"/>
    <x v="3"/>
    <n v="75911"/>
    <n v="42"/>
    <n v="26057"/>
    <n v="0.05"/>
    <n v="4"/>
    <n v="54719.7"/>
    <n v="1039674.3"/>
    <n v="879914.91935922217"/>
    <n v="159759.3806407779"/>
  </r>
  <r>
    <x v="408"/>
    <x v="1"/>
    <x v="2"/>
    <x v="0"/>
    <n v="30746"/>
    <n v="7"/>
    <n v="8237"/>
    <n v="0.05"/>
    <n v="4"/>
    <n v="2882.95"/>
    <n v="54776.05"/>
    <n v="40013.579120557639"/>
    <n v="14762.47087944236"/>
  </r>
  <r>
    <x v="409"/>
    <x v="3"/>
    <x v="2"/>
    <x v="3"/>
    <n v="98422"/>
    <n v="42"/>
    <n v="47292"/>
    <n v="0.1"/>
    <n v="1"/>
    <n v="198626.4"/>
    <n v="1787637.6"/>
    <n v="1462623.173553179"/>
    <n v="325014.42644682107"/>
  </r>
  <r>
    <x v="410"/>
    <x v="0"/>
    <x v="1"/>
    <x v="0"/>
    <n v="70739"/>
    <n v="36"/>
    <n v="45268"/>
    <n v="0.05"/>
    <n v="1"/>
    <n v="81482.400000000009"/>
    <n v="1548165.6"/>
    <n v="1054097.2021713629"/>
    <n v="494068.39782863721"/>
  </r>
  <r>
    <x v="411"/>
    <x v="1"/>
    <x v="0"/>
    <x v="3"/>
    <n v="83369"/>
    <n v="41"/>
    <n v="41601"/>
    <n v="0.15"/>
    <n v="2"/>
    <n v="255846.15"/>
    <n v="1449794.85"/>
    <n v="913444.40199205535"/>
    <n v="536350.44800794474"/>
  </r>
  <r>
    <x v="412"/>
    <x v="3"/>
    <x v="4"/>
    <x v="4"/>
    <n v="11893"/>
    <n v="27"/>
    <n v="17776"/>
    <n v="0.1"/>
    <n v="4"/>
    <n v="47995.199999999997"/>
    <n v="431956.8"/>
    <n v="304844.57340554398"/>
    <n v="127112.2265944559"/>
  </r>
  <r>
    <x v="413"/>
    <x v="2"/>
    <x v="4"/>
    <x v="2"/>
    <n v="40573"/>
    <n v="46"/>
    <n v="7810"/>
    <n v="0"/>
    <n v="2"/>
    <n v="0"/>
    <n v="359260"/>
    <n v="258987.6024516992"/>
    <n v="100272.3975483008"/>
  </r>
  <r>
    <x v="414"/>
    <x v="0"/>
    <x v="1"/>
    <x v="0"/>
    <n v="50874"/>
    <n v="2"/>
    <n v="35667"/>
    <n v="0.1"/>
    <n v="1"/>
    <n v="7133.4000000000005"/>
    <n v="64200.6"/>
    <n v="38838.867995720939"/>
    <n v="25361.73200427906"/>
  </r>
  <r>
    <x v="415"/>
    <x v="2"/>
    <x v="2"/>
    <x v="5"/>
    <n v="87362"/>
    <n v="25"/>
    <n v="37908"/>
    <n v="0.05"/>
    <n v="5"/>
    <n v="47385"/>
    <n v="900315"/>
    <n v="760259.83828584652"/>
    <n v="140055.16171415351"/>
  </r>
  <r>
    <x v="416"/>
    <x v="2"/>
    <x v="3"/>
    <x v="2"/>
    <n v="97460"/>
    <n v="9"/>
    <n v="19844"/>
    <n v="0.15"/>
    <n v="5"/>
    <n v="26789.4"/>
    <n v="151806.6"/>
    <n v="107442.3387477401"/>
    <n v="44364.261252259952"/>
  </r>
  <r>
    <x v="417"/>
    <x v="3"/>
    <x v="1"/>
    <x v="5"/>
    <n v="43367"/>
    <n v="27"/>
    <n v="10891"/>
    <n v="0.1"/>
    <n v="1"/>
    <n v="29405.7"/>
    <n v="264651.3"/>
    <n v="204873.30663519941"/>
    <n v="59777.993364800554"/>
  </r>
  <r>
    <x v="418"/>
    <x v="1"/>
    <x v="1"/>
    <x v="2"/>
    <n v="31199"/>
    <n v="1"/>
    <n v="11392"/>
    <n v="0.15"/>
    <n v="4"/>
    <n v="1708.8"/>
    <n v="9683.2000000000007"/>
    <n v="6024.7801004946368"/>
    <n v="3658.4198995053639"/>
  </r>
  <r>
    <x v="419"/>
    <x v="3"/>
    <x v="0"/>
    <x v="2"/>
    <n v="84328"/>
    <n v="23"/>
    <n v="11697"/>
    <n v="0"/>
    <n v="5"/>
    <n v="0"/>
    <n v="269031"/>
    <n v="175542.4715506795"/>
    <n v="93488.528449320496"/>
  </r>
  <r>
    <x v="420"/>
    <x v="3"/>
    <x v="4"/>
    <x v="3"/>
    <n v="67724"/>
    <n v="10"/>
    <n v="13550"/>
    <n v="0"/>
    <n v="4"/>
    <n v="0"/>
    <n v="135500"/>
    <n v="117466.04993456529"/>
    <n v="18033.950065434681"/>
  </r>
  <r>
    <x v="421"/>
    <x v="3"/>
    <x v="1"/>
    <x v="0"/>
    <n v="96133"/>
    <n v="42"/>
    <n v="36642"/>
    <n v="0.2"/>
    <n v="5"/>
    <n v="307792.8"/>
    <n v="1231171.2"/>
    <n v="963522.28623855032"/>
    <n v="267648.91376144963"/>
  </r>
  <r>
    <x v="422"/>
    <x v="3"/>
    <x v="1"/>
    <x v="0"/>
    <n v="46405"/>
    <n v="25"/>
    <n v="46179"/>
    <n v="0.2"/>
    <n v="4"/>
    <n v="230895"/>
    <n v="923580"/>
    <n v="817447.00291693711"/>
    <n v="106132.9970830629"/>
  </r>
  <r>
    <x v="423"/>
    <x v="0"/>
    <x v="2"/>
    <x v="2"/>
    <n v="25989"/>
    <n v="3"/>
    <n v="42115"/>
    <n v="0.1"/>
    <n v="5"/>
    <n v="12634.5"/>
    <n v="113710.5"/>
    <n v="102296.8097356962"/>
    <n v="11413.69026430385"/>
  </r>
  <r>
    <x v="424"/>
    <x v="1"/>
    <x v="2"/>
    <x v="4"/>
    <n v="38931"/>
    <n v="6"/>
    <n v="48053"/>
    <n v="0.2"/>
    <n v="4"/>
    <n v="57663.600000000013"/>
    <n v="230654.4"/>
    <n v="164123.99153582571"/>
    <n v="66530.40846417431"/>
  </r>
  <r>
    <x v="425"/>
    <x v="2"/>
    <x v="3"/>
    <x v="4"/>
    <n v="19290"/>
    <n v="6"/>
    <n v="44228"/>
    <n v="0.15"/>
    <n v="2"/>
    <n v="39805.199999999997"/>
    <n v="225562.8"/>
    <n v="155557.33673496079"/>
    <n v="70005.463265039143"/>
  </r>
  <r>
    <x v="426"/>
    <x v="2"/>
    <x v="0"/>
    <x v="5"/>
    <n v="48367"/>
    <n v="2"/>
    <n v="14035"/>
    <n v="0.2"/>
    <n v="4"/>
    <n v="5614"/>
    <n v="22456"/>
    <n v="19256.17307239581"/>
    <n v="3199.8269276041942"/>
  </r>
  <r>
    <x v="427"/>
    <x v="1"/>
    <x v="3"/>
    <x v="5"/>
    <n v="89878"/>
    <n v="18"/>
    <n v="41502"/>
    <n v="0.15"/>
    <n v="2"/>
    <n v="112055.4"/>
    <n v="634980.6"/>
    <n v="571218.02493212966"/>
    <n v="63762.575067870319"/>
  </r>
  <r>
    <x v="428"/>
    <x v="2"/>
    <x v="2"/>
    <x v="3"/>
    <n v="89481"/>
    <n v="23"/>
    <n v="43771"/>
    <n v="0.2"/>
    <n v="2"/>
    <n v="201346.6"/>
    <n v="805386.4"/>
    <n v="635363.18607901072"/>
    <n v="170023.21392098931"/>
  </r>
  <r>
    <x v="429"/>
    <x v="1"/>
    <x v="4"/>
    <x v="2"/>
    <n v="86298"/>
    <n v="2"/>
    <n v="5622"/>
    <n v="0.2"/>
    <n v="1"/>
    <n v="2248.8000000000002"/>
    <n v="8995.2000000000007"/>
    <n v="7542.8549481406944"/>
    <n v="1452.3450518593061"/>
  </r>
  <r>
    <x v="430"/>
    <x v="2"/>
    <x v="2"/>
    <x v="5"/>
    <n v="40133"/>
    <n v="12"/>
    <n v="10352"/>
    <n v="0.2"/>
    <n v="2"/>
    <n v="24844.799999999999"/>
    <n v="99379.199999999997"/>
    <n v="82934.303415712478"/>
    <n v="16444.896584287519"/>
  </r>
  <r>
    <x v="431"/>
    <x v="3"/>
    <x v="0"/>
    <x v="5"/>
    <n v="37052"/>
    <n v="22"/>
    <n v="5887"/>
    <n v="0.05"/>
    <n v="3"/>
    <n v="6475.7000000000007"/>
    <n v="123038.3"/>
    <n v="86939.098086548736"/>
    <n v="36099.201913451267"/>
  </r>
  <r>
    <x v="432"/>
    <x v="2"/>
    <x v="2"/>
    <x v="1"/>
    <n v="95489"/>
    <n v="37"/>
    <n v="32259"/>
    <n v="0.05"/>
    <n v="2"/>
    <n v="59679.15"/>
    <n v="1133903.8500000001"/>
    <n v="875692.52853434265"/>
    <n v="258211.32146565741"/>
  </r>
  <r>
    <x v="433"/>
    <x v="1"/>
    <x v="0"/>
    <x v="2"/>
    <n v="50475"/>
    <n v="20"/>
    <n v="40899"/>
    <n v="0.2"/>
    <n v="4"/>
    <n v="163596"/>
    <n v="654384"/>
    <n v="556172.14003567235"/>
    <n v="98211.859964327654"/>
  </r>
  <r>
    <x v="434"/>
    <x v="1"/>
    <x v="0"/>
    <x v="3"/>
    <n v="92666"/>
    <n v="39"/>
    <n v="40494"/>
    <n v="0.15"/>
    <n v="2"/>
    <n v="236889.9"/>
    <n v="1342376.1"/>
    <n v="1082537.94647136"/>
    <n v="259838.15352864051"/>
  </r>
  <r>
    <x v="435"/>
    <x v="1"/>
    <x v="0"/>
    <x v="5"/>
    <n v="67656"/>
    <n v="24"/>
    <n v="38376"/>
    <n v="0.1"/>
    <n v="4"/>
    <n v="92102.400000000009"/>
    <n v="828921.6"/>
    <n v="502615.90276442812"/>
    <n v="326305.69723557192"/>
  </r>
  <r>
    <x v="436"/>
    <x v="1"/>
    <x v="0"/>
    <x v="3"/>
    <n v="14633"/>
    <n v="48"/>
    <n v="35378"/>
    <n v="0"/>
    <n v="4"/>
    <n v="0"/>
    <n v="1698144"/>
    <n v="1190418.8134212999"/>
    <n v="507725.18657870009"/>
  </r>
  <r>
    <x v="437"/>
    <x v="1"/>
    <x v="0"/>
    <x v="0"/>
    <n v="27304"/>
    <n v="20"/>
    <n v="34225"/>
    <n v="0.05"/>
    <n v="3"/>
    <n v="34225"/>
    <n v="650275"/>
    <n v="418349.68008091708"/>
    <n v="231925.31991908289"/>
  </r>
  <r>
    <x v="438"/>
    <x v="0"/>
    <x v="4"/>
    <x v="3"/>
    <n v="56546"/>
    <n v="1"/>
    <n v="7646"/>
    <n v="0.2"/>
    <n v="2"/>
    <n v="1529.2"/>
    <n v="6116.8"/>
    <n v="4097.5933280516847"/>
    <n v="2019.206671948315"/>
  </r>
  <r>
    <x v="439"/>
    <x v="0"/>
    <x v="3"/>
    <x v="4"/>
    <n v="17008"/>
    <n v="1"/>
    <n v="1060"/>
    <n v="0"/>
    <n v="2"/>
    <n v="0"/>
    <n v="1060"/>
    <n v="923.94565384224154"/>
    <n v="136.05434615775849"/>
  </r>
  <r>
    <x v="440"/>
    <x v="2"/>
    <x v="1"/>
    <x v="4"/>
    <n v="58291"/>
    <n v="17"/>
    <n v="1812"/>
    <n v="0.05"/>
    <n v="5"/>
    <n v="1540.2"/>
    <n v="29263.8"/>
    <n v="17882.171348408079"/>
    <n v="11381.62865159192"/>
  </r>
  <r>
    <x v="441"/>
    <x v="1"/>
    <x v="3"/>
    <x v="3"/>
    <n v="37405"/>
    <n v="1"/>
    <n v="18705"/>
    <n v="0.1"/>
    <n v="5"/>
    <n v="1870.5"/>
    <n v="16834.5"/>
    <n v="11210.770525656901"/>
    <n v="5623.7294743430984"/>
  </r>
  <r>
    <x v="442"/>
    <x v="2"/>
    <x v="0"/>
    <x v="4"/>
    <n v="46386"/>
    <n v="45"/>
    <n v="12095"/>
    <n v="0.15"/>
    <n v="1"/>
    <n v="81641.25"/>
    <n v="462633.75"/>
    <n v="320545.41909331322"/>
    <n v="142088.33090668681"/>
  </r>
  <r>
    <x v="443"/>
    <x v="1"/>
    <x v="4"/>
    <x v="0"/>
    <n v="30827"/>
    <n v="30"/>
    <n v="22530"/>
    <n v="0.2"/>
    <n v="4"/>
    <n v="135180"/>
    <n v="540720"/>
    <n v="424500.46661810071"/>
    <n v="116219.53338189929"/>
  </r>
  <r>
    <x v="444"/>
    <x v="1"/>
    <x v="2"/>
    <x v="2"/>
    <n v="43040"/>
    <n v="41"/>
    <n v="21829"/>
    <n v="0.1"/>
    <n v="3"/>
    <n v="89498.900000000009"/>
    <n v="805490.1"/>
    <n v="612358.14712722984"/>
    <n v="193131.95287277011"/>
  </r>
  <r>
    <x v="445"/>
    <x v="0"/>
    <x v="4"/>
    <x v="4"/>
    <n v="70354"/>
    <n v="47"/>
    <n v="38642"/>
    <n v="0.05"/>
    <n v="5"/>
    <n v="90808.700000000012"/>
    <n v="1725365.3"/>
    <n v="1148197.557529253"/>
    <n v="577167.74247074686"/>
  </r>
  <r>
    <x v="446"/>
    <x v="0"/>
    <x v="0"/>
    <x v="4"/>
    <n v="88543"/>
    <n v="3"/>
    <n v="3151"/>
    <n v="0.2"/>
    <n v="2"/>
    <n v="1890.6"/>
    <n v="7562.4"/>
    <n v="4910.0569940305149"/>
    <n v="2652.3430059694851"/>
  </r>
  <r>
    <x v="447"/>
    <x v="3"/>
    <x v="4"/>
    <x v="3"/>
    <n v="28157"/>
    <n v="46"/>
    <n v="10506"/>
    <n v="0"/>
    <n v="1"/>
    <n v="0"/>
    <n v="483276"/>
    <n v="324297.24209024222"/>
    <n v="158978.75790975781"/>
  </r>
  <r>
    <x v="448"/>
    <x v="0"/>
    <x v="4"/>
    <x v="0"/>
    <n v="45315"/>
    <n v="11"/>
    <n v="43201"/>
    <n v="0.15"/>
    <n v="3"/>
    <n v="71281.649999999994"/>
    <n v="403929.35"/>
    <n v="303253.54964080272"/>
    <n v="100675.8003591973"/>
  </r>
  <r>
    <x v="449"/>
    <x v="3"/>
    <x v="0"/>
    <x v="2"/>
    <n v="45932"/>
    <n v="24"/>
    <n v="49440"/>
    <n v="0.05"/>
    <n v="2"/>
    <n v="59328"/>
    <n v="1127232"/>
    <n v="768043.28332284337"/>
    <n v="359188.71667715663"/>
  </r>
  <r>
    <x v="450"/>
    <x v="3"/>
    <x v="4"/>
    <x v="3"/>
    <n v="31164"/>
    <n v="22"/>
    <n v="36145"/>
    <n v="0.15"/>
    <n v="2"/>
    <n v="119278.5"/>
    <n v="675911.5"/>
    <n v="597695.52847962838"/>
    <n v="78215.971520371619"/>
  </r>
  <r>
    <x v="451"/>
    <x v="3"/>
    <x v="1"/>
    <x v="3"/>
    <n v="24414"/>
    <n v="44"/>
    <n v="22466"/>
    <n v="0.2"/>
    <n v="4"/>
    <n v="197700.8"/>
    <n v="790803.2"/>
    <n v="584529.75044239243"/>
    <n v="206273.4495576075"/>
  </r>
  <r>
    <x v="452"/>
    <x v="3"/>
    <x v="1"/>
    <x v="1"/>
    <n v="24327"/>
    <n v="45"/>
    <n v="28346"/>
    <n v="0.1"/>
    <n v="4"/>
    <n v="127557"/>
    <n v="1148013"/>
    <n v="709057.3774024375"/>
    <n v="438955.6225975625"/>
  </r>
  <r>
    <x v="453"/>
    <x v="3"/>
    <x v="4"/>
    <x v="0"/>
    <n v="10946"/>
    <n v="26"/>
    <n v="22274"/>
    <n v="0.15"/>
    <n v="5"/>
    <n v="86868.599999999991"/>
    <n v="492255.4"/>
    <n v="403048.83789350232"/>
    <n v="89206.562106497702"/>
  </r>
  <r>
    <x v="454"/>
    <x v="2"/>
    <x v="2"/>
    <x v="2"/>
    <n v="24693"/>
    <n v="13"/>
    <n v="4583"/>
    <n v="0"/>
    <n v="5"/>
    <n v="0"/>
    <n v="59579"/>
    <n v="41625.082027861012"/>
    <n v="17953.917972138988"/>
  </r>
  <r>
    <x v="455"/>
    <x v="0"/>
    <x v="0"/>
    <x v="0"/>
    <n v="37241"/>
    <n v="1"/>
    <n v="34013"/>
    <n v="0.05"/>
    <n v="2"/>
    <n v="1700.65"/>
    <n v="32312.35"/>
    <n v="25722.138928137691"/>
    <n v="6590.2110718623044"/>
  </r>
  <r>
    <x v="456"/>
    <x v="3"/>
    <x v="1"/>
    <x v="2"/>
    <n v="25540"/>
    <n v="24"/>
    <n v="9249"/>
    <n v="0"/>
    <n v="2"/>
    <n v="0"/>
    <n v="221976"/>
    <n v="151804.57199737951"/>
    <n v="70171.428002620523"/>
  </r>
  <r>
    <x v="457"/>
    <x v="1"/>
    <x v="2"/>
    <x v="0"/>
    <n v="82255"/>
    <n v="10"/>
    <n v="31283"/>
    <n v="0.15"/>
    <n v="5"/>
    <n v="46924.5"/>
    <n v="265905.5"/>
    <n v="205072.47000524079"/>
    <n v="60833.029994759207"/>
  </r>
  <r>
    <x v="458"/>
    <x v="0"/>
    <x v="4"/>
    <x v="3"/>
    <n v="74757"/>
    <n v="35"/>
    <n v="17825"/>
    <n v="0.1"/>
    <n v="5"/>
    <n v="62387.5"/>
    <n v="561487.5"/>
    <n v="466958.69386292441"/>
    <n v="94528.80613707559"/>
  </r>
  <r>
    <x v="459"/>
    <x v="0"/>
    <x v="2"/>
    <x v="3"/>
    <n v="51203"/>
    <n v="24"/>
    <n v="19180"/>
    <n v="0.1"/>
    <n v="2"/>
    <n v="46032"/>
    <n v="414288"/>
    <n v="363911.66568368889"/>
    <n v="50376.334316311048"/>
  </r>
  <r>
    <x v="460"/>
    <x v="3"/>
    <x v="3"/>
    <x v="5"/>
    <n v="35081"/>
    <n v="28"/>
    <n v="17823"/>
    <n v="0"/>
    <n v="3"/>
    <n v="0"/>
    <n v="499044"/>
    <n v="338520.58039993822"/>
    <n v="160523.41960006181"/>
  </r>
  <r>
    <x v="461"/>
    <x v="2"/>
    <x v="1"/>
    <x v="4"/>
    <n v="71861"/>
    <n v="36"/>
    <n v="23184"/>
    <n v="0.2"/>
    <n v="2"/>
    <n v="166924.79999999999"/>
    <n v="667699.19999999995"/>
    <n v="467694.63548893761"/>
    <n v="200004.56451106229"/>
  </r>
  <r>
    <x v="462"/>
    <x v="3"/>
    <x v="4"/>
    <x v="1"/>
    <n v="21350"/>
    <n v="16"/>
    <n v="34993"/>
    <n v="0.2"/>
    <n v="3"/>
    <n v="111977.60000000001"/>
    <n v="447910.40000000002"/>
    <n v="331131.16740505298"/>
    <n v="116779.232594947"/>
  </r>
  <r>
    <x v="463"/>
    <x v="2"/>
    <x v="0"/>
    <x v="0"/>
    <n v="65512"/>
    <n v="40"/>
    <n v="12713"/>
    <n v="0.1"/>
    <n v="3"/>
    <n v="50852"/>
    <n v="457668"/>
    <n v="401902.27609108639"/>
    <n v="55765.723908913613"/>
  </r>
  <r>
    <x v="464"/>
    <x v="1"/>
    <x v="4"/>
    <x v="1"/>
    <n v="66809"/>
    <n v="16"/>
    <n v="32331"/>
    <n v="0"/>
    <n v="2"/>
    <n v="0"/>
    <n v="517296"/>
    <n v="450262.74464421772"/>
    <n v="67033.255355782283"/>
  </r>
  <r>
    <x v="465"/>
    <x v="0"/>
    <x v="0"/>
    <x v="5"/>
    <n v="52832"/>
    <n v="17"/>
    <n v="42796"/>
    <n v="0"/>
    <n v="1"/>
    <n v="0"/>
    <n v="727532"/>
    <n v="456135.99746345321"/>
    <n v="271396.00253654679"/>
  </r>
  <r>
    <x v="466"/>
    <x v="1"/>
    <x v="4"/>
    <x v="4"/>
    <n v="38369"/>
    <n v="15"/>
    <n v="47430"/>
    <n v="0"/>
    <n v="5"/>
    <n v="0"/>
    <n v="711450"/>
    <n v="455028.44235976459"/>
    <n v="256421.55764023541"/>
  </r>
  <r>
    <x v="467"/>
    <x v="2"/>
    <x v="2"/>
    <x v="0"/>
    <n v="41728"/>
    <n v="16"/>
    <n v="28213"/>
    <n v="0.15"/>
    <n v="4"/>
    <n v="67711.199999999997"/>
    <n v="383696.8"/>
    <n v="287255.6657137195"/>
    <n v="96441.134286280489"/>
  </r>
  <r>
    <x v="468"/>
    <x v="2"/>
    <x v="2"/>
    <x v="2"/>
    <n v="27576"/>
    <n v="15"/>
    <n v="42121"/>
    <n v="0.2"/>
    <n v="2"/>
    <n v="126363"/>
    <n v="505452"/>
    <n v="319438.47740341409"/>
    <n v="186013.52259658591"/>
  </r>
  <r>
    <x v="469"/>
    <x v="1"/>
    <x v="2"/>
    <x v="4"/>
    <n v="39001"/>
    <n v="34"/>
    <n v="7687"/>
    <n v="0.2"/>
    <n v="3"/>
    <n v="52271.600000000013"/>
    <n v="209086.4"/>
    <n v="147128.7182152005"/>
    <n v="61957.681784799468"/>
  </r>
  <r>
    <x v="470"/>
    <x v="2"/>
    <x v="3"/>
    <x v="3"/>
    <n v="93384"/>
    <n v="11"/>
    <n v="33300"/>
    <n v="0.15"/>
    <n v="2"/>
    <n v="54945"/>
    <n v="311355"/>
    <n v="200673.15883047081"/>
    <n v="110681.8411695292"/>
  </r>
  <r>
    <x v="471"/>
    <x v="1"/>
    <x v="0"/>
    <x v="5"/>
    <n v="10390"/>
    <n v="1"/>
    <n v="33083"/>
    <n v="0.05"/>
    <n v="5"/>
    <n v="1654.15"/>
    <n v="31428.85"/>
    <n v="24854.315074616032"/>
    <n v="6574.5349253839668"/>
  </r>
  <r>
    <x v="472"/>
    <x v="0"/>
    <x v="2"/>
    <x v="4"/>
    <n v="97535"/>
    <n v="15"/>
    <n v="48161"/>
    <n v="0.15"/>
    <n v="3"/>
    <n v="108362.25"/>
    <n v="614052.75"/>
    <n v="543343.73429156095"/>
    <n v="70709.015708439052"/>
  </r>
  <r>
    <x v="473"/>
    <x v="1"/>
    <x v="3"/>
    <x v="4"/>
    <n v="55436"/>
    <n v="26"/>
    <n v="14908"/>
    <n v="0"/>
    <n v="4"/>
    <n v="0"/>
    <n v="387608"/>
    <n v="348467.39497087942"/>
    <n v="39140.605029120627"/>
  </r>
  <r>
    <x v="474"/>
    <x v="0"/>
    <x v="0"/>
    <x v="3"/>
    <n v="21569"/>
    <n v="4"/>
    <n v="22869"/>
    <n v="0.15"/>
    <n v="4"/>
    <n v="13721.4"/>
    <n v="77754.600000000006"/>
    <n v="55405.777248253376"/>
    <n v="22348.822751746618"/>
  </r>
  <r>
    <x v="475"/>
    <x v="1"/>
    <x v="4"/>
    <x v="0"/>
    <n v="23029"/>
    <n v="43"/>
    <n v="48428"/>
    <n v="0"/>
    <n v="4"/>
    <n v="0"/>
    <n v="2082404"/>
    <n v="1623658.2934734051"/>
    <n v="458745.70652659488"/>
  </r>
  <r>
    <x v="476"/>
    <x v="2"/>
    <x v="3"/>
    <x v="2"/>
    <n v="32490"/>
    <n v="5"/>
    <n v="3914"/>
    <n v="0.1"/>
    <n v="1"/>
    <n v="1957"/>
    <n v="17613"/>
    <n v="15092.232654455889"/>
    <n v="2520.7673455441068"/>
  </r>
  <r>
    <x v="477"/>
    <x v="1"/>
    <x v="1"/>
    <x v="3"/>
    <n v="55875"/>
    <n v="35"/>
    <n v="20010"/>
    <n v="0"/>
    <n v="3"/>
    <n v="0"/>
    <n v="700350"/>
    <n v="444889.36880488432"/>
    <n v="255460.63119511571"/>
  </r>
  <r>
    <x v="478"/>
    <x v="2"/>
    <x v="3"/>
    <x v="2"/>
    <n v="15867"/>
    <n v="13"/>
    <n v="12620"/>
    <n v="0.2"/>
    <n v="3"/>
    <n v="32812"/>
    <n v="131248"/>
    <n v="105899.98494652451"/>
    <n v="25348.015053475508"/>
  </r>
  <r>
    <x v="479"/>
    <x v="1"/>
    <x v="3"/>
    <x v="0"/>
    <n v="90820"/>
    <n v="10"/>
    <n v="34811"/>
    <n v="0.15"/>
    <n v="1"/>
    <n v="52216.5"/>
    <n v="295893.5"/>
    <n v="213828.35460619401"/>
    <n v="82065.145393806044"/>
  </r>
  <r>
    <x v="480"/>
    <x v="1"/>
    <x v="0"/>
    <x v="4"/>
    <n v="19121"/>
    <n v="11"/>
    <n v="33539"/>
    <n v="0"/>
    <n v="3"/>
    <n v="0"/>
    <n v="368929"/>
    <n v="244173.38902980019"/>
    <n v="124755.61097019981"/>
  </r>
  <r>
    <x v="481"/>
    <x v="3"/>
    <x v="4"/>
    <x v="2"/>
    <n v="11539"/>
    <n v="18"/>
    <n v="5795"/>
    <n v="0.05"/>
    <n v="1"/>
    <n v="5215.5"/>
    <n v="99094.5"/>
    <n v="71429.900541890514"/>
    <n v="27664.599458109489"/>
  </r>
  <r>
    <x v="482"/>
    <x v="2"/>
    <x v="1"/>
    <x v="5"/>
    <n v="27027"/>
    <n v="34"/>
    <n v="20960"/>
    <n v="0.1"/>
    <n v="2"/>
    <n v="71264"/>
    <n v="641376"/>
    <n v="399441.33150372311"/>
    <n v="241934.66849627689"/>
  </r>
  <r>
    <x v="483"/>
    <x v="3"/>
    <x v="2"/>
    <x v="5"/>
    <n v="84229"/>
    <n v="39"/>
    <n v="15463"/>
    <n v="0.05"/>
    <n v="5"/>
    <n v="30152.85"/>
    <n v="572904.15"/>
    <n v="463262.982409944"/>
    <n v="109641.16759005599"/>
  </r>
  <r>
    <x v="484"/>
    <x v="2"/>
    <x v="2"/>
    <x v="3"/>
    <n v="18921"/>
    <n v="41"/>
    <n v="12080"/>
    <n v="0.05"/>
    <n v="4"/>
    <n v="24764"/>
    <n v="470516"/>
    <n v="317985.44085865421"/>
    <n v="152530.55914134579"/>
  </r>
  <r>
    <x v="485"/>
    <x v="3"/>
    <x v="3"/>
    <x v="0"/>
    <n v="60435"/>
    <n v="42"/>
    <n v="22786"/>
    <n v="0.05"/>
    <n v="1"/>
    <n v="47850.600000000013"/>
    <n v="909161.4"/>
    <n v="630432.23766507127"/>
    <n v="278729.16233492881"/>
  </r>
  <r>
    <x v="486"/>
    <x v="0"/>
    <x v="0"/>
    <x v="3"/>
    <n v="20310"/>
    <n v="23"/>
    <n v="27828"/>
    <n v="0.1"/>
    <n v="1"/>
    <n v="64004.4"/>
    <n v="576039.6"/>
    <n v="366548.04678194789"/>
    <n v="209491.55321805211"/>
  </r>
  <r>
    <x v="487"/>
    <x v="1"/>
    <x v="0"/>
    <x v="3"/>
    <n v="73965"/>
    <n v="7"/>
    <n v="19593"/>
    <n v="0.1"/>
    <n v="1"/>
    <n v="13715.1"/>
    <n v="123435.9"/>
    <n v="106080.5327748604"/>
    <n v="17355.36722513962"/>
  </r>
  <r>
    <x v="488"/>
    <x v="2"/>
    <x v="2"/>
    <x v="1"/>
    <n v="79922"/>
    <n v="39"/>
    <n v="22105"/>
    <n v="0.1"/>
    <n v="2"/>
    <n v="86209.5"/>
    <n v="775885.5"/>
    <n v="580388.17840602819"/>
    <n v="195497.32159397181"/>
  </r>
  <r>
    <x v="489"/>
    <x v="2"/>
    <x v="1"/>
    <x v="3"/>
    <n v="92839"/>
    <n v="3"/>
    <n v="45865"/>
    <n v="0.1"/>
    <n v="1"/>
    <n v="13759.5"/>
    <n v="123835.5"/>
    <n v="95556.928405235332"/>
    <n v="28278.571594764671"/>
  </r>
  <r>
    <x v="490"/>
    <x v="1"/>
    <x v="4"/>
    <x v="1"/>
    <n v="22242"/>
    <n v="12"/>
    <n v="45313"/>
    <n v="0.05"/>
    <n v="5"/>
    <n v="27187.8"/>
    <n v="516568.2"/>
    <n v="398186.16483824392"/>
    <n v="118382.0351617562"/>
  </r>
  <r>
    <x v="491"/>
    <x v="2"/>
    <x v="1"/>
    <x v="5"/>
    <n v="18947"/>
    <n v="7"/>
    <n v="46871"/>
    <n v="0.2"/>
    <n v="5"/>
    <n v="65619.400000000009"/>
    <n v="262477.59999999998"/>
    <n v="189810.1342564009"/>
    <n v="72667.465743599052"/>
  </r>
  <r>
    <x v="492"/>
    <x v="2"/>
    <x v="4"/>
    <x v="5"/>
    <n v="81466"/>
    <n v="49"/>
    <n v="43205"/>
    <n v="0.2"/>
    <n v="4"/>
    <n v="423409"/>
    <n v="1693636"/>
    <n v="1114004.278758897"/>
    <n v="579631.72124110325"/>
  </r>
  <r>
    <x v="493"/>
    <x v="3"/>
    <x v="2"/>
    <x v="3"/>
    <n v="71816"/>
    <n v="26"/>
    <n v="48098"/>
    <n v="0.1"/>
    <n v="2"/>
    <n v="125054.8"/>
    <n v="1125493.2"/>
    <n v="926888.47245967784"/>
    <n v="198604.72754032211"/>
  </r>
  <r>
    <x v="494"/>
    <x v="2"/>
    <x v="4"/>
    <x v="5"/>
    <n v="58785"/>
    <n v="33"/>
    <n v="7222"/>
    <n v="0.15"/>
    <n v="5"/>
    <n v="35748.9"/>
    <n v="202577.1"/>
    <n v="129267.86693189639"/>
    <n v="73309.233068103582"/>
  </r>
  <r>
    <x v="495"/>
    <x v="0"/>
    <x v="0"/>
    <x v="0"/>
    <n v="10507"/>
    <n v="37"/>
    <n v="41469"/>
    <n v="0"/>
    <n v="3"/>
    <n v="0"/>
    <n v="1534353"/>
    <n v="968425.518520699"/>
    <n v="565927.481479301"/>
  </r>
  <r>
    <x v="496"/>
    <x v="0"/>
    <x v="3"/>
    <x v="1"/>
    <n v="76972"/>
    <n v="48"/>
    <n v="37412"/>
    <n v="0.15"/>
    <n v="3"/>
    <n v="269366.40000000002"/>
    <n v="1526409.6"/>
    <n v="1241037.4208338989"/>
    <n v="285372.17916610092"/>
  </r>
  <r>
    <x v="497"/>
    <x v="1"/>
    <x v="3"/>
    <x v="1"/>
    <n v="37151"/>
    <n v="15"/>
    <n v="38874"/>
    <n v="0.15"/>
    <n v="3"/>
    <n v="87466.5"/>
    <n v="495643.5"/>
    <n v="328438.71352391777"/>
    <n v="167204.7864760822"/>
  </r>
  <r>
    <x v="498"/>
    <x v="2"/>
    <x v="2"/>
    <x v="3"/>
    <n v="21618"/>
    <n v="2"/>
    <n v="7266"/>
    <n v="0.15"/>
    <n v="1"/>
    <n v="2179.8000000000002"/>
    <n v="12352.2"/>
    <n v="8548.115513778137"/>
    <n v="3804.0844862218642"/>
  </r>
  <r>
    <x v="499"/>
    <x v="1"/>
    <x v="0"/>
    <x v="5"/>
    <n v="84286"/>
    <n v="41"/>
    <n v="16428"/>
    <n v="0.2"/>
    <n v="1"/>
    <n v="134709.6"/>
    <n v="538838.4"/>
    <n v="400124.28238658112"/>
    <n v="138714.1176134189"/>
  </r>
  <r>
    <x v="500"/>
    <x v="0"/>
    <x v="1"/>
    <x v="2"/>
    <n v="26122"/>
    <n v="7"/>
    <n v="21774"/>
    <n v="0"/>
    <n v="3"/>
    <n v="0"/>
    <n v="152418"/>
    <n v="111997.5686979852"/>
    <n v="40420.431302014811"/>
  </r>
  <r>
    <x v="501"/>
    <x v="2"/>
    <x v="0"/>
    <x v="1"/>
    <n v="17354"/>
    <n v="32"/>
    <n v="34916"/>
    <n v="0.15"/>
    <n v="4"/>
    <n v="167596.79999999999"/>
    <n v="949715.2"/>
    <n v="771713.62964307924"/>
    <n v="178001.57035692071"/>
  </r>
  <r>
    <x v="502"/>
    <x v="2"/>
    <x v="3"/>
    <x v="3"/>
    <n v="40979"/>
    <n v="4"/>
    <n v="21112"/>
    <n v="0.1"/>
    <n v="4"/>
    <n v="8444.8000000000011"/>
    <n v="76003.199999999997"/>
    <n v="59816.763385030339"/>
    <n v="16186.43661496966"/>
  </r>
  <r>
    <x v="503"/>
    <x v="1"/>
    <x v="3"/>
    <x v="3"/>
    <n v="96436"/>
    <n v="20"/>
    <n v="35398"/>
    <n v="0.2"/>
    <n v="1"/>
    <n v="141592"/>
    <n v="566368"/>
    <n v="449310.40969177667"/>
    <n v="117057.5903082233"/>
  </r>
  <r>
    <x v="504"/>
    <x v="0"/>
    <x v="0"/>
    <x v="0"/>
    <n v="89376"/>
    <n v="36"/>
    <n v="47660"/>
    <n v="0.1"/>
    <n v="3"/>
    <n v="171576"/>
    <n v="1544184"/>
    <n v="1257299.78175866"/>
    <n v="286884.21824134002"/>
  </r>
  <r>
    <x v="505"/>
    <x v="2"/>
    <x v="0"/>
    <x v="4"/>
    <n v="62774"/>
    <n v="32"/>
    <n v="29547"/>
    <n v="0.1"/>
    <n v="4"/>
    <n v="94550.400000000009"/>
    <n v="850953.6"/>
    <n v="585272.11614204489"/>
    <n v="265681.48385795509"/>
  </r>
  <r>
    <x v="506"/>
    <x v="1"/>
    <x v="3"/>
    <x v="4"/>
    <n v="15037"/>
    <n v="28"/>
    <n v="43856"/>
    <n v="0.15"/>
    <n v="1"/>
    <n v="184195.20000000001"/>
    <n v="1043772.8"/>
    <n v="727196.50301737606"/>
    <n v="316576.29698262399"/>
  </r>
  <r>
    <x v="507"/>
    <x v="0"/>
    <x v="1"/>
    <x v="1"/>
    <n v="38633"/>
    <n v="13"/>
    <n v="37634"/>
    <n v="0.1"/>
    <n v="3"/>
    <n v="48924.2"/>
    <n v="440317.8"/>
    <n v="322048.1414274975"/>
    <n v="118269.65857250251"/>
  </r>
  <r>
    <x v="508"/>
    <x v="1"/>
    <x v="2"/>
    <x v="0"/>
    <n v="34495"/>
    <n v="1"/>
    <n v="2006"/>
    <n v="0"/>
    <n v="2"/>
    <n v="0"/>
    <n v="2006"/>
    <n v="1388.6307357315759"/>
    <n v="617.36926426842388"/>
  </r>
  <r>
    <x v="509"/>
    <x v="3"/>
    <x v="2"/>
    <x v="0"/>
    <n v="74550"/>
    <n v="35"/>
    <n v="15722"/>
    <n v="0.1"/>
    <n v="3"/>
    <n v="55027"/>
    <n v="495243"/>
    <n v="443480.87551282119"/>
    <n v="51762.124487178808"/>
  </r>
  <r>
    <x v="510"/>
    <x v="2"/>
    <x v="0"/>
    <x v="0"/>
    <n v="91384"/>
    <n v="48"/>
    <n v="12863"/>
    <n v="0.15"/>
    <n v="3"/>
    <n v="92613.599999999991"/>
    <n v="524810.4"/>
    <n v="443053.11513780028"/>
    <n v="81757.284862199682"/>
  </r>
  <r>
    <x v="511"/>
    <x v="3"/>
    <x v="2"/>
    <x v="1"/>
    <n v="46483"/>
    <n v="30"/>
    <n v="20113"/>
    <n v="0.1"/>
    <n v="5"/>
    <n v="60339"/>
    <n v="543051"/>
    <n v="352655.36793363752"/>
    <n v="190395.63206636251"/>
  </r>
  <r>
    <x v="512"/>
    <x v="0"/>
    <x v="3"/>
    <x v="4"/>
    <n v="83373"/>
    <n v="36"/>
    <n v="45063"/>
    <n v="0.2"/>
    <n v="5"/>
    <n v="324453.59999999998"/>
    <n v="1297814.3999999999"/>
    <n v="780866.69281780045"/>
    <n v="516947.70718219952"/>
  </r>
  <r>
    <x v="513"/>
    <x v="3"/>
    <x v="3"/>
    <x v="0"/>
    <n v="44069"/>
    <n v="25"/>
    <n v="31128"/>
    <n v="0.2"/>
    <n v="2"/>
    <n v="155640"/>
    <n v="622560"/>
    <n v="381526.54544400581"/>
    <n v="241033.45455599419"/>
  </r>
  <r>
    <x v="514"/>
    <x v="3"/>
    <x v="0"/>
    <x v="5"/>
    <n v="17370"/>
    <n v="16"/>
    <n v="43126"/>
    <n v="0.2"/>
    <n v="2"/>
    <n v="138003.20000000001"/>
    <n v="552012.80000000005"/>
    <n v="371625.5246963604"/>
    <n v="180387.27530363959"/>
  </r>
  <r>
    <x v="515"/>
    <x v="0"/>
    <x v="0"/>
    <x v="3"/>
    <n v="81947"/>
    <n v="19"/>
    <n v="45884"/>
    <n v="0.05"/>
    <n v="3"/>
    <n v="43589.8"/>
    <n v="828206.2"/>
    <n v="525320.74546081701"/>
    <n v="302885.45453918289"/>
  </r>
  <r>
    <x v="516"/>
    <x v="1"/>
    <x v="0"/>
    <x v="3"/>
    <n v="49133"/>
    <n v="1"/>
    <n v="4636"/>
    <n v="0.2"/>
    <n v="4"/>
    <n v="927.2"/>
    <n v="3708.8"/>
    <n v="2818.6933201540719"/>
    <n v="890.10667984592828"/>
  </r>
  <r>
    <x v="517"/>
    <x v="3"/>
    <x v="1"/>
    <x v="2"/>
    <n v="10692"/>
    <n v="5"/>
    <n v="46746"/>
    <n v="0.2"/>
    <n v="2"/>
    <n v="46746"/>
    <n v="186984"/>
    <n v="160319.8136179357"/>
    <n v="26664.186382064279"/>
  </r>
  <r>
    <x v="518"/>
    <x v="1"/>
    <x v="2"/>
    <x v="2"/>
    <n v="38926"/>
    <n v="22"/>
    <n v="11661"/>
    <n v="0.05"/>
    <n v="3"/>
    <n v="12827.1"/>
    <n v="243714.9"/>
    <n v="200096.04192445349"/>
    <n v="43618.858075546479"/>
  </r>
  <r>
    <x v="519"/>
    <x v="3"/>
    <x v="0"/>
    <x v="1"/>
    <n v="83984"/>
    <n v="24"/>
    <n v="35957"/>
    <n v="0.2"/>
    <n v="1"/>
    <n v="172593.6"/>
    <n v="690374.4"/>
    <n v="458879.93326797878"/>
    <n v="231494.46673202119"/>
  </r>
  <r>
    <x v="520"/>
    <x v="1"/>
    <x v="4"/>
    <x v="1"/>
    <n v="53390"/>
    <n v="43"/>
    <n v="24074"/>
    <n v="0.15"/>
    <n v="5"/>
    <n v="155277.29999999999"/>
    <n v="879904.7"/>
    <n v="633346.40762507764"/>
    <n v="246558.29237492231"/>
  </r>
  <r>
    <x v="521"/>
    <x v="0"/>
    <x v="4"/>
    <x v="3"/>
    <n v="59593"/>
    <n v="45"/>
    <n v="27402"/>
    <n v="0.2"/>
    <n v="4"/>
    <n v="246618"/>
    <n v="986472"/>
    <n v="742190.22499942151"/>
    <n v="244281.77500057849"/>
  </r>
  <r>
    <x v="522"/>
    <x v="3"/>
    <x v="3"/>
    <x v="5"/>
    <n v="85609"/>
    <n v="37"/>
    <n v="3310"/>
    <n v="0.2"/>
    <n v="3"/>
    <n v="24494"/>
    <n v="97976"/>
    <n v="82599.818493281637"/>
    <n v="15376.18150671836"/>
  </r>
  <r>
    <x v="523"/>
    <x v="0"/>
    <x v="2"/>
    <x v="4"/>
    <n v="15209"/>
    <n v="36"/>
    <n v="12163"/>
    <n v="0.05"/>
    <n v="1"/>
    <n v="21893.4"/>
    <n v="415974.6"/>
    <n v="354300.74196103372"/>
    <n v="61673.858038966253"/>
  </r>
  <r>
    <x v="524"/>
    <x v="3"/>
    <x v="0"/>
    <x v="4"/>
    <n v="16533"/>
    <n v="36"/>
    <n v="6652"/>
    <n v="0.15"/>
    <n v="5"/>
    <n v="35920.800000000003"/>
    <n v="203551.2"/>
    <n v="177682.99621524071"/>
    <n v="25868.20378475936"/>
  </r>
  <r>
    <x v="525"/>
    <x v="0"/>
    <x v="4"/>
    <x v="1"/>
    <n v="96597"/>
    <n v="4"/>
    <n v="512"/>
    <n v="0.1"/>
    <n v="1"/>
    <n v="204.8"/>
    <n v="1843.2"/>
    <n v="1387.51225371807"/>
    <n v="455.68774628193017"/>
  </r>
  <r>
    <x v="526"/>
    <x v="0"/>
    <x v="2"/>
    <x v="5"/>
    <n v="17211"/>
    <n v="36"/>
    <n v="11662"/>
    <n v="0"/>
    <n v="3"/>
    <n v="0"/>
    <n v="419832"/>
    <n v="339342.82660369843"/>
    <n v="80489.17339630163"/>
  </r>
  <r>
    <x v="527"/>
    <x v="3"/>
    <x v="3"/>
    <x v="1"/>
    <n v="19927"/>
    <n v="18"/>
    <n v="22822"/>
    <n v="0.15"/>
    <n v="2"/>
    <n v="61619.399999999987"/>
    <n v="349176.6"/>
    <n v="221217.3820518612"/>
    <n v="127959.2179481388"/>
  </r>
  <r>
    <x v="528"/>
    <x v="3"/>
    <x v="1"/>
    <x v="4"/>
    <n v="87463"/>
    <n v="16"/>
    <n v="8499"/>
    <n v="0.1"/>
    <n v="5"/>
    <n v="13598.4"/>
    <n v="122385.60000000001"/>
    <n v="94186.328561203234"/>
    <n v="28199.271438796772"/>
  </r>
  <r>
    <x v="529"/>
    <x v="3"/>
    <x v="2"/>
    <x v="1"/>
    <n v="34594"/>
    <n v="41"/>
    <n v="7719"/>
    <n v="0.15"/>
    <n v="1"/>
    <n v="47471.85"/>
    <n v="269007.15000000002"/>
    <n v="181474.25246825191"/>
    <n v="87532.897531748109"/>
  </r>
  <r>
    <x v="530"/>
    <x v="2"/>
    <x v="2"/>
    <x v="0"/>
    <n v="84852"/>
    <n v="18"/>
    <n v="5828"/>
    <n v="0.1"/>
    <n v="2"/>
    <n v="10490.4"/>
    <n v="94413.6"/>
    <n v="68876.143588844541"/>
    <n v="25537.456411155461"/>
  </r>
  <r>
    <x v="531"/>
    <x v="1"/>
    <x v="1"/>
    <x v="1"/>
    <n v="87713"/>
    <n v="22"/>
    <n v="4121"/>
    <n v="0.1"/>
    <n v="4"/>
    <n v="9066.2000000000007"/>
    <n v="81595.8"/>
    <n v="64478.237539708018"/>
    <n v="17117.562460291982"/>
  </r>
  <r>
    <x v="532"/>
    <x v="2"/>
    <x v="2"/>
    <x v="3"/>
    <n v="86382"/>
    <n v="2"/>
    <n v="24756"/>
    <n v="0.15"/>
    <n v="3"/>
    <n v="7426.7999999999993"/>
    <n v="42085.2"/>
    <n v="28495.71137752918"/>
    <n v="13589.48862247081"/>
  </r>
  <r>
    <x v="533"/>
    <x v="2"/>
    <x v="3"/>
    <x v="1"/>
    <n v="17933"/>
    <n v="21"/>
    <n v="44933"/>
    <n v="0.05"/>
    <n v="3"/>
    <n v="47179.65"/>
    <n v="896413.35"/>
    <n v="551881.82474386145"/>
    <n v="344531.52525613853"/>
  </r>
  <r>
    <x v="534"/>
    <x v="0"/>
    <x v="3"/>
    <x v="3"/>
    <n v="50696"/>
    <n v="36"/>
    <n v="11814"/>
    <n v="0.15"/>
    <n v="5"/>
    <n v="63795.6"/>
    <n v="361508.4"/>
    <n v="218014.92751684791"/>
    <n v="143493.47248315209"/>
  </r>
  <r>
    <x v="535"/>
    <x v="3"/>
    <x v="1"/>
    <x v="5"/>
    <n v="75449"/>
    <n v="44"/>
    <n v="1152"/>
    <n v="0.15"/>
    <n v="1"/>
    <n v="7603.2"/>
    <n v="43084.800000000003"/>
    <n v="26137.30174710858"/>
    <n v="16947.498252891419"/>
  </r>
  <r>
    <x v="536"/>
    <x v="1"/>
    <x v="0"/>
    <x v="4"/>
    <n v="77616"/>
    <n v="39"/>
    <n v="16682"/>
    <n v="0.1"/>
    <n v="4"/>
    <n v="65059.8"/>
    <n v="585538.19999999995"/>
    <n v="352789.64708228549"/>
    <n v="232748.55291771441"/>
  </r>
  <r>
    <x v="537"/>
    <x v="0"/>
    <x v="4"/>
    <x v="2"/>
    <n v="16089"/>
    <n v="47"/>
    <n v="42080"/>
    <n v="0"/>
    <n v="5"/>
    <n v="0"/>
    <n v="1977760"/>
    <n v="1252132.744997371"/>
    <n v="725627.25500262878"/>
  </r>
  <r>
    <x v="538"/>
    <x v="2"/>
    <x v="0"/>
    <x v="2"/>
    <n v="66548"/>
    <n v="39"/>
    <n v="37058"/>
    <n v="0.1"/>
    <n v="5"/>
    <n v="144526.20000000001"/>
    <n v="1300735.8"/>
    <n v="873894.94342120492"/>
    <n v="426840.85657879512"/>
  </r>
  <r>
    <x v="539"/>
    <x v="3"/>
    <x v="2"/>
    <x v="4"/>
    <n v="36123"/>
    <n v="29"/>
    <n v="16159"/>
    <n v="0.2"/>
    <n v="1"/>
    <n v="93722.200000000012"/>
    <n v="374888.8"/>
    <n v="249813.32039579551"/>
    <n v="125075.4796042044"/>
  </r>
  <r>
    <x v="540"/>
    <x v="0"/>
    <x v="4"/>
    <x v="2"/>
    <n v="17797"/>
    <n v="26"/>
    <n v="34913"/>
    <n v="0.15"/>
    <n v="4"/>
    <n v="136160.70000000001"/>
    <n v="771577.3"/>
    <n v="691363.3355359562"/>
    <n v="80213.964464043849"/>
  </r>
  <r>
    <x v="541"/>
    <x v="3"/>
    <x v="1"/>
    <x v="1"/>
    <n v="60013"/>
    <n v="21"/>
    <n v="10935"/>
    <n v="0.15"/>
    <n v="1"/>
    <n v="34445.25"/>
    <n v="195189.75"/>
    <n v="135032.6265522622"/>
    <n v="60157.123447737802"/>
  </r>
  <r>
    <x v="542"/>
    <x v="0"/>
    <x v="1"/>
    <x v="5"/>
    <n v="18346"/>
    <n v="17"/>
    <n v="28567"/>
    <n v="0.05"/>
    <n v="3"/>
    <n v="24281.95"/>
    <n v="461357.05"/>
    <n v="294450.17301581439"/>
    <n v="166906.87698418551"/>
  </r>
  <r>
    <x v="543"/>
    <x v="3"/>
    <x v="4"/>
    <x v="5"/>
    <n v="95414"/>
    <n v="16"/>
    <n v="22758"/>
    <n v="0.1"/>
    <n v="2"/>
    <n v="36412.800000000003"/>
    <n v="327715.20000000001"/>
    <n v="250265.86148233371"/>
    <n v="77449.3385176663"/>
  </r>
  <r>
    <x v="544"/>
    <x v="2"/>
    <x v="3"/>
    <x v="4"/>
    <n v="43672"/>
    <n v="31"/>
    <n v="28787"/>
    <n v="0.05"/>
    <n v="3"/>
    <n v="44619.850000000013"/>
    <n v="847777.15"/>
    <n v="726873.30790744559"/>
    <n v="120903.84209255441"/>
  </r>
  <r>
    <x v="545"/>
    <x v="1"/>
    <x v="4"/>
    <x v="2"/>
    <n v="27653"/>
    <n v="9"/>
    <n v="4188"/>
    <n v="0.15"/>
    <n v="3"/>
    <n v="5653.8"/>
    <n v="32038.2"/>
    <n v="25740.07018907967"/>
    <n v="6298.1298109203344"/>
  </r>
  <r>
    <x v="546"/>
    <x v="2"/>
    <x v="2"/>
    <x v="1"/>
    <n v="59556"/>
    <n v="31"/>
    <n v="8189"/>
    <n v="0.1"/>
    <n v="5"/>
    <n v="25385.9"/>
    <n v="228473.1"/>
    <n v="157377.8978277758"/>
    <n v="71095.202172224206"/>
  </r>
  <r>
    <x v="547"/>
    <x v="1"/>
    <x v="3"/>
    <x v="5"/>
    <n v="36140"/>
    <n v="14"/>
    <n v="1879"/>
    <n v="0.1"/>
    <n v="3"/>
    <n v="2630.6"/>
    <n v="23675.4"/>
    <n v="18194.186168857981"/>
    <n v="5481.2138311420167"/>
  </r>
  <r>
    <x v="548"/>
    <x v="3"/>
    <x v="1"/>
    <x v="5"/>
    <n v="11184"/>
    <n v="49"/>
    <n v="37511"/>
    <n v="0.2"/>
    <n v="4"/>
    <n v="367607.8"/>
    <n v="1470431.2"/>
    <n v="1197602.6783912031"/>
    <n v="272828.52160879708"/>
  </r>
  <r>
    <x v="549"/>
    <x v="0"/>
    <x v="4"/>
    <x v="0"/>
    <n v="44493"/>
    <n v="37"/>
    <n v="43505"/>
    <n v="0.2"/>
    <n v="3"/>
    <n v="321937"/>
    <n v="1287748"/>
    <n v="1053933.3311512731"/>
    <n v="233814.66884872739"/>
  </r>
  <r>
    <x v="550"/>
    <x v="2"/>
    <x v="0"/>
    <x v="0"/>
    <n v="54148"/>
    <n v="2"/>
    <n v="28124"/>
    <n v="0"/>
    <n v="4"/>
    <n v="0"/>
    <n v="56248"/>
    <n v="44996.236510075323"/>
    <n v="11251.76348992468"/>
  </r>
  <r>
    <x v="551"/>
    <x v="1"/>
    <x v="0"/>
    <x v="5"/>
    <n v="34846"/>
    <n v="48"/>
    <n v="26464"/>
    <n v="0.2"/>
    <n v="1"/>
    <n v="254054.39999999999"/>
    <n v="1016217.6"/>
    <n v="875210.42397613765"/>
    <n v="141007.1760238623"/>
  </r>
  <r>
    <x v="552"/>
    <x v="2"/>
    <x v="2"/>
    <x v="4"/>
    <n v="32195"/>
    <n v="46"/>
    <n v="23391"/>
    <n v="0.1"/>
    <n v="5"/>
    <n v="107598.6"/>
    <n v="968387.4"/>
    <n v="833812.18875949667"/>
    <n v="134575.21124050341"/>
  </r>
  <r>
    <x v="553"/>
    <x v="1"/>
    <x v="0"/>
    <x v="3"/>
    <n v="15606"/>
    <n v="14"/>
    <n v="49598"/>
    <n v="0.2"/>
    <n v="4"/>
    <n v="138874.4"/>
    <n v="555497.6"/>
    <n v="429777.92079085432"/>
    <n v="125719.6792091457"/>
  </r>
  <r>
    <x v="554"/>
    <x v="2"/>
    <x v="4"/>
    <x v="3"/>
    <n v="13956"/>
    <n v="33"/>
    <n v="38879"/>
    <n v="0"/>
    <n v="3"/>
    <n v="0"/>
    <n v="1283007"/>
    <n v="935256.8191692807"/>
    <n v="347750.1808307193"/>
  </r>
  <r>
    <x v="555"/>
    <x v="1"/>
    <x v="4"/>
    <x v="1"/>
    <n v="26555"/>
    <n v="35"/>
    <n v="13016"/>
    <n v="0.15"/>
    <n v="5"/>
    <n v="68334"/>
    <n v="387226"/>
    <n v="306865.40978114738"/>
    <n v="80360.590218852565"/>
  </r>
  <r>
    <x v="556"/>
    <x v="1"/>
    <x v="0"/>
    <x v="5"/>
    <n v="28690"/>
    <n v="39"/>
    <n v="14386"/>
    <n v="0.2"/>
    <n v="5"/>
    <n v="112210.8"/>
    <n v="448843.2"/>
    <n v="379480.58789205702"/>
    <n v="69362.612107943045"/>
  </r>
  <r>
    <x v="557"/>
    <x v="3"/>
    <x v="4"/>
    <x v="5"/>
    <n v="68502"/>
    <n v="47"/>
    <n v="20807"/>
    <n v="0.1"/>
    <n v="4"/>
    <n v="97792.900000000009"/>
    <n v="880136.1"/>
    <n v="529574.04645351344"/>
    <n v="350562.05354648648"/>
  </r>
  <r>
    <x v="558"/>
    <x v="1"/>
    <x v="2"/>
    <x v="5"/>
    <n v="58849"/>
    <n v="20"/>
    <n v="25343"/>
    <n v="0.15"/>
    <n v="4"/>
    <n v="76029"/>
    <n v="430831"/>
    <n v="386713.51901726332"/>
    <n v="44117.480982736743"/>
  </r>
  <r>
    <x v="559"/>
    <x v="3"/>
    <x v="3"/>
    <x v="4"/>
    <n v="36347"/>
    <n v="2"/>
    <n v="46984"/>
    <n v="0.1"/>
    <n v="2"/>
    <n v="9396.8000000000011"/>
    <n v="84571.199999999997"/>
    <n v="55382.983739522148"/>
    <n v="29188.216260477839"/>
  </r>
  <r>
    <x v="560"/>
    <x v="1"/>
    <x v="2"/>
    <x v="0"/>
    <n v="59056"/>
    <n v="41"/>
    <n v="6412"/>
    <n v="0.15"/>
    <n v="2"/>
    <n v="39433.800000000003"/>
    <n v="223458.2"/>
    <n v="165599.21756622131"/>
    <n v="57858.982433778758"/>
  </r>
  <r>
    <x v="561"/>
    <x v="0"/>
    <x v="2"/>
    <x v="5"/>
    <n v="73851"/>
    <n v="19"/>
    <n v="22014"/>
    <n v="0.1"/>
    <n v="5"/>
    <n v="41826.600000000013"/>
    <n v="376439.4"/>
    <n v="324343.54504992242"/>
    <n v="52095.854950077599"/>
  </r>
  <r>
    <x v="562"/>
    <x v="0"/>
    <x v="4"/>
    <x v="5"/>
    <n v="91502"/>
    <n v="37"/>
    <n v="22323"/>
    <n v="0.2"/>
    <n v="2"/>
    <n v="165190.20000000001"/>
    <n v="660760.80000000005"/>
    <n v="441065.84223142941"/>
    <n v="219694.95776857069"/>
  </r>
  <r>
    <x v="563"/>
    <x v="0"/>
    <x v="3"/>
    <x v="2"/>
    <n v="91418"/>
    <n v="18"/>
    <n v="29297"/>
    <n v="0.2"/>
    <n v="3"/>
    <n v="105469.2"/>
    <n v="421876.8"/>
    <n v="313470.73299431312"/>
    <n v="108406.0670056869"/>
  </r>
  <r>
    <x v="564"/>
    <x v="1"/>
    <x v="4"/>
    <x v="4"/>
    <n v="80211"/>
    <n v="16"/>
    <n v="6949"/>
    <n v="0"/>
    <n v="1"/>
    <n v="0"/>
    <n v="111184"/>
    <n v="71132.705136379271"/>
    <n v="40051.294863620729"/>
  </r>
  <r>
    <x v="565"/>
    <x v="3"/>
    <x v="1"/>
    <x v="1"/>
    <n v="51850"/>
    <n v="4"/>
    <n v="2225"/>
    <n v="0.15"/>
    <n v="5"/>
    <n v="1335"/>
    <n v="7565"/>
    <n v="5435.6257204685025"/>
    <n v="2129.374279531497"/>
  </r>
  <r>
    <x v="566"/>
    <x v="3"/>
    <x v="4"/>
    <x v="5"/>
    <n v="88545"/>
    <n v="12"/>
    <n v="16370"/>
    <n v="0"/>
    <n v="1"/>
    <n v="0"/>
    <n v="196440"/>
    <n v="128302.94662186121"/>
    <n v="68137.053378138778"/>
  </r>
  <r>
    <x v="567"/>
    <x v="1"/>
    <x v="4"/>
    <x v="2"/>
    <n v="37843"/>
    <n v="29"/>
    <n v="9804"/>
    <n v="0.05"/>
    <n v="2"/>
    <n v="14215.8"/>
    <n v="270100.2"/>
    <n v="191524.8983005918"/>
    <n v="78575.301699408243"/>
  </r>
  <r>
    <x v="568"/>
    <x v="0"/>
    <x v="4"/>
    <x v="3"/>
    <n v="72320"/>
    <n v="7"/>
    <n v="8022"/>
    <n v="0.2"/>
    <n v="4"/>
    <n v="11230.8"/>
    <n v="44923.199999999997"/>
    <n v="31987.082311146842"/>
    <n v="12936.117688853161"/>
  </r>
  <r>
    <x v="569"/>
    <x v="0"/>
    <x v="3"/>
    <x v="1"/>
    <n v="39793"/>
    <n v="14"/>
    <n v="14163"/>
    <n v="0.15"/>
    <n v="5"/>
    <n v="29742.3"/>
    <n v="168539.7"/>
    <n v="151340.43207829981"/>
    <n v="17199.267921700171"/>
  </r>
  <r>
    <x v="570"/>
    <x v="3"/>
    <x v="4"/>
    <x v="5"/>
    <n v="49516"/>
    <n v="12"/>
    <n v="5284"/>
    <n v="0"/>
    <n v="2"/>
    <n v="0"/>
    <n v="63408"/>
    <n v="56968.531368628079"/>
    <n v="6439.4686313719212"/>
  </r>
  <r>
    <x v="571"/>
    <x v="0"/>
    <x v="3"/>
    <x v="5"/>
    <n v="27857"/>
    <n v="35"/>
    <n v="9972"/>
    <n v="0"/>
    <n v="3"/>
    <n v="0"/>
    <n v="349020"/>
    <n v="221430.81209343809"/>
    <n v="127589.1879065619"/>
  </r>
  <r>
    <x v="572"/>
    <x v="2"/>
    <x v="0"/>
    <x v="2"/>
    <n v="29627"/>
    <n v="5"/>
    <n v="29452"/>
    <n v="0.05"/>
    <n v="5"/>
    <n v="7363"/>
    <n v="139897"/>
    <n v="114406.45629650931"/>
    <n v="25490.543703490661"/>
  </r>
  <r>
    <x v="573"/>
    <x v="3"/>
    <x v="1"/>
    <x v="4"/>
    <n v="71822"/>
    <n v="17"/>
    <n v="10555"/>
    <n v="0"/>
    <n v="5"/>
    <n v="0"/>
    <n v="179435"/>
    <n v="110446.4850433275"/>
    <n v="68988.514956672458"/>
  </r>
  <r>
    <x v="574"/>
    <x v="0"/>
    <x v="3"/>
    <x v="5"/>
    <n v="94101"/>
    <n v="42"/>
    <n v="30008"/>
    <n v="0.1"/>
    <n v="4"/>
    <n v="126033.60000000001"/>
    <n v="1134302.3999999999"/>
    <n v="690855.5026373429"/>
    <n v="443446.89736265701"/>
  </r>
  <r>
    <x v="575"/>
    <x v="3"/>
    <x v="0"/>
    <x v="3"/>
    <n v="62248"/>
    <n v="32"/>
    <n v="13176"/>
    <n v="0.2"/>
    <n v="5"/>
    <n v="84326.400000000009"/>
    <n v="337305.59999999998"/>
    <n v="213042.27371959019"/>
    <n v="124263.3262804097"/>
  </r>
  <r>
    <x v="576"/>
    <x v="2"/>
    <x v="3"/>
    <x v="5"/>
    <n v="65798"/>
    <n v="10"/>
    <n v="25692"/>
    <n v="0"/>
    <n v="4"/>
    <n v="0"/>
    <n v="256920"/>
    <n v="228567.77249954359"/>
    <n v="28352.22750045644"/>
  </r>
  <r>
    <x v="577"/>
    <x v="3"/>
    <x v="3"/>
    <x v="3"/>
    <n v="54116"/>
    <n v="43"/>
    <n v="25222"/>
    <n v="0"/>
    <n v="2"/>
    <n v="0"/>
    <n v="1084546"/>
    <n v="956850.53922450065"/>
    <n v="127695.4607754993"/>
  </r>
  <r>
    <x v="578"/>
    <x v="3"/>
    <x v="1"/>
    <x v="1"/>
    <n v="85318"/>
    <n v="17"/>
    <n v="7946"/>
    <n v="0.05"/>
    <n v="3"/>
    <n v="6754.1"/>
    <n v="128327.9"/>
    <n v="84462.644978459139"/>
    <n v="43865.255021540863"/>
  </r>
  <r>
    <x v="579"/>
    <x v="3"/>
    <x v="2"/>
    <x v="1"/>
    <n v="97902"/>
    <n v="5"/>
    <n v="5225"/>
    <n v="0.1"/>
    <n v="3"/>
    <n v="2612.5"/>
    <n v="23512.5"/>
    <n v="15247.896236911991"/>
    <n v="8264.6037630880073"/>
  </r>
  <r>
    <x v="580"/>
    <x v="3"/>
    <x v="2"/>
    <x v="0"/>
    <n v="38557"/>
    <n v="45"/>
    <n v="20561"/>
    <n v="0"/>
    <n v="5"/>
    <n v="0"/>
    <n v="925245"/>
    <n v="621913.16583703412"/>
    <n v="303331.83416296588"/>
  </r>
  <r>
    <x v="581"/>
    <x v="2"/>
    <x v="3"/>
    <x v="0"/>
    <n v="81334"/>
    <n v="42"/>
    <n v="48037"/>
    <n v="0.2"/>
    <n v="5"/>
    <n v="403510.8"/>
    <n v="1614043.2"/>
    <n v="1218060.4560202269"/>
    <n v="395982.74397977302"/>
  </r>
  <r>
    <x v="582"/>
    <x v="1"/>
    <x v="4"/>
    <x v="3"/>
    <n v="85163"/>
    <n v="9"/>
    <n v="23171"/>
    <n v="0.2"/>
    <n v="2"/>
    <n v="41707.800000000003"/>
    <n v="166831.20000000001"/>
    <n v="128612.07222240781"/>
    <n v="38219.127777592243"/>
  </r>
  <r>
    <x v="583"/>
    <x v="3"/>
    <x v="0"/>
    <x v="4"/>
    <n v="88002"/>
    <n v="49"/>
    <n v="1909"/>
    <n v="0"/>
    <n v="4"/>
    <n v="0"/>
    <n v="93541"/>
    <n v="62343.021323020897"/>
    <n v="31197.978676979099"/>
  </r>
  <r>
    <x v="584"/>
    <x v="3"/>
    <x v="4"/>
    <x v="5"/>
    <n v="52614"/>
    <n v="33"/>
    <n v="8705"/>
    <n v="0.1"/>
    <n v="3"/>
    <n v="28726.5"/>
    <n v="258538.5"/>
    <n v="213807.93620957769"/>
    <n v="44730.563790422311"/>
  </r>
  <r>
    <x v="585"/>
    <x v="0"/>
    <x v="4"/>
    <x v="5"/>
    <n v="22720"/>
    <n v="36"/>
    <n v="16865"/>
    <n v="0.2"/>
    <n v="4"/>
    <n v="121428"/>
    <n v="485712"/>
    <n v="336533.30670507008"/>
    <n v="149178.69329492989"/>
  </r>
  <r>
    <x v="586"/>
    <x v="3"/>
    <x v="3"/>
    <x v="0"/>
    <n v="67608"/>
    <n v="36"/>
    <n v="756"/>
    <n v="0.2"/>
    <n v="2"/>
    <n v="5443.2000000000007"/>
    <n v="21772.799999999999"/>
    <n v="19086.894277346029"/>
    <n v="2685.905722653973"/>
  </r>
  <r>
    <x v="587"/>
    <x v="0"/>
    <x v="3"/>
    <x v="3"/>
    <n v="82095"/>
    <n v="18"/>
    <n v="16204"/>
    <n v="0.1"/>
    <n v="3"/>
    <n v="29167.200000000001"/>
    <n v="262504.8"/>
    <n v="209220.7388141648"/>
    <n v="53284.061185835191"/>
  </r>
  <r>
    <x v="588"/>
    <x v="1"/>
    <x v="3"/>
    <x v="5"/>
    <n v="94694"/>
    <n v="9"/>
    <n v="30402"/>
    <n v="0.1"/>
    <n v="3"/>
    <n v="27361.8"/>
    <n v="246256.2"/>
    <n v="179989.9760924007"/>
    <n v="66266.223907599284"/>
  </r>
  <r>
    <x v="589"/>
    <x v="2"/>
    <x v="3"/>
    <x v="5"/>
    <n v="97593"/>
    <n v="29"/>
    <n v="36258"/>
    <n v="0"/>
    <n v="1"/>
    <n v="0"/>
    <n v="1051482"/>
    <n v="880062.67541235348"/>
    <n v="171419.32458764649"/>
  </r>
  <r>
    <x v="590"/>
    <x v="2"/>
    <x v="2"/>
    <x v="4"/>
    <n v="45892"/>
    <n v="14"/>
    <n v="1695"/>
    <n v="0.15"/>
    <n v="2"/>
    <n v="3559.5"/>
    <n v="20170.5"/>
    <n v="17051.62408940227"/>
    <n v="3118.875910597726"/>
  </r>
  <r>
    <x v="591"/>
    <x v="1"/>
    <x v="3"/>
    <x v="2"/>
    <n v="87242"/>
    <n v="25"/>
    <n v="34512"/>
    <n v="0.05"/>
    <n v="2"/>
    <n v="43140"/>
    <n v="819660"/>
    <n v="563224.84585602803"/>
    <n v="256435.154143972"/>
  </r>
  <r>
    <x v="592"/>
    <x v="2"/>
    <x v="2"/>
    <x v="0"/>
    <n v="87606"/>
    <n v="15"/>
    <n v="11915"/>
    <n v="0.15"/>
    <n v="1"/>
    <n v="26808.75"/>
    <n v="151916.25"/>
    <n v="106632.19787101159"/>
    <n v="45284.052128988427"/>
  </r>
  <r>
    <x v="593"/>
    <x v="1"/>
    <x v="2"/>
    <x v="0"/>
    <n v="10924"/>
    <n v="6"/>
    <n v="40034"/>
    <n v="0.15"/>
    <n v="4"/>
    <n v="36030.6"/>
    <n v="204173.4"/>
    <n v="179833.18379528751"/>
    <n v="24340.216204712491"/>
  </r>
  <r>
    <x v="594"/>
    <x v="1"/>
    <x v="3"/>
    <x v="2"/>
    <n v="61322"/>
    <n v="42"/>
    <n v="22186"/>
    <n v="0.2"/>
    <n v="1"/>
    <n v="186362.4"/>
    <n v="745449.6"/>
    <n v="484111.60234544572"/>
    <n v="261337.99765455429"/>
  </r>
  <r>
    <x v="595"/>
    <x v="1"/>
    <x v="1"/>
    <x v="5"/>
    <n v="36478"/>
    <n v="29"/>
    <n v="12162"/>
    <n v="0.1"/>
    <n v="2"/>
    <n v="35269.800000000003"/>
    <n v="317428.2"/>
    <n v="194470.83929573809"/>
    <n v="122957.3607042619"/>
  </r>
  <r>
    <x v="596"/>
    <x v="2"/>
    <x v="0"/>
    <x v="4"/>
    <n v="81042"/>
    <n v="15"/>
    <n v="49478"/>
    <n v="0.2"/>
    <n v="4"/>
    <n v="148434"/>
    <n v="593736"/>
    <n v="437118.29730747099"/>
    <n v="156617.70269252901"/>
  </r>
  <r>
    <x v="597"/>
    <x v="0"/>
    <x v="4"/>
    <x v="4"/>
    <n v="56418"/>
    <n v="29"/>
    <n v="29243"/>
    <n v="0.05"/>
    <n v="3"/>
    <n v="42402.350000000013"/>
    <n v="805644.65"/>
    <n v="677033.93089749408"/>
    <n v="128610.7191025059"/>
  </r>
  <r>
    <x v="598"/>
    <x v="1"/>
    <x v="2"/>
    <x v="0"/>
    <n v="72217"/>
    <n v="4"/>
    <n v="32661"/>
    <n v="0"/>
    <n v="1"/>
    <n v="0"/>
    <n v="130644"/>
    <n v="108630.5424242583"/>
    <n v="22013.457575741679"/>
  </r>
  <r>
    <x v="599"/>
    <x v="3"/>
    <x v="0"/>
    <x v="4"/>
    <n v="90846"/>
    <n v="18"/>
    <n v="43581"/>
    <n v="0.05"/>
    <n v="4"/>
    <n v="39222.9"/>
    <n v="745235.1"/>
    <n v="652721.0100572753"/>
    <n v="92514.089942724677"/>
  </r>
  <r>
    <x v="600"/>
    <x v="2"/>
    <x v="1"/>
    <x v="1"/>
    <n v="83762"/>
    <n v="49"/>
    <n v="2902"/>
    <n v="0.2"/>
    <n v="4"/>
    <n v="28439.599999999999"/>
    <n v="113758.39999999999"/>
    <n v="86451.856337267716"/>
    <n v="27306.543662732282"/>
  </r>
  <r>
    <x v="601"/>
    <x v="1"/>
    <x v="4"/>
    <x v="2"/>
    <n v="21781"/>
    <n v="44"/>
    <n v="13775"/>
    <n v="0.2"/>
    <n v="4"/>
    <n v="121220"/>
    <n v="484880"/>
    <n v="305483.80738475418"/>
    <n v="179396.19261524579"/>
  </r>
  <r>
    <x v="602"/>
    <x v="1"/>
    <x v="4"/>
    <x v="5"/>
    <n v="15515"/>
    <n v="39"/>
    <n v="28682"/>
    <n v="0.2"/>
    <n v="1"/>
    <n v="223719.6"/>
    <n v="894878.4"/>
    <n v="694968.5542354366"/>
    <n v="199909.84576456339"/>
  </r>
  <r>
    <x v="603"/>
    <x v="3"/>
    <x v="2"/>
    <x v="1"/>
    <n v="46133"/>
    <n v="16"/>
    <n v="15415"/>
    <n v="0.2"/>
    <n v="3"/>
    <n v="49328"/>
    <n v="197312"/>
    <n v="164463.2386377783"/>
    <n v="32848.761362221732"/>
  </r>
  <r>
    <x v="604"/>
    <x v="0"/>
    <x v="3"/>
    <x v="2"/>
    <n v="92508"/>
    <n v="11"/>
    <n v="1409"/>
    <n v="0.15"/>
    <n v="4"/>
    <n v="2324.85"/>
    <n v="13174.15"/>
    <n v="8273.345596695819"/>
    <n v="4900.8044033041806"/>
  </r>
  <r>
    <x v="605"/>
    <x v="0"/>
    <x v="1"/>
    <x v="3"/>
    <n v="86946"/>
    <n v="14"/>
    <n v="49074"/>
    <n v="0"/>
    <n v="1"/>
    <n v="0"/>
    <n v="687036"/>
    <n v="447808.15506614512"/>
    <n v="239227.84493385491"/>
  </r>
  <r>
    <x v="606"/>
    <x v="0"/>
    <x v="2"/>
    <x v="0"/>
    <n v="95058"/>
    <n v="3"/>
    <n v="872"/>
    <n v="0.15"/>
    <n v="2"/>
    <n v="392.4"/>
    <n v="2223.6"/>
    <n v="1342.3588542437251"/>
    <n v="881.24114575627505"/>
  </r>
  <r>
    <x v="607"/>
    <x v="1"/>
    <x v="1"/>
    <x v="4"/>
    <n v="19095"/>
    <n v="42"/>
    <n v="23120"/>
    <n v="0.2"/>
    <n v="1"/>
    <n v="194208"/>
    <n v="776832"/>
    <n v="604449.69617904746"/>
    <n v="172382.30382095251"/>
  </r>
  <r>
    <x v="608"/>
    <x v="1"/>
    <x v="3"/>
    <x v="3"/>
    <n v="98583"/>
    <n v="38"/>
    <n v="34612"/>
    <n v="0.1"/>
    <n v="1"/>
    <n v="131525.6"/>
    <n v="1183730.3999999999"/>
    <n v="1025134.576941565"/>
    <n v="158595.82305843529"/>
  </r>
  <r>
    <x v="609"/>
    <x v="1"/>
    <x v="3"/>
    <x v="4"/>
    <n v="30470"/>
    <n v="45"/>
    <n v="9015"/>
    <n v="0.15"/>
    <n v="1"/>
    <n v="60851.25"/>
    <n v="344823.75"/>
    <n v="276272.44188338373"/>
    <n v="68551.308116616332"/>
  </r>
  <r>
    <x v="610"/>
    <x v="2"/>
    <x v="2"/>
    <x v="1"/>
    <n v="53129"/>
    <n v="42"/>
    <n v="2931"/>
    <n v="0.2"/>
    <n v="4"/>
    <n v="24620.400000000001"/>
    <n v="98481.600000000006"/>
    <n v="88102.823727030031"/>
    <n v="10378.776272969981"/>
  </r>
  <r>
    <x v="611"/>
    <x v="3"/>
    <x v="3"/>
    <x v="5"/>
    <n v="18531"/>
    <n v="18"/>
    <n v="21554"/>
    <n v="0.2"/>
    <n v="1"/>
    <n v="77594.400000000009"/>
    <n v="310377.59999999998"/>
    <n v="192095.830134633"/>
    <n v="118281.76986536699"/>
  </r>
  <r>
    <x v="612"/>
    <x v="1"/>
    <x v="0"/>
    <x v="5"/>
    <n v="47038"/>
    <n v="20"/>
    <n v="33124"/>
    <n v="0"/>
    <n v="2"/>
    <n v="0"/>
    <n v="662480"/>
    <n v="576954.04766734899"/>
    <n v="85525.95233265101"/>
  </r>
  <r>
    <x v="613"/>
    <x v="3"/>
    <x v="4"/>
    <x v="5"/>
    <n v="97939"/>
    <n v="48"/>
    <n v="11085"/>
    <n v="0.05"/>
    <n v="4"/>
    <n v="26604"/>
    <n v="505476"/>
    <n v="426733.19449052092"/>
    <n v="78742.805509479076"/>
  </r>
  <r>
    <x v="614"/>
    <x v="3"/>
    <x v="2"/>
    <x v="4"/>
    <n v="52674"/>
    <n v="25"/>
    <n v="48730"/>
    <n v="0.15"/>
    <n v="2"/>
    <n v="182737.5"/>
    <n v="1035512.5"/>
    <n v="718927.80674887309"/>
    <n v="316584.69325112691"/>
  </r>
  <r>
    <x v="615"/>
    <x v="0"/>
    <x v="1"/>
    <x v="3"/>
    <n v="92476"/>
    <n v="38"/>
    <n v="32458"/>
    <n v="0.15"/>
    <n v="5"/>
    <n v="185010.6"/>
    <n v="1048393.4"/>
    <n v="935227.6835012798"/>
    <n v="113165.7164987202"/>
  </r>
  <r>
    <x v="616"/>
    <x v="2"/>
    <x v="0"/>
    <x v="5"/>
    <n v="39831"/>
    <n v="13"/>
    <n v="2195"/>
    <n v="0.15"/>
    <n v="1"/>
    <n v="4280.25"/>
    <n v="24254.75"/>
    <n v="16648.007429238191"/>
    <n v="7606.7425707618086"/>
  </r>
  <r>
    <x v="617"/>
    <x v="1"/>
    <x v="2"/>
    <x v="3"/>
    <n v="67174"/>
    <n v="4"/>
    <n v="35175"/>
    <n v="0.2"/>
    <n v="4"/>
    <n v="28140"/>
    <n v="112560"/>
    <n v="97566.041914231289"/>
    <n v="14993.958085768711"/>
  </r>
  <r>
    <x v="618"/>
    <x v="0"/>
    <x v="3"/>
    <x v="4"/>
    <n v="21279"/>
    <n v="14"/>
    <n v="34287"/>
    <n v="0"/>
    <n v="4"/>
    <n v="0"/>
    <n v="480018"/>
    <n v="414843.35114099953"/>
    <n v="65174.648859000532"/>
  </r>
  <r>
    <x v="619"/>
    <x v="0"/>
    <x v="3"/>
    <x v="1"/>
    <n v="48220"/>
    <n v="33"/>
    <n v="44725"/>
    <n v="0.2"/>
    <n v="1"/>
    <n v="295185"/>
    <n v="1180740"/>
    <n v="976822.99626833806"/>
    <n v="203917.00373166191"/>
  </r>
  <r>
    <x v="620"/>
    <x v="1"/>
    <x v="3"/>
    <x v="3"/>
    <n v="70610"/>
    <n v="28"/>
    <n v="1903"/>
    <n v="0.2"/>
    <n v="3"/>
    <n v="10656.8"/>
    <n v="42627.199999999997"/>
    <n v="32782.070574394558"/>
    <n v="9845.1294256054389"/>
  </r>
  <r>
    <x v="621"/>
    <x v="3"/>
    <x v="3"/>
    <x v="1"/>
    <n v="62719"/>
    <n v="37"/>
    <n v="18310"/>
    <n v="0.1"/>
    <n v="3"/>
    <n v="67747"/>
    <n v="609723"/>
    <n v="387784.33095139731"/>
    <n v="221938.66904860269"/>
  </r>
  <r>
    <x v="622"/>
    <x v="0"/>
    <x v="1"/>
    <x v="4"/>
    <n v="63051"/>
    <n v="8"/>
    <n v="9355"/>
    <n v="0"/>
    <n v="2"/>
    <n v="0"/>
    <n v="74840"/>
    <n v="56847.829382915377"/>
    <n v="17992.170617084619"/>
  </r>
  <r>
    <x v="623"/>
    <x v="3"/>
    <x v="0"/>
    <x v="4"/>
    <n v="82013"/>
    <n v="44"/>
    <n v="39136"/>
    <n v="0.15"/>
    <n v="1"/>
    <n v="258297.60000000001"/>
    <n v="1463686.4"/>
    <n v="1034883.188091915"/>
    <n v="428803.21190808469"/>
  </r>
  <r>
    <x v="624"/>
    <x v="2"/>
    <x v="4"/>
    <x v="0"/>
    <n v="66652"/>
    <n v="34"/>
    <n v="11339"/>
    <n v="0.05"/>
    <n v="1"/>
    <n v="19276.3"/>
    <n v="366249.7"/>
    <n v="306794.5952184113"/>
    <n v="59455.104781588707"/>
  </r>
  <r>
    <x v="625"/>
    <x v="3"/>
    <x v="1"/>
    <x v="4"/>
    <n v="75524"/>
    <n v="44"/>
    <n v="510"/>
    <n v="0.15"/>
    <n v="5"/>
    <n v="3366"/>
    <n v="19074"/>
    <n v="15782.566945416251"/>
    <n v="3291.4330545837529"/>
  </r>
  <r>
    <x v="626"/>
    <x v="2"/>
    <x v="1"/>
    <x v="4"/>
    <n v="92936"/>
    <n v="5"/>
    <n v="39598"/>
    <n v="0.2"/>
    <n v="3"/>
    <n v="39598"/>
    <n v="158392"/>
    <n v="138305.32088032851"/>
    <n v="20086.679119671491"/>
  </r>
  <r>
    <x v="627"/>
    <x v="3"/>
    <x v="4"/>
    <x v="2"/>
    <n v="16470"/>
    <n v="5"/>
    <n v="48329"/>
    <n v="0"/>
    <n v="3"/>
    <n v="0"/>
    <n v="241645"/>
    <n v="146062.090380243"/>
    <n v="95582.909619757003"/>
  </r>
  <r>
    <x v="628"/>
    <x v="0"/>
    <x v="4"/>
    <x v="5"/>
    <n v="77598"/>
    <n v="31"/>
    <n v="9730"/>
    <n v="0"/>
    <n v="1"/>
    <n v="0"/>
    <n v="301630"/>
    <n v="254192.94098710059"/>
    <n v="47437.059012899379"/>
  </r>
  <r>
    <x v="629"/>
    <x v="0"/>
    <x v="3"/>
    <x v="0"/>
    <n v="51798"/>
    <n v="45"/>
    <n v="40732"/>
    <n v="0"/>
    <n v="2"/>
    <n v="0"/>
    <n v="1832940"/>
    <n v="1615807.390696299"/>
    <n v="217132.60930370071"/>
  </r>
  <r>
    <x v="630"/>
    <x v="2"/>
    <x v="1"/>
    <x v="0"/>
    <n v="63473"/>
    <n v="9"/>
    <n v="48014"/>
    <n v="0.1"/>
    <n v="1"/>
    <n v="43212.600000000013"/>
    <n v="388913.4"/>
    <n v="325438.89638525329"/>
    <n v="63474.503614746733"/>
  </r>
  <r>
    <x v="631"/>
    <x v="1"/>
    <x v="2"/>
    <x v="0"/>
    <n v="29880"/>
    <n v="42"/>
    <n v="36271"/>
    <n v="0.15"/>
    <n v="2"/>
    <n v="228507.3"/>
    <n v="1294874.7"/>
    <n v="827500.47364989086"/>
    <n v="467374.22635010909"/>
  </r>
  <r>
    <x v="632"/>
    <x v="2"/>
    <x v="4"/>
    <x v="2"/>
    <n v="54439"/>
    <n v="32"/>
    <n v="29756"/>
    <n v="0.1"/>
    <n v="3"/>
    <n v="95219.200000000012"/>
    <n v="856972.80000000005"/>
    <n v="535079.87461709674"/>
    <n v="321892.92538290331"/>
  </r>
  <r>
    <x v="633"/>
    <x v="2"/>
    <x v="4"/>
    <x v="1"/>
    <n v="24308"/>
    <n v="33"/>
    <n v="26151"/>
    <n v="0.05"/>
    <n v="5"/>
    <n v="43149.15"/>
    <n v="819833.85"/>
    <n v="497027.19996171608"/>
    <n v="322806.65003828378"/>
  </r>
  <r>
    <x v="634"/>
    <x v="3"/>
    <x v="0"/>
    <x v="4"/>
    <n v="45081"/>
    <n v="3"/>
    <n v="32883"/>
    <n v="0.2"/>
    <n v="4"/>
    <n v="19729.8"/>
    <n v="78919.199999999997"/>
    <n v="62237.541067851213"/>
    <n v="16681.658932148781"/>
  </r>
  <r>
    <x v="635"/>
    <x v="3"/>
    <x v="2"/>
    <x v="5"/>
    <n v="85242"/>
    <n v="30"/>
    <n v="40463"/>
    <n v="0.1"/>
    <n v="3"/>
    <n v="121389"/>
    <n v="1092501"/>
    <n v="861876.00054887368"/>
    <n v="230624.99945112629"/>
  </r>
  <r>
    <x v="636"/>
    <x v="2"/>
    <x v="2"/>
    <x v="3"/>
    <n v="60383"/>
    <n v="12"/>
    <n v="14162"/>
    <n v="0.1"/>
    <n v="2"/>
    <n v="16994.400000000001"/>
    <n v="152949.6"/>
    <n v="137054.17734725701"/>
    <n v="15895.422652743029"/>
  </r>
  <r>
    <x v="637"/>
    <x v="0"/>
    <x v="4"/>
    <x v="1"/>
    <n v="19837"/>
    <n v="29"/>
    <n v="14239"/>
    <n v="0.2"/>
    <n v="1"/>
    <n v="82586.200000000012"/>
    <n v="330344.8"/>
    <n v="237654.3278222348"/>
    <n v="92690.472177765187"/>
  </r>
  <r>
    <x v="638"/>
    <x v="3"/>
    <x v="3"/>
    <x v="4"/>
    <n v="62151"/>
    <n v="3"/>
    <n v="48856"/>
    <n v="0"/>
    <n v="3"/>
    <n v="0"/>
    <n v="146568"/>
    <n v="102534.8521094569"/>
    <n v="44033.147890543107"/>
  </r>
  <r>
    <x v="639"/>
    <x v="1"/>
    <x v="0"/>
    <x v="2"/>
    <n v="46824"/>
    <n v="26"/>
    <n v="2289"/>
    <n v="0.2"/>
    <n v="5"/>
    <n v="11902.8"/>
    <n v="47611.199999999997"/>
    <n v="37485.606027948466"/>
    <n v="10125.593972051531"/>
  </r>
  <r>
    <x v="640"/>
    <x v="3"/>
    <x v="2"/>
    <x v="4"/>
    <n v="43073"/>
    <n v="30"/>
    <n v="19920"/>
    <n v="0.15"/>
    <n v="2"/>
    <n v="89640"/>
    <n v="507960"/>
    <n v="430588.85438608722"/>
    <n v="77371.145613912784"/>
  </r>
  <r>
    <x v="641"/>
    <x v="3"/>
    <x v="4"/>
    <x v="4"/>
    <n v="36299"/>
    <n v="9"/>
    <n v="24261"/>
    <n v="0.2"/>
    <n v="1"/>
    <n v="43669.8"/>
    <n v="174679.2"/>
    <n v="153897.9972250555"/>
    <n v="20781.202774944479"/>
  </r>
  <r>
    <x v="642"/>
    <x v="1"/>
    <x v="2"/>
    <x v="2"/>
    <n v="68861"/>
    <n v="26"/>
    <n v="40866"/>
    <n v="0"/>
    <n v="4"/>
    <n v="0"/>
    <n v="1062516"/>
    <n v="893509.28296556615"/>
    <n v="169006.71703443391"/>
  </r>
  <r>
    <x v="643"/>
    <x v="2"/>
    <x v="0"/>
    <x v="0"/>
    <n v="40063"/>
    <n v="2"/>
    <n v="38106"/>
    <n v="0.2"/>
    <n v="2"/>
    <n v="15242.4"/>
    <n v="60969.599999999999"/>
    <n v="44386.002578566011"/>
    <n v="16583.597421433991"/>
  </r>
  <r>
    <x v="644"/>
    <x v="1"/>
    <x v="0"/>
    <x v="0"/>
    <n v="79453"/>
    <n v="3"/>
    <n v="39140"/>
    <n v="0.1"/>
    <n v="1"/>
    <n v="11742"/>
    <n v="105678"/>
    <n v="83535.739967792484"/>
    <n v="22142.26003220752"/>
  </r>
  <r>
    <x v="645"/>
    <x v="2"/>
    <x v="1"/>
    <x v="5"/>
    <n v="78472"/>
    <n v="46"/>
    <n v="44635"/>
    <n v="0.05"/>
    <n v="4"/>
    <n v="102660.5"/>
    <n v="1950549.5"/>
    <n v="1671405.9670729381"/>
    <n v="279143.53292706242"/>
  </r>
  <r>
    <x v="646"/>
    <x v="2"/>
    <x v="4"/>
    <x v="5"/>
    <n v="24506"/>
    <n v="4"/>
    <n v="37567"/>
    <n v="0.1"/>
    <n v="1"/>
    <n v="15026.8"/>
    <n v="135241.20000000001"/>
    <n v="101049.9128936717"/>
    <n v="34191.287106328316"/>
  </r>
  <r>
    <x v="647"/>
    <x v="2"/>
    <x v="0"/>
    <x v="0"/>
    <n v="89854"/>
    <n v="25"/>
    <n v="17857"/>
    <n v="0.05"/>
    <n v="4"/>
    <n v="22321.25"/>
    <n v="424103.75"/>
    <n v="282031.53545111133"/>
    <n v="142072.2145488887"/>
  </r>
  <r>
    <x v="648"/>
    <x v="1"/>
    <x v="1"/>
    <x v="1"/>
    <n v="36026"/>
    <n v="13"/>
    <n v="40351"/>
    <n v="0.2"/>
    <n v="4"/>
    <n v="104912.6"/>
    <n v="419650.4"/>
    <n v="273157.59281387128"/>
    <n v="146492.80718612869"/>
  </r>
  <r>
    <x v="649"/>
    <x v="2"/>
    <x v="1"/>
    <x v="3"/>
    <n v="37672"/>
    <n v="39"/>
    <n v="38762"/>
    <n v="0.15"/>
    <n v="4"/>
    <n v="226757.7"/>
    <n v="1284960.3"/>
    <n v="771036.98865610303"/>
    <n v="513923.31134389702"/>
  </r>
  <r>
    <x v="650"/>
    <x v="0"/>
    <x v="2"/>
    <x v="4"/>
    <n v="48417"/>
    <n v="44"/>
    <n v="11817"/>
    <n v="0.2"/>
    <n v="1"/>
    <n v="103989.6"/>
    <n v="415958.4"/>
    <n v="339202.17816348688"/>
    <n v="76756.221836513083"/>
  </r>
  <r>
    <x v="651"/>
    <x v="1"/>
    <x v="2"/>
    <x v="3"/>
    <n v="62413"/>
    <n v="35"/>
    <n v="22034"/>
    <n v="0"/>
    <n v="4"/>
    <n v="0"/>
    <n v="771190"/>
    <n v="488417.11694698181"/>
    <n v="282772.88305301819"/>
  </r>
  <r>
    <x v="652"/>
    <x v="0"/>
    <x v="1"/>
    <x v="4"/>
    <n v="75066"/>
    <n v="23"/>
    <n v="26234"/>
    <n v="0.2"/>
    <n v="2"/>
    <n v="120676.4"/>
    <n v="482705.6"/>
    <n v="324934.1096766566"/>
    <n v="157771.4903233434"/>
  </r>
  <r>
    <x v="653"/>
    <x v="2"/>
    <x v="2"/>
    <x v="0"/>
    <n v="69213"/>
    <n v="9"/>
    <n v="36397"/>
    <n v="0.05"/>
    <n v="5"/>
    <n v="16378.65"/>
    <n v="311194.34999999998"/>
    <n v="214525.83941058599"/>
    <n v="96668.510589413927"/>
  </r>
  <r>
    <x v="654"/>
    <x v="3"/>
    <x v="0"/>
    <x v="5"/>
    <n v="60971"/>
    <n v="2"/>
    <n v="33372"/>
    <n v="0.1"/>
    <n v="5"/>
    <n v="6674.4000000000005"/>
    <n v="60069.599999999999"/>
    <n v="46140.298213941489"/>
    <n v="13929.30178605851"/>
  </r>
  <r>
    <x v="655"/>
    <x v="2"/>
    <x v="3"/>
    <x v="1"/>
    <n v="37281"/>
    <n v="41"/>
    <n v="40701"/>
    <n v="0.15"/>
    <n v="4"/>
    <n v="250311.15"/>
    <n v="1418429.85"/>
    <n v="1020400.254342314"/>
    <n v="398029.59565768612"/>
  </r>
  <r>
    <x v="656"/>
    <x v="0"/>
    <x v="0"/>
    <x v="5"/>
    <n v="38091"/>
    <n v="44"/>
    <n v="8189"/>
    <n v="0.2"/>
    <n v="5"/>
    <n v="72063.199999999997"/>
    <n v="288252.79999999999"/>
    <n v="231294.68018635621"/>
    <n v="56958.119813643767"/>
  </r>
  <r>
    <x v="657"/>
    <x v="0"/>
    <x v="1"/>
    <x v="3"/>
    <n v="60494"/>
    <n v="31"/>
    <n v="4067"/>
    <n v="0.2"/>
    <n v="5"/>
    <n v="25215.4"/>
    <n v="100861.6"/>
    <n v="62200.501260524368"/>
    <n v="38661.098739475638"/>
  </r>
  <r>
    <x v="658"/>
    <x v="1"/>
    <x v="1"/>
    <x v="5"/>
    <n v="28610"/>
    <n v="44"/>
    <n v="21232"/>
    <n v="0.1"/>
    <n v="4"/>
    <n v="93420.800000000003"/>
    <n v="840787.2"/>
    <n v="535734.26643475611"/>
    <n v="305052.93356524379"/>
  </r>
  <r>
    <x v="659"/>
    <x v="3"/>
    <x v="0"/>
    <x v="0"/>
    <n v="11079"/>
    <n v="47"/>
    <n v="21274"/>
    <n v="0.15"/>
    <n v="4"/>
    <n v="149981.70000000001"/>
    <n v="849896.3"/>
    <n v="637221.18293110805"/>
    <n v="212675.117068892"/>
  </r>
  <r>
    <x v="660"/>
    <x v="1"/>
    <x v="2"/>
    <x v="1"/>
    <n v="56751"/>
    <n v="2"/>
    <n v="23695"/>
    <n v="0.2"/>
    <n v="2"/>
    <n v="9478"/>
    <n v="37912"/>
    <n v="26579.70271105471"/>
    <n v="11332.29728894529"/>
  </r>
  <r>
    <x v="661"/>
    <x v="0"/>
    <x v="2"/>
    <x v="3"/>
    <n v="96126"/>
    <n v="32"/>
    <n v="37912"/>
    <n v="0.2"/>
    <n v="3"/>
    <n v="242636.79999999999"/>
    <n v="970547.19999999995"/>
    <n v="668458.56928227481"/>
    <n v="302088.63071772509"/>
  </r>
  <r>
    <x v="662"/>
    <x v="2"/>
    <x v="1"/>
    <x v="1"/>
    <n v="65432"/>
    <n v="18"/>
    <n v="48234"/>
    <n v="0.05"/>
    <n v="1"/>
    <n v="43410.600000000013"/>
    <n v="824801.4"/>
    <n v="511466.29602883791"/>
    <n v="313335.10397116223"/>
  </r>
  <r>
    <x v="663"/>
    <x v="3"/>
    <x v="4"/>
    <x v="4"/>
    <n v="40951"/>
    <n v="13"/>
    <n v="44598"/>
    <n v="0.05"/>
    <n v="4"/>
    <n v="28988.7"/>
    <n v="550785.30000000005"/>
    <n v="478475.86631379923"/>
    <n v="72309.433686200879"/>
  </r>
  <r>
    <x v="664"/>
    <x v="2"/>
    <x v="2"/>
    <x v="5"/>
    <n v="90863"/>
    <n v="46"/>
    <n v="22757"/>
    <n v="0"/>
    <n v="4"/>
    <n v="0"/>
    <n v="1046822"/>
    <n v="845356.47478937928"/>
    <n v="201465.52521062069"/>
  </r>
  <r>
    <x v="665"/>
    <x v="2"/>
    <x v="0"/>
    <x v="1"/>
    <n v="88291"/>
    <n v="5"/>
    <n v="4894"/>
    <n v="0.1"/>
    <n v="5"/>
    <n v="2447"/>
    <n v="22023"/>
    <n v="14017.31900029174"/>
    <n v="8005.6809997082582"/>
  </r>
  <r>
    <x v="666"/>
    <x v="3"/>
    <x v="2"/>
    <x v="2"/>
    <n v="69872"/>
    <n v="42"/>
    <n v="36802"/>
    <n v="0.15"/>
    <n v="2"/>
    <n v="231852.6"/>
    <n v="1313831.3999999999"/>
    <n v="813936.66651543835"/>
    <n v="499894.73348456161"/>
  </r>
  <r>
    <x v="667"/>
    <x v="1"/>
    <x v="0"/>
    <x v="5"/>
    <n v="17235"/>
    <n v="44"/>
    <n v="22728"/>
    <n v="0.2"/>
    <n v="5"/>
    <n v="200006.39999999999"/>
    <n v="800025.59999999998"/>
    <n v="713992.25504455506"/>
    <n v="86033.344955444918"/>
  </r>
  <r>
    <x v="668"/>
    <x v="2"/>
    <x v="1"/>
    <x v="4"/>
    <n v="92733"/>
    <n v="10"/>
    <n v="12888"/>
    <n v="0.2"/>
    <n v="4"/>
    <n v="25776"/>
    <n v="103104"/>
    <n v="82931.884392154418"/>
    <n v="20172.115607845579"/>
  </r>
  <r>
    <x v="669"/>
    <x v="0"/>
    <x v="2"/>
    <x v="1"/>
    <n v="72712"/>
    <n v="43"/>
    <n v="11819"/>
    <n v="0"/>
    <n v="4"/>
    <n v="0"/>
    <n v="508217"/>
    <n v="368577.6816249144"/>
    <n v="139639.3183750856"/>
  </r>
  <r>
    <x v="670"/>
    <x v="2"/>
    <x v="0"/>
    <x v="3"/>
    <n v="31473"/>
    <n v="25"/>
    <n v="6975"/>
    <n v="0.2"/>
    <n v="5"/>
    <n v="34875"/>
    <n v="139500"/>
    <n v="113067.4440556296"/>
    <n v="26432.555944370401"/>
  </r>
  <r>
    <x v="671"/>
    <x v="3"/>
    <x v="1"/>
    <x v="4"/>
    <n v="77567"/>
    <n v="34"/>
    <n v="32055"/>
    <n v="0.1"/>
    <n v="4"/>
    <n v="108987"/>
    <n v="980883"/>
    <n v="811091.69751540537"/>
    <n v="169791.30248459461"/>
  </r>
  <r>
    <x v="672"/>
    <x v="3"/>
    <x v="4"/>
    <x v="2"/>
    <n v="89823"/>
    <n v="37"/>
    <n v="18658"/>
    <n v="0"/>
    <n v="3"/>
    <n v="0"/>
    <n v="690346"/>
    <n v="575740.73597108526"/>
    <n v="114605.26402891469"/>
  </r>
  <r>
    <x v="673"/>
    <x v="3"/>
    <x v="0"/>
    <x v="1"/>
    <n v="42230"/>
    <n v="30"/>
    <n v="15228"/>
    <n v="0.1"/>
    <n v="1"/>
    <n v="45684"/>
    <n v="411156"/>
    <n v="305638.23644492659"/>
    <n v="105517.7635550734"/>
  </r>
  <r>
    <x v="674"/>
    <x v="1"/>
    <x v="4"/>
    <x v="0"/>
    <n v="94573"/>
    <n v="7"/>
    <n v="45274"/>
    <n v="0"/>
    <n v="1"/>
    <n v="0"/>
    <n v="316918"/>
    <n v="231022.07518182319"/>
    <n v="85895.924818176834"/>
  </r>
  <r>
    <x v="675"/>
    <x v="2"/>
    <x v="4"/>
    <x v="5"/>
    <n v="78876"/>
    <n v="6"/>
    <n v="30045"/>
    <n v="0.2"/>
    <n v="1"/>
    <n v="36054"/>
    <n v="144216"/>
    <n v="87006.727860277111"/>
    <n v="57209.272139722889"/>
  </r>
  <r>
    <x v="676"/>
    <x v="1"/>
    <x v="3"/>
    <x v="3"/>
    <n v="50644"/>
    <n v="3"/>
    <n v="31600"/>
    <n v="0"/>
    <n v="3"/>
    <n v="0"/>
    <n v="94800"/>
    <n v="83231.284354633885"/>
    <n v="11568.715645366119"/>
  </r>
  <r>
    <x v="677"/>
    <x v="1"/>
    <x v="2"/>
    <x v="0"/>
    <n v="58664"/>
    <n v="13"/>
    <n v="16650"/>
    <n v="0.05"/>
    <n v="4"/>
    <n v="10822.5"/>
    <n v="205627.5"/>
    <n v="160593.5072290267"/>
    <n v="45033.992770973302"/>
  </r>
  <r>
    <x v="678"/>
    <x v="3"/>
    <x v="0"/>
    <x v="1"/>
    <n v="55203"/>
    <n v="3"/>
    <n v="33714"/>
    <n v="0.15"/>
    <n v="5"/>
    <n v="15171.3"/>
    <n v="85970.7"/>
    <n v="56822.005856393283"/>
    <n v="29148.694143606721"/>
  </r>
  <r>
    <x v="679"/>
    <x v="3"/>
    <x v="4"/>
    <x v="1"/>
    <n v="76677"/>
    <n v="26"/>
    <n v="33376"/>
    <n v="0.2"/>
    <n v="2"/>
    <n v="173555.20000000001"/>
    <n v="694220.80000000005"/>
    <n v="608054.8264540456"/>
    <n v="86165.973545954446"/>
  </r>
  <r>
    <x v="680"/>
    <x v="1"/>
    <x v="3"/>
    <x v="4"/>
    <n v="35425"/>
    <n v="24"/>
    <n v="3739"/>
    <n v="0.15"/>
    <n v="4"/>
    <n v="13460.4"/>
    <n v="76275.600000000006"/>
    <n v="66701.453930001138"/>
    <n v="9574.1460699988675"/>
  </r>
  <r>
    <x v="681"/>
    <x v="2"/>
    <x v="1"/>
    <x v="1"/>
    <n v="94817"/>
    <n v="6"/>
    <n v="39199"/>
    <n v="0.2"/>
    <n v="3"/>
    <n v="47038.8"/>
    <n v="188155.2"/>
    <n v="168729.1632849407"/>
    <n v="19426.036715059308"/>
  </r>
  <r>
    <x v="682"/>
    <x v="0"/>
    <x v="0"/>
    <x v="3"/>
    <n v="95961"/>
    <n v="43"/>
    <n v="37321"/>
    <n v="0.15"/>
    <n v="3"/>
    <n v="240720.45"/>
    <n v="1364082.55"/>
    <n v="1176135.121647256"/>
    <n v="187947.42835274391"/>
  </r>
  <r>
    <x v="683"/>
    <x v="1"/>
    <x v="4"/>
    <x v="0"/>
    <n v="79806"/>
    <n v="49"/>
    <n v="31115"/>
    <n v="0.05"/>
    <n v="1"/>
    <n v="76231.75"/>
    <n v="1448403.25"/>
    <n v="1302600.1950353531"/>
    <n v="145803.0549646474"/>
  </r>
  <r>
    <x v="684"/>
    <x v="2"/>
    <x v="2"/>
    <x v="3"/>
    <n v="52814"/>
    <n v="42"/>
    <n v="14246"/>
    <n v="0.15"/>
    <n v="4"/>
    <n v="89749.8"/>
    <n v="508582.2"/>
    <n v="342482.23195960443"/>
    <n v="166099.96804039559"/>
  </r>
  <r>
    <x v="685"/>
    <x v="3"/>
    <x v="3"/>
    <x v="2"/>
    <n v="80219"/>
    <n v="12"/>
    <n v="21421"/>
    <n v="0"/>
    <n v="1"/>
    <n v="0"/>
    <n v="257052"/>
    <n v="219181.78211239001"/>
    <n v="37870.217887609957"/>
  </r>
  <r>
    <x v="686"/>
    <x v="3"/>
    <x v="4"/>
    <x v="2"/>
    <n v="59646"/>
    <n v="49"/>
    <n v="23245"/>
    <n v="0.15"/>
    <n v="2"/>
    <n v="170850.75"/>
    <n v="968154.25"/>
    <n v="819938.05650927953"/>
    <n v="148216.1934907205"/>
  </r>
  <r>
    <x v="687"/>
    <x v="2"/>
    <x v="2"/>
    <x v="5"/>
    <n v="49884"/>
    <n v="36"/>
    <n v="1745"/>
    <n v="0.2"/>
    <n v="1"/>
    <n v="12564"/>
    <n v="50256"/>
    <n v="33635.441607899164"/>
    <n v="16620.55839210084"/>
  </r>
  <r>
    <x v="688"/>
    <x v="0"/>
    <x v="4"/>
    <x v="5"/>
    <n v="79322"/>
    <n v="2"/>
    <n v="47107"/>
    <n v="0.1"/>
    <n v="2"/>
    <n v="9421.4"/>
    <n v="84792.6"/>
    <n v="53379.592715226427"/>
    <n v="31413.007284773579"/>
  </r>
  <r>
    <x v="689"/>
    <x v="3"/>
    <x v="0"/>
    <x v="2"/>
    <n v="31650"/>
    <n v="11"/>
    <n v="25353"/>
    <n v="0.15"/>
    <n v="3"/>
    <n v="41832.449999999997"/>
    <n v="237050.55"/>
    <n v="211881.98143456719"/>
    <n v="25168.568565432739"/>
  </r>
  <r>
    <x v="690"/>
    <x v="3"/>
    <x v="0"/>
    <x v="1"/>
    <n v="19190"/>
    <n v="39"/>
    <n v="28132"/>
    <n v="0.15"/>
    <n v="1"/>
    <n v="164572.20000000001"/>
    <n v="932575.8"/>
    <n v="642365.07988619234"/>
    <n v="290210.72011380771"/>
  </r>
  <r>
    <x v="691"/>
    <x v="3"/>
    <x v="0"/>
    <x v="3"/>
    <n v="48196"/>
    <n v="34"/>
    <n v="13356"/>
    <n v="0.15"/>
    <n v="1"/>
    <n v="68115.599999999991"/>
    <n v="385988.4"/>
    <n v="332439.27863274107"/>
    <n v="53549.121367258893"/>
  </r>
  <r>
    <x v="692"/>
    <x v="2"/>
    <x v="3"/>
    <x v="2"/>
    <n v="49449"/>
    <n v="26"/>
    <n v="5605"/>
    <n v="0.2"/>
    <n v="5"/>
    <n v="29146"/>
    <n v="116584"/>
    <n v="70094.748060175203"/>
    <n v="46489.251939824797"/>
  </r>
  <r>
    <x v="693"/>
    <x v="1"/>
    <x v="0"/>
    <x v="5"/>
    <n v="49661"/>
    <n v="18"/>
    <n v="36190"/>
    <n v="0.15"/>
    <n v="3"/>
    <n v="97713"/>
    <n v="553707"/>
    <n v="335716.67487934319"/>
    <n v="217990.32512065681"/>
  </r>
  <r>
    <x v="694"/>
    <x v="3"/>
    <x v="2"/>
    <x v="2"/>
    <n v="39709"/>
    <n v="21"/>
    <n v="3013"/>
    <n v="0.2"/>
    <n v="5"/>
    <n v="12654.6"/>
    <n v="50618.400000000001"/>
    <n v="37445.538075634868"/>
    <n v="13172.86192436513"/>
  </r>
  <r>
    <x v="695"/>
    <x v="1"/>
    <x v="4"/>
    <x v="1"/>
    <n v="90428"/>
    <n v="36"/>
    <n v="3301"/>
    <n v="0.2"/>
    <n v="2"/>
    <n v="23767.200000000001"/>
    <n v="95068.800000000003"/>
    <n v="63849.575563225742"/>
    <n v="31219.224436774271"/>
  </r>
  <r>
    <x v="696"/>
    <x v="0"/>
    <x v="1"/>
    <x v="2"/>
    <n v="85179"/>
    <n v="40"/>
    <n v="32845"/>
    <n v="0.1"/>
    <n v="2"/>
    <n v="131380"/>
    <n v="1182420"/>
    <n v="954156.63910810591"/>
    <n v="228263.36089189409"/>
  </r>
  <r>
    <x v="697"/>
    <x v="3"/>
    <x v="2"/>
    <x v="3"/>
    <n v="19943"/>
    <n v="46"/>
    <n v="14395"/>
    <n v="0"/>
    <n v="3"/>
    <n v="0"/>
    <n v="662170"/>
    <n v="509651.9188383997"/>
    <n v="152518.0811616003"/>
  </r>
  <r>
    <x v="698"/>
    <x v="3"/>
    <x v="2"/>
    <x v="0"/>
    <n v="53240"/>
    <n v="44"/>
    <n v="40249"/>
    <n v="0.2"/>
    <n v="2"/>
    <n v="354191.2"/>
    <n v="1416764.8"/>
    <n v="882992.62509833579"/>
    <n v="533772.17490166426"/>
  </r>
  <r>
    <x v="699"/>
    <x v="0"/>
    <x v="0"/>
    <x v="1"/>
    <n v="55760"/>
    <n v="22"/>
    <n v="8721"/>
    <n v="0.05"/>
    <n v="3"/>
    <n v="9593.1"/>
    <n v="182268.9"/>
    <n v="118253.96420350191"/>
    <n v="64014.935796498059"/>
  </r>
  <r>
    <x v="700"/>
    <x v="3"/>
    <x v="3"/>
    <x v="5"/>
    <n v="31042"/>
    <n v="30"/>
    <n v="6538"/>
    <n v="0.15"/>
    <n v="2"/>
    <n v="29421"/>
    <n v="166719"/>
    <n v="119439.9558764606"/>
    <n v="47279.044123539366"/>
  </r>
  <r>
    <x v="701"/>
    <x v="1"/>
    <x v="4"/>
    <x v="3"/>
    <n v="53894"/>
    <n v="43"/>
    <n v="32531"/>
    <n v="0.05"/>
    <n v="4"/>
    <n v="69941.650000000009"/>
    <n v="1328891.3500000001"/>
    <n v="871329.10053456656"/>
    <n v="457562.24946543347"/>
  </r>
  <r>
    <x v="702"/>
    <x v="2"/>
    <x v="3"/>
    <x v="2"/>
    <n v="16869"/>
    <n v="30"/>
    <n v="15582"/>
    <n v="0.15"/>
    <n v="1"/>
    <n v="70119"/>
    <n v="397341"/>
    <n v="332839.32590287487"/>
    <n v="64501.674097125069"/>
  </r>
  <r>
    <x v="703"/>
    <x v="1"/>
    <x v="4"/>
    <x v="2"/>
    <n v="71078"/>
    <n v="8"/>
    <n v="15148"/>
    <n v="0.1"/>
    <n v="4"/>
    <n v="12118.4"/>
    <n v="109065.60000000001"/>
    <n v="79053.044964827946"/>
    <n v="30012.555035172059"/>
  </r>
  <r>
    <x v="704"/>
    <x v="2"/>
    <x v="4"/>
    <x v="0"/>
    <n v="66759"/>
    <n v="34"/>
    <n v="864"/>
    <n v="0.2"/>
    <n v="3"/>
    <n v="5875.2000000000007"/>
    <n v="23500.799999999999"/>
    <n v="14759.197084887661"/>
    <n v="8741.6029151123366"/>
  </r>
  <r>
    <x v="705"/>
    <x v="2"/>
    <x v="3"/>
    <x v="5"/>
    <n v="54306"/>
    <n v="47"/>
    <n v="35068"/>
    <n v="0"/>
    <n v="3"/>
    <n v="0"/>
    <n v="1648196"/>
    <n v="1228405.2102459921"/>
    <n v="419790.78975400788"/>
  </r>
  <r>
    <x v="706"/>
    <x v="1"/>
    <x v="2"/>
    <x v="5"/>
    <n v="65371"/>
    <n v="9"/>
    <n v="14610"/>
    <n v="0.2"/>
    <n v="4"/>
    <n v="26298"/>
    <n v="105192"/>
    <n v="65981.834982663684"/>
    <n v="39210.165017336323"/>
  </r>
  <r>
    <x v="707"/>
    <x v="1"/>
    <x v="4"/>
    <x v="4"/>
    <n v="30918"/>
    <n v="20"/>
    <n v="6458"/>
    <n v="0.15"/>
    <n v="1"/>
    <n v="19374"/>
    <n v="109786"/>
    <n v="70118.25330384601"/>
    <n v="39667.74669615399"/>
  </r>
  <r>
    <x v="708"/>
    <x v="1"/>
    <x v="3"/>
    <x v="5"/>
    <n v="38379"/>
    <n v="40"/>
    <n v="9596"/>
    <n v="0"/>
    <n v="1"/>
    <n v="0"/>
    <n v="383840"/>
    <n v="257895.5513777119"/>
    <n v="125944.4486222881"/>
  </r>
  <r>
    <x v="709"/>
    <x v="1"/>
    <x v="4"/>
    <x v="0"/>
    <n v="93232"/>
    <n v="25"/>
    <n v="7936"/>
    <n v="0.2"/>
    <n v="5"/>
    <n v="39680"/>
    <n v="158720"/>
    <n v="136159.27121306449"/>
    <n v="22560.728786935539"/>
  </r>
  <r>
    <x v="710"/>
    <x v="0"/>
    <x v="1"/>
    <x v="4"/>
    <n v="12962"/>
    <n v="19"/>
    <n v="21677"/>
    <n v="0"/>
    <n v="2"/>
    <n v="0"/>
    <n v="411863"/>
    <n v="361361.90742127638"/>
    <n v="50501.092578723561"/>
  </r>
  <r>
    <x v="711"/>
    <x v="3"/>
    <x v="2"/>
    <x v="4"/>
    <n v="23851"/>
    <n v="5"/>
    <n v="27254"/>
    <n v="0.15"/>
    <n v="5"/>
    <n v="20440.5"/>
    <n v="115829.5"/>
    <n v="98209.205897900669"/>
    <n v="17620.294102099331"/>
  </r>
  <r>
    <x v="712"/>
    <x v="2"/>
    <x v="0"/>
    <x v="2"/>
    <n v="55747"/>
    <n v="11"/>
    <n v="25044"/>
    <n v="0.1"/>
    <n v="1"/>
    <n v="27548.400000000001"/>
    <n v="247935.6"/>
    <n v="173610.25060404729"/>
    <n v="74325.349395952682"/>
  </r>
  <r>
    <x v="713"/>
    <x v="1"/>
    <x v="4"/>
    <x v="2"/>
    <n v="62349"/>
    <n v="15"/>
    <n v="13138"/>
    <n v="0.1"/>
    <n v="4"/>
    <n v="19707"/>
    <n v="177363"/>
    <n v="120914.37544031571"/>
    <n v="56448.624559684293"/>
  </r>
  <r>
    <x v="714"/>
    <x v="1"/>
    <x v="1"/>
    <x v="5"/>
    <n v="80832"/>
    <n v="8"/>
    <n v="679"/>
    <n v="0.2"/>
    <n v="2"/>
    <n v="1086.4000000000001"/>
    <n v="4345.6000000000004"/>
    <n v="3323.2832909694189"/>
    <n v="1022.316709030581"/>
  </r>
  <r>
    <x v="715"/>
    <x v="1"/>
    <x v="0"/>
    <x v="4"/>
    <n v="66356"/>
    <n v="19"/>
    <n v="4373"/>
    <n v="0.05"/>
    <n v="4"/>
    <n v="4154.3500000000004"/>
    <n v="78932.649999999994"/>
    <n v="64452.924861526189"/>
    <n v="14479.725138473799"/>
  </r>
  <r>
    <x v="716"/>
    <x v="0"/>
    <x v="0"/>
    <x v="2"/>
    <n v="24745"/>
    <n v="23"/>
    <n v="18070"/>
    <n v="0.15"/>
    <n v="5"/>
    <n v="62341.5"/>
    <n v="353268.5"/>
    <n v="317239.29444424878"/>
    <n v="36029.205555751163"/>
  </r>
  <r>
    <x v="717"/>
    <x v="1"/>
    <x v="4"/>
    <x v="0"/>
    <n v="15730"/>
    <n v="27"/>
    <n v="48723"/>
    <n v="0.2"/>
    <n v="3"/>
    <n v="263104.2"/>
    <n v="1052416.8"/>
    <n v="672990.24827080243"/>
    <n v="379426.55172919761"/>
  </r>
  <r>
    <x v="718"/>
    <x v="1"/>
    <x v="3"/>
    <x v="2"/>
    <n v="23921"/>
    <n v="40"/>
    <n v="17657"/>
    <n v="0.2"/>
    <n v="4"/>
    <n v="141256"/>
    <n v="565024"/>
    <n v="347369.74873692793"/>
    <n v="217654.2512630721"/>
  </r>
  <r>
    <x v="719"/>
    <x v="1"/>
    <x v="4"/>
    <x v="1"/>
    <n v="81138"/>
    <n v="32"/>
    <n v="46065"/>
    <n v="0.1"/>
    <n v="5"/>
    <n v="147408"/>
    <n v="1326672"/>
    <n v="1072357.95478954"/>
    <n v="254314.04521045971"/>
  </r>
  <r>
    <x v="720"/>
    <x v="3"/>
    <x v="1"/>
    <x v="1"/>
    <n v="93111"/>
    <n v="26"/>
    <n v="4960"/>
    <n v="0"/>
    <n v="5"/>
    <n v="0"/>
    <n v="128960"/>
    <n v="109573.15111219911"/>
    <n v="19386.848887800908"/>
  </r>
  <r>
    <x v="721"/>
    <x v="0"/>
    <x v="0"/>
    <x v="2"/>
    <n v="29023"/>
    <n v="27"/>
    <n v="48584"/>
    <n v="0.15"/>
    <n v="5"/>
    <n v="196765.2"/>
    <n v="1115002.8"/>
    <n v="952106.05779829377"/>
    <n v="162896.74220170631"/>
  </r>
  <r>
    <x v="722"/>
    <x v="1"/>
    <x v="4"/>
    <x v="4"/>
    <n v="55349"/>
    <n v="19"/>
    <n v="852"/>
    <n v="0"/>
    <n v="3"/>
    <n v="0"/>
    <n v="16188"/>
    <n v="13007.69037973832"/>
    <n v="3180.309620261678"/>
  </r>
  <r>
    <x v="723"/>
    <x v="2"/>
    <x v="3"/>
    <x v="4"/>
    <n v="91533"/>
    <n v="42"/>
    <n v="22086"/>
    <n v="0.15"/>
    <n v="3"/>
    <n v="139141.79999999999"/>
    <n v="788470.2"/>
    <n v="698746.02956310485"/>
    <n v="89724.170436895103"/>
  </r>
  <r>
    <x v="724"/>
    <x v="2"/>
    <x v="4"/>
    <x v="3"/>
    <n v="93286"/>
    <n v="29"/>
    <n v="5844"/>
    <n v="0.05"/>
    <n v="3"/>
    <n v="8473.8000000000011"/>
    <n v="161002.20000000001"/>
    <n v="121283.1873423475"/>
    <n v="39719.012657652522"/>
  </r>
  <r>
    <x v="725"/>
    <x v="2"/>
    <x v="2"/>
    <x v="1"/>
    <n v="51979"/>
    <n v="39"/>
    <n v="5007"/>
    <n v="0.1"/>
    <n v="2"/>
    <n v="19527.3"/>
    <n v="175745.7"/>
    <n v="153627.12642118699"/>
    <n v="22118.573578813059"/>
  </r>
  <r>
    <x v="726"/>
    <x v="0"/>
    <x v="3"/>
    <x v="0"/>
    <n v="32837"/>
    <n v="41"/>
    <n v="38098"/>
    <n v="0.05"/>
    <n v="3"/>
    <n v="78100.900000000009"/>
    <n v="1483917.1"/>
    <n v="1321196.1539007791"/>
    <n v="162720.9460992208"/>
  </r>
  <r>
    <x v="727"/>
    <x v="0"/>
    <x v="1"/>
    <x v="4"/>
    <n v="24997"/>
    <n v="33"/>
    <n v="44488"/>
    <n v="0.2"/>
    <n v="3"/>
    <n v="293620.8"/>
    <n v="1174483.2"/>
    <n v="1003181.580301462"/>
    <n v="171301.6196985383"/>
  </r>
  <r>
    <x v="728"/>
    <x v="2"/>
    <x v="0"/>
    <x v="5"/>
    <n v="98603"/>
    <n v="19"/>
    <n v="33385"/>
    <n v="0.1"/>
    <n v="3"/>
    <n v="63431.5"/>
    <n v="570883.5"/>
    <n v="395580.91582441592"/>
    <n v="175302.58417558411"/>
  </r>
  <r>
    <x v="729"/>
    <x v="1"/>
    <x v="4"/>
    <x v="1"/>
    <n v="55039"/>
    <n v="37"/>
    <n v="17365"/>
    <n v="0.2"/>
    <n v="4"/>
    <n v="128501"/>
    <n v="514004"/>
    <n v="338659.08886924089"/>
    <n v="175344.91113075911"/>
  </r>
  <r>
    <x v="730"/>
    <x v="0"/>
    <x v="3"/>
    <x v="0"/>
    <n v="30923"/>
    <n v="19"/>
    <n v="37555"/>
    <n v="0.05"/>
    <n v="3"/>
    <n v="35677.25"/>
    <n v="677867.75"/>
    <n v="518186.52455372369"/>
    <n v="159681.22544627631"/>
  </r>
  <r>
    <x v="731"/>
    <x v="2"/>
    <x v="2"/>
    <x v="0"/>
    <n v="18876"/>
    <n v="33"/>
    <n v="27713"/>
    <n v="0.15"/>
    <n v="2"/>
    <n v="137179.35"/>
    <n v="777349.65"/>
    <n v="572055.04729586304"/>
    <n v="205294.60270413701"/>
  </r>
  <r>
    <x v="732"/>
    <x v="2"/>
    <x v="3"/>
    <x v="4"/>
    <n v="70973"/>
    <n v="47"/>
    <n v="4977"/>
    <n v="0.2"/>
    <n v="5"/>
    <n v="46783.8"/>
    <n v="187135.2"/>
    <n v="161558.96487537169"/>
    <n v="25576.235124628322"/>
  </r>
  <r>
    <x v="733"/>
    <x v="1"/>
    <x v="2"/>
    <x v="0"/>
    <n v="12887"/>
    <n v="16"/>
    <n v="7033"/>
    <n v="0"/>
    <n v="4"/>
    <n v="0"/>
    <n v="112528"/>
    <n v="70893.709164553395"/>
    <n v="41634.290835446613"/>
  </r>
  <r>
    <x v="734"/>
    <x v="3"/>
    <x v="1"/>
    <x v="4"/>
    <n v="73723"/>
    <n v="23"/>
    <n v="49895"/>
    <n v="0.15"/>
    <n v="1"/>
    <n v="172137.75"/>
    <n v="975447.25"/>
    <n v="660691.90020634572"/>
    <n v="314755.34979365428"/>
  </r>
  <r>
    <x v="735"/>
    <x v="0"/>
    <x v="0"/>
    <x v="2"/>
    <n v="52422"/>
    <n v="7"/>
    <n v="23896"/>
    <n v="0.15"/>
    <n v="3"/>
    <n v="25090.799999999999"/>
    <n v="142181.20000000001"/>
    <n v="117376.222827121"/>
    <n v="24804.977172878978"/>
  </r>
  <r>
    <x v="736"/>
    <x v="1"/>
    <x v="1"/>
    <x v="1"/>
    <n v="61413"/>
    <n v="26"/>
    <n v="13255"/>
    <n v="0.05"/>
    <n v="5"/>
    <n v="17231.5"/>
    <n v="327398.5"/>
    <n v="205768.64552568129"/>
    <n v="121629.85447431869"/>
  </r>
  <r>
    <x v="737"/>
    <x v="2"/>
    <x v="4"/>
    <x v="3"/>
    <n v="12841"/>
    <n v="32"/>
    <n v="1365"/>
    <n v="0.05"/>
    <n v="5"/>
    <n v="2184"/>
    <n v="41496"/>
    <n v="28890.732037273341"/>
    <n v="12605.267962726661"/>
  </r>
  <r>
    <x v="738"/>
    <x v="2"/>
    <x v="3"/>
    <x v="2"/>
    <n v="38756"/>
    <n v="12"/>
    <n v="11673"/>
    <n v="0.1"/>
    <n v="4"/>
    <n v="14007.6"/>
    <n v="126068.4"/>
    <n v="90283.458323926548"/>
    <n v="35784.941676073453"/>
  </r>
  <r>
    <x v="739"/>
    <x v="1"/>
    <x v="2"/>
    <x v="1"/>
    <n v="81576"/>
    <n v="8"/>
    <n v="38597"/>
    <n v="0.1"/>
    <n v="1"/>
    <n v="30877.599999999999"/>
    <n v="277898.40000000002"/>
    <n v="218644.38597440909"/>
    <n v="59254.014025590877"/>
  </r>
  <r>
    <x v="740"/>
    <x v="0"/>
    <x v="2"/>
    <x v="4"/>
    <n v="20304"/>
    <n v="5"/>
    <n v="33871"/>
    <n v="0"/>
    <n v="2"/>
    <n v="0"/>
    <n v="169355"/>
    <n v="109647.1662647409"/>
    <n v="59707.833735259097"/>
  </r>
  <r>
    <x v="741"/>
    <x v="3"/>
    <x v="3"/>
    <x v="1"/>
    <n v="40341"/>
    <n v="42"/>
    <n v="39024"/>
    <n v="0.15"/>
    <n v="5"/>
    <n v="245851.2"/>
    <n v="1393156.8"/>
    <n v="1195581.1793523701"/>
    <n v="197575.62064763019"/>
  </r>
  <r>
    <x v="742"/>
    <x v="3"/>
    <x v="3"/>
    <x v="4"/>
    <n v="14758"/>
    <n v="28"/>
    <n v="11754"/>
    <n v="0"/>
    <n v="5"/>
    <n v="0"/>
    <n v="329112"/>
    <n v="241654.65605963289"/>
    <n v="87457.343940367078"/>
  </r>
  <r>
    <x v="743"/>
    <x v="2"/>
    <x v="4"/>
    <x v="2"/>
    <n v="27010"/>
    <n v="5"/>
    <n v="4518"/>
    <n v="0"/>
    <n v="5"/>
    <n v="0"/>
    <n v="22590"/>
    <n v="19768.656141414529"/>
    <n v="2821.343858585471"/>
  </r>
  <r>
    <x v="744"/>
    <x v="0"/>
    <x v="1"/>
    <x v="5"/>
    <n v="70758"/>
    <n v="49"/>
    <n v="5692"/>
    <n v="0.05"/>
    <n v="5"/>
    <n v="13945.4"/>
    <n v="264962.59999999998"/>
    <n v="196167.9686334666"/>
    <n v="68794.631366533402"/>
  </r>
  <r>
    <x v="745"/>
    <x v="3"/>
    <x v="2"/>
    <x v="5"/>
    <n v="41658"/>
    <n v="26"/>
    <n v="2515"/>
    <n v="0"/>
    <n v="4"/>
    <n v="0"/>
    <n v="65390"/>
    <n v="44629.464759640367"/>
    <n v="20760.53524035963"/>
  </r>
  <r>
    <x v="746"/>
    <x v="0"/>
    <x v="4"/>
    <x v="1"/>
    <n v="59002"/>
    <n v="5"/>
    <n v="43118"/>
    <n v="0"/>
    <n v="1"/>
    <n v="0"/>
    <n v="215590"/>
    <n v="138527.06315303271"/>
    <n v="77062.936846967263"/>
  </r>
  <r>
    <x v="747"/>
    <x v="0"/>
    <x v="1"/>
    <x v="5"/>
    <n v="11375"/>
    <n v="22"/>
    <n v="3880"/>
    <n v="0.2"/>
    <n v="5"/>
    <n v="17072"/>
    <n v="68288"/>
    <n v="41049.523508293263"/>
    <n v="27238.47649170674"/>
  </r>
  <r>
    <x v="748"/>
    <x v="2"/>
    <x v="4"/>
    <x v="4"/>
    <n v="32092"/>
    <n v="15"/>
    <n v="28843"/>
    <n v="0.1"/>
    <n v="2"/>
    <n v="43264.5"/>
    <n v="389380.5"/>
    <n v="295791.82427464129"/>
    <n v="93588.675725358655"/>
  </r>
  <r>
    <x v="749"/>
    <x v="3"/>
    <x v="2"/>
    <x v="0"/>
    <n v="10490"/>
    <n v="13"/>
    <n v="4270"/>
    <n v="0.1"/>
    <n v="2"/>
    <n v="5551"/>
    <n v="49959"/>
    <n v="31581.43242653165"/>
    <n v="18377.56757346835"/>
  </r>
  <r>
    <x v="750"/>
    <x v="1"/>
    <x v="3"/>
    <x v="4"/>
    <n v="13729"/>
    <n v="28"/>
    <n v="6329"/>
    <n v="0.15"/>
    <n v="3"/>
    <n v="26581.8"/>
    <n v="150630.20000000001"/>
    <n v="108079.9294143951"/>
    <n v="42550.270585604892"/>
  </r>
  <r>
    <x v="751"/>
    <x v="2"/>
    <x v="3"/>
    <x v="0"/>
    <n v="15974"/>
    <n v="33"/>
    <n v="34881"/>
    <n v="0.1"/>
    <n v="5"/>
    <n v="115107.3"/>
    <n v="1035965.7"/>
    <n v="804719.01978606335"/>
    <n v="231246.6802139366"/>
  </r>
  <r>
    <x v="752"/>
    <x v="3"/>
    <x v="1"/>
    <x v="2"/>
    <n v="95216"/>
    <n v="43"/>
    <n v="46415"/>
    <n v="0.15"/>
    <n v="5"/>
    <n v="299376.75"/>
    <n v="1696468.25"/>
    <n v="1158188.661320461"/>
    <n v="538279.58867953881"/>
  </r>
  <r>
    <x v="753"/>
    <x v="3"/>
    <x v="0"/>
    <x v="3"/>
    <n v="93860"/>
    <n v="23"/>
    <n v="16045"/>
    <n v="0.2"/>
    <n v="5"/>
    <n v="73807"/>
    <n v="295228"/>
    <n v="192656.13521599901"/>
    <n v="102571.86478400099"/>
  </r>
  <r>
    <x v="754"/>
    <x v="3"/>
    <x v="1"/>
    <x v="0"/>
    <n v="31398"/>
    <n v="33"/>
    <n v="18763"/>
    <n v="0.1"/>
    <n v="5"/>
    <n v="61917.9"/>
    <n v="557261.1"/>
    <n v="463873.32708272"/>
    <n v="93387.772917279974"/>
  </r>
  <r>
    <x v="755"/>
    <x v="3"/>
    <x v="0"/>
    <x v="5"/>
    <n v="44650"/>
    <n v="43"/>
    <n v="38640"/>
    <n v="0.2"/>
    <n v="5"/>
    <n v="332304"/>
    <n v="1329216"/>
    <n v="1175076.592456646"/>
    <n v="154139.407543354"/>
  </r>
  <r>
    <x v="756"/>
    <x v="3"/>
    <x v="4"/>
    <x v="4"/>
    <n v="31292"/>
    <n v="18"/>
    <n v="43806"/>
    <n v="0.1"/>
    <n v="2"/>
    <n v="78850.8"/>
    <n v="709657.2"/>
    <n v="447177.79971202579"/>
    <n v="262479.40028797422"/>
  </r>
  <r>
    <x v="757"/>
    <x v="0"/>
    <x v="4"/>
    <x v="2"/>
    <n v="13159"/>
    <n v="30"/>
    <n v="26175"/>
    <n v="0.1"/>
    <n v="1"/>
    <n v="78525"/>
    <n v="706725"/>
    <n v="457022.87160029839"/>
    <n v="249702.12839970161"/>
  </r>
  <r>
    <x v="758"/>
    <x v="2"/>
    <x v="2"/>
    <x v="5"/>
    <n v="72766"/>
    <n v="26"/>
    <n v="25862"/>
    <n v="0.2"/>
    <n v="1"/>
    <n v="134482.4"/>
    <n v="537929.6"/>
    <n v="477683.52741326758"/>
    <n v="60246.072586732327"/>
  </r>
  <r>
    <x v="759"/>
    <x v="0"/>
    <x v="0"/>
    <x v="2"/>
    <n v="27065"/>
    <n v="16"/>
    <n v="648"/>
    <n v="0"/>
    <n v="3"/>
    <n v="0"/>
    <n v="10368"/>
    <n v="6338.3240435248108"/>
    <n v="4029.6759564751892"/>
  </r>
  <r>
    <x v="760"/>
    <x v="1"/>
    <x v="2"/>
    <x v="3"/>
    <n v="31638"/>
    <n v="13"/>
    <n v="2254"/>
    <n v="0"/>
    <n v="2"/>
    <n v="0"/>
    <n v="29302"/>
    <n v="26175.174817680581"/>
    <n v="3126.8251823194191"/>
  </r>
  <r>
    <x v="761"/>
    <x v="3"/>
    <x v="3"/>
    <x v="4"/>
    <n v="11073"/>
    <n v="39"/>
    <n v="27245"/>
    <n v="0"/>
    <n v="5"/>
    <n v="0"/>
    <n v="1062555"/>
    <n v="639013.50561731099"/>
    <n v="423541.49438268901"/>
  </r>
  <r>
    <x v="762"/>
    <x v="2"/>
    <x v="0"/>
    <x v="1"/>
    <n v="56511"/>
    <n v="33"/>
    <n v="7878"/>
    <n v="0"/>
    <n v="1"/>
    <n v="0"/>
    <n v="259974"/>
    <n v="224123.74052528979"/>
    <n v="35850.259474710241"/>
  </r>
  <r>
    <x v="763"/>
    <x v="3"/>
    <x v="1"/>
    <x v="4"/>
    <n v="94307"/>
    <n v="26"/>
    <n v="46859"/>
    <n v="0.1"/>
    <n v="4"/>
    <n v="121833.4"/>
    <n v="1096500.6000000001"/>
    <n v="758995.03360445274"/>
    <n v="337505.56639554742"/>
  </r>
  <r>
    <x v="764"/>
    <x v="2"/>
    <x v="3"/>
    <x v="3"/>
    <n v="39320"/>
    <n v="48"/>
    <n v="20640"/>
    <n v="0.05"/>
    <n v="4"/>
    <n v="49536"/>
    <n v="941184"/>
    <n v="829725.84476842219"/>
    <n v="111458.1552315778"/>
  </r>
  <r>
    <x v="765"/>
    <x v="0"/>
    <x v="3"/>
    <x v="4"/>
    <n v="79876"/>
    <n v="1"/>
    <n v="9871"/>
    <n v="0.2"/>
    <n v="4"/>
    <n v="1974.2"/>
    <n v="7896.8"/>
    <n v="5488.9360665892473"/>
    <n v="2407.8639334107529"/>
  </r>
  <r>
    <x v="766"/>
    <x v="2"/>
    <x v="1"/>
    <x v="1"/>
    <n v="44924"/>
    <n v="49"/>
    <n v="27499"/>
    <n v="0.05"/>
    <n v="5"/>
    <n v="67372.55"/>
    <n v="1280078.45"/>
    <n v="1019316.096568355"/>
    <n v="260762.3534316452"/>
  </r>
  <r>
    <x v="767"/>
    <x v="1"/>
    <x v="3"/>
    <x v="0"/>
    <n v="91720"/>
    <n v="38"/>
    <n v="13279"/>
    <n v="0.05"/>
    <n v="5"/>
    <n v="25230.1"/>
    <n v="479371.9"/>
    <n v="299132.74950917391"/>
    <n v="180239.1504908262"/>
  </r>
  <r>
    <x v="768"/>
    <x v="1"/>
    <x v="0"/>
    <x v="2"/>
    <n v="50734"/>
    <n v="2"/>
    <n v="31575"/>
    <n v="0.15"/>
    <n v="3"/>
    <n v="9472.5"/>
    <n v="53677.5"/>
    <n v="36108.797536292419"/>
    <n v="17568.702463707581"/>
  </r>
  <r>
    <x v="769"/>
    <x v="2"/>
    <x v="2"/>
    <x v="1"/>
    <n v="78116"/>
    <n v="49"/>
    <n v="31197"/>
    <n v="0"/>
    <n v="3"/>
    <n v="0"/>
    <n v="1528653"/>
    <n v="1271997.976210064"/>
    <n v="256655.02378993621"/>
  </r>
  <r>
    <x v="770"/>
    <x v="2"/>
    <x v="3"/>
    <x v="5"/>
    <n v="50025"/>
    <n v="6"/>
    <n v="10295"/>
    <n v="0.1"/>
    <n v="3"/>
    <n v="6177"/>
    <n v="55593"/>
    <n v="42173.169799069983"/>
    <n v="13419.830200930021"/>
  </r>
  <r>
    <x v="771"/>
    <x v="2"/>
    <x v="0"/>
    <x v="3"/>
    <n v="12159"/>
    <n v="46"/>
    <n v="38960"/>
    <n v="0"/>
    <n v="4"/>
    <n v="0"/>
    <n v="1792160"/>
    <n v="1574216.7101316811"/>
    <n v="217943.28986831891"/>
  </r>
  <r>
    <x v="772"/>
    <x v="2"/>
    <x v="4"/>
    <x v="0"/>
    <n v="58940"/>
    <n v="38"/>
    <n v="4718"/>
    <n v="0"/>
    <n v="5"/>
    <n v="0"/>
    <n v="179284"/>
    <n v="130630.88024792141"/>
    <n v="48653.119752078594"/>
  </r>
  <r>
    <x v="773"/>
    <x v="1"/>
    <x v="0"/>
    <x v="5"/>
    <n v="89436"/>
    <n v="42"/>
    <n v="38071"/>
    <n v="0.05"/>
    <n v="4"/>
    <n v="79949.100000000006"/>
    <n v="1519032.9"/>
    <n v="1307801.820149455"/>
    <n v="211231.07985054451"/>
  </r>
  <r>
    <x v="774"/>
    <x v="3"/>
    <x v="2"/>
    <x v="5"/>
    <n v="86976"/>
    <n v="24"/>
    <n v="12172"/>
    <n v="0.15"/>
    <n v="3"/>
    <n v="43819.199999999997"/>
    <n v="248308.8"/>
    <n v="182429.15578010879"/>
    <n v="65879.644219891139"/>
  </r>
  <r>
    <x v="775"/>
    <x v="2"/>
    <x v="0"/>
    <x v="3"/>
    <n v="24678"/>
    <n v="18"/>
    <n v="31542"/>
    <n v="0"/>
    <n v="5"/>
    <n v="0"/>
    <n v="567756"/>
    <n v="507445.82571681729"/>
    <n v="60310.174283182663"/>
  </r>
  <r>
    <x v="776"/>
    <x v="2"/>
    <x v="1"/>
    <x v="0"/>
    <n v="71075"/>
    <n v="27"/>
    <n v="36450"/>
    <n v="0.2"/>
    <n v="2"/>
    <n v="196830"/>
    <n v="787320"/>
    <n v="699101.04154888901"/>
    <n v="88218.958451110986"/>
  </r>
  <r>
    <x v="777"/>
    <x v="1"/>
    <x v="2"/>
    <x v="5"/>
    <n v="57204"/>
    <n v="41"/>
    <n v="11509"/>
    <n v="0.2"/>
    <n v="1"/>
    <n v="94373.8"/>
    <n v="377495.2"/>
    <n v="263771.37794737011"/>
    <n v="113723.8220526299"/>
  </r>
  <r>
    <x v="778"/>
    <x v="1"/>
    <x v="4"/>
    <x v="5"/>
    <n v="22021"/>
    <n v="8"/>
    <n v="47596"/>
    <n v="0"/>
    <n v="1"/>
    <n v="0"/>
    <n v="380768"/>
    <n v="329660.21524117963"/>
    <n v="51107.784758820373"/>
  </r>
  <r>
    <x v="779"/>
    <x v="0"/>
    <x v="1"/>
    <x v="0"/>
    <n v="16772"/>
    <n v="28"/>
    <n v="20044"/>
    <n v="0.05"/>
    <n v="3"/>
    <n v="28061.599999999999"/>
    <n v="533170.4"/>
    <n v="455478.62863053218"/>
    <n v="77691.77136946778"/>
  </r>
  <r>
    <x v="780"/>
    <x v="2"/>
    <x v="0"/>
    <x v="4"/>
    <n v="77163"/>
    <n v="10"/>
    <n v="29881"/>
    <n v="0.05"/>
    <n v="4"/>
    <n v="14940.5"/>
    <n v="283869.5"/>
    <n v="188263.421714753"/>
    <n v="95606.078285247029"/>
  </r>
  <r>
    <x v="781"/>
    <x v="0"/>
    <x v="2"/>
    <x v="5"/>
    <n v="83755"/>
    <n v="17"/>
    <n v="25787"/>
    <n v="0.1"/>
    <n v="2"/>
    <n v="43837.9"/>
    <n v="394541.1"/>
    <n v="310617.12643334159"/>
    <n v="83923.973566658387"/>
  </r>
  <r>
    <x v="782"/>
    <x v="1"/>
    <x v="4"/>
    <x v="2"/>
    <n v="33464"/>
    <n v="29"/>
    <n v="3086"/>
    <n v="0.15"/>
    <n v="5"/>
    <n v="13424.1"/>
    <n v="76069.899999999994"/>
    <n v="47300.620943605689"/>
    <n v="28769.279056394309"/>
  </r>
  <r>
    <x v="783"/>
    <x v="1"/>
    <x v="1"/>
    <x v="0"/>
    <n v="61137"/>
    <n v="6"/>
    <n v="3148"/>
    <n v="0.05"/>
    <n v="4"/>
    <n v="944.40000000000009"/>
    <n v="17943.599999999999"/>
    <n v="15270.24074575842"/>
    <n v="2673.3592542415772"/>
  </r>
  <r>
    <x v="784"/>
    <x v="3"/>
    <x v="4"/>
    <x v="5"/>
    <n v="40232"/>
    <n v="14"/>
    <n v="40581"/>
    <n v="0.1"/>
    <n v="3"/>
    <n v="56813.4"/>
    <n v="511320.6"/>
    <n v="333567.03176416142"/>
    <n v="177753.56823583861"/>
  </r>
  <r>
    <x v="785"/>
    <x v="2"/>
    <x v="0"/>
    <x v="3"/>
    <n v="71497"/>
    <n v="22"/>
    <n v="18601"/>
    <n v="0.2"/>
    <n v="4"/>
    <n v="81844.400000000009"/>
    <n v="327377.59999999998"/>
    <n v="203381.50409531649"/>
    <n v="123996.09590468351"/>
  </r>
  <r>
    <x v="786"/>
    <x v="0"/>
    <x v="4"/>
    <x v="1"/>
    <n v="84024"/>
    <n v="6"/>
    <n v="45812"/>
    <n v="0.2"/>
    <n v="3"/>
    <n v="54974.400000000001"/>
    <n v="219897.60000000001"/>
    <n v="158340.72557494661"/>
    <n v="61556.874425053422"/>
  </r>
  <r>
    <x v="787"/>
    <x v="1"/>
    <x v="3"/>
    <x v="2"/>
    <n v="61448"/>
    <n v="26"/>
    <n v="22192"/>
    <n v="0.2"/>
    <n v="1"/>
    <n v="115398.39999999999"/>
    <n v="461593.59999999998"/>
    <n v="356847.23006277252"/>
    <n v="104746.3699372275"/>
  </r>
  <r>
    <x v="788"/>
    <x v="1"/>
    <x v="1"/>
    <x v="1"/>
    <n v="94517"/>
    <n v="39"/>
    <n v="7907"/>
    <n v="0"/>
    <n v="1"/>
    <n v="0"/>
    <n v="308373"/>
    <n v="264113.79217858572"/>
    <n v="44259.207821414282"/>
  </r>
  <r>
    <x v="789"/>
    <x v="0"/>
    <x v="4"/>
    <x v="1"/>
    <n v="10901"/>
    <n v="12"/>
    <n v="17754"/>
    <n v="0.15"/>
    <n v="4"/>
    <n v="31957.200000000001"/>
    <n v="181090.8"/>
    <n v="161582.38750222549"/>
    <n v="19508.41249777449"/>
  </r>
  <r>
    <x v="790"/>
    <x v="3"/>
    <x v="0"/>
    <x v="5"/>
    <n v="97980"/>
    <n v="35"/>
    <n v="15734"/>
    <n v="0.1"/>
    <n v="2"/>
    <n v="55069"/>
    <n v="495621"/>
    <n v="362719.11557171651"/>
    <n v="132901.88442828349"/>
  </r>
  <r>
    <x v="791"/>
    <x v="1"/>
    <x v="0"/>
    <x v="2"/>
    <n v="93597"/>
    <n v="14"/>
    <n v="22711"/>
    <n v="0.15"/>
    <n v="5"/>
    <n v="47693.1"/>
    <n v="270260.90000000002"/>
    <n v="167057.47194246901"/>
    <n v="103203.4280575311"/>
  </r>
  <r>
    <x v="792"/>
    <x v="2"/>
    <x v="4"/>
    <x v="2"/>
    <n v="12881"/>
    <n v="22"/>
    <n v="29980"/>
    <n v="0"/>
    <n v="3"/>
    <n v="0"/>
    <n v="659560"/>
    <n v="543962.00139069103"/>
    <n v="115597.998609309"/>
  </r>
  <r>
    <x v="793"/>
    <x v="1"/>
    <x v="0"/>
    <x v="4"/>
    <n v="39863"/>
    <n v="23"/>
    <n v="48280"/>
    <n v="0.1"/>
    <n v="5"/>
    <n v="111044"/>
    <n v="999396"/>
    <n v="769087.16747315344"/>
    <n v="230308.83252684661"/>
  </r>
  <r>
    <x v="794"/>
    <x v="2"/>
    <x v="2"/>
    <x v="1"/>
    <n v="15622"/>
    <n v="48"/>
    <n v="25346"/>
    <n v="0.1"/>
    <n v="1"/>
    <n v="121660.8"/>
    <n v="1094947.2"/>
    <n v="804093.53218250372"/>
    <n v="290853.66781749623"/>
  </r>
  <r>
    <x v="795"/>
    <x v="0"/>
    <x v="2"/>
    <x v="2"/>
    <n v="11378"/>
    <n v="7"/>
    <n v="43003"/>
    <n v="0.05"/>
    <n v="2"/>
    <n v="15051.05"/>
    <n v="285969.95"/>
    <n v="198114.45174142759"/>
    <n v="87855.49825857245"/>
  </r>
  <r>
    <x v="796"/>
    <x v="2"/>
    <x v="2"/>
    <x v="4"/>
    <n v="93168"/>
    <n v="40"/>
    <n v="46693"/>
    <n v="0.15"/>
    <n v="2"/>
    <n v="280158"/>
    <n v="1587562"/>
    <n v="1191813.8434981019"/>
    <n v="395748.15650189831"/>
  </r>
  <r>
    <x v="797"/>
    <x v="0"/>
    <x v="3"/>
    <x v="0"/>
    <n v="81186"/>
    <n v="25"/>
    <n v="48966"/>
    <n v="0.15"/>
    <n v="5"/>
    <n v="183622.5"/>
    <n v="1040527.5"/>
    <n v="730038.13263799902"/>
    <n v="310489.36736200098"/>
  </r>
  <r>
    <x v="798"/>
    <x v="2"/>
    <x v="4"/>
    <x v="4"/>
    <n v="55201"/>
    <n v="13"/>
    <n v="15821"/>
    <n v="0.05"/>
    <n v="1"/>
    <n v="10283.65"/>
    <n v="195389.35"/>
    <n v="161607.22703443281"/>
    <n v="33782.122965567192"/>
  </r>
  <r>
    <x v="799"/>
    <x v="0"/>
    <x v="3"/>
    <x v="3"/>
    <n v="69251"/>
    <n v="21"/>
    <n v="13146"/>
    <n v="0.2"/>
    <n v="5"/>
    <n v="55213.2"/>
    <n v="220852.8"/>
    <n v="168547.81373182501"/>
    <n v="52304.986268175009"/>
  </r>
  <r>
    <x v="800"/>
    <x v="2"/>
    <x v="0"/>
    <x v="5"/>
    <n v="82572"/>
    <n v="41"/>
    <n v="22617"/>
    <n v="0"/>
    <n v="4"/>
    <n v="0"/>
    <n v="927297"/>
    <n v="800307.69312893564"/>
    <n v="126989.3068710644"/>
  </r>
  <r>
    <x v="801"/>
    <x v="3"/>
    <x v="3"/>
    <x v="0"/>
    <n v="49255"/>
    <n v="10"/>
    <n v="5393"/>
    <n v="0.15"/>
    <n v="2"/>
    <n v="8089.5"/>
    <n v="45840.5"/>
    <n v="34979.197445846323"/>
    <n v="10861.302554153681"/>
  </r>
  <r>
    <x v="802"/>
    <x v="2"/>
    <x v="0"/>
    <x v="0"/>
    <n v="73212"/>
    <n v="9"/>
    <n v="9976"/>
    <n v="0.05"/>
    <n v="2"/>
    <n v="4489.2"/>
    <n v="85294.8"/>
    <n v="57273.643468003997"/>
    <n v="28021.156531995999"/>
  </r>
  <r>
    <x v="803"/>
    <x v="2"/>
    <x v="0"/>
    <x v="3"/>
    <n v="60210"/>
    <n v="15"/>
    <n v="17770"/>
    <n v="0.1"/>
    <n v="4"/>
    <n v="26655"/>
    <n v="239895"/>
    <n v="205188.80612642411"/>
    <n v="34706.193873575889"/>
  </r>
  <r>
    <x v="804"/>
    <x v="3"/>
    <x v="1"/>
    <x v="4"/>
    <n v="32499"/>
    <n v="2"/>
    <n v="22202"/>
    <n v="0.05"/>
    <n v="1"/>
    <n v="2220.1999999999998"/>
    <n v="42183.8"/>
    <n v="32361.965024255998"/>
    <n v="9821.8349757440046"/>
  </r>
  <r>
    <x v="805"/>
    <x v="1"/>
    <x v="2"/>
    <x v="5"/>
    <n v="61628"/>
    <n v="25"/>
    <n v="4882"/>
    <n v="0.2"/>
    <n v="2"/>
    <n v="24410"/>
    <n v="97640"/>
    <n v="64642.787689301193"/>
    <n v="32997.212310698807"/>
  </r>
  <r>
    <x v="806"/>
    <x v="1"/>
    <x v="0"/>
    <x v="4"/>
    <n v="71360"/>
    <n v="13"/>
    <n v="2285"/>
    <n v="0"/>
    <n v="3"/>
    <n v="0"/>
    <n v="29705"/>
    <n v="23379.389848424871"/>
    <n v="6325.6101515751252"/>
  </r>
  <r>
    <x v="807"/>
    <x v="2"/>
    <x v="1"/>
    <x v="2"/>
    <n v="14603"/>
    <n v="34"/>
    <n v="46298"/>
    <n v="0.2"/>
    <n v="3"/>
    <n v="314826.40000000002"/>
    <n v="1259305.6000000001"/>
    <n v="890725.77759176493"/>
    <n v="368579.82240823522"/>
  </r>
  <r>
    <x v="808"/>
    <x v="3"/>
    <x v="2"/>
    <x v="4"/>
    <n v="95473"/>
    <n v="34"/>
    <n v="12235"/>
    <n v="0.1"/>
    <n v="1"/>
    <n v="41599"/>
    <n v="374391"/>
    <n v="319475.95847749157"/>
    <n v="54915.041522508371"/>
  </r>
  <r>
    <x v="809"/>
    <x v="2"/>
    <x v="0"/>
    <x v="0"/>
    <n v="22632"/>
    <n v="35"/>
    <n v="30677"/>
    <n v="0.1"/>
    <n v="4"/>
    <n v="107369.5"/>
    <n v="966325.5"/>
    <n v="711205.8289792469"/>
    <n v="255119.6710207531"/>
  </r>
  <r>
    <x v="810"/>
    <x v="0"/>
    <x v="0"/>
    <x v="5"/>
    <n v="40607"/>
    <n v="38"/>
    <n v="31212"/>
    <n v="0.1"/>
    <n v="5"/>
    <n v="118605.6"/>
    <n v="1067450.3999999999"/>
    <n v="873102.2754864915"/>
    <n v="194348.1245135084"/>
  </r>
  <r>
    <x v="811"/>
    <x v="0"/>
    <x v="3"/>
    <x v="4"/>
    <n v="75756"/>
    <n v="3"/>
    <n v="17179"/>
    <n v="0.1"/>
    <n v="1"/>
    <n v="5153.7000000000007"/>
    <n v="46383.3"/>
    <n v="29159.365373896169"/>
    <n v="17223.934626103841"/>
  </r>
  <r>
    <x v="812"/>
    <x v="2"/>
    <x v="3"/>
    <x v="5"/>
    <n v="56994"/>
    <n v="42"/>
    <n v="43513"/>
    <n v="0.05"/>
    <n v="5"/>
    <n v="91377.3"/>
    <n v="1736168.7"/>
    <n v="1247970.7423464281"/>
    <n v="488197.95765357162"/>
  </r>
  <r>
    <x v="813"/>
    <x v="1"/>
    <x v="2"/>
    <x v="5"/>
    <n v="73382"/>
    <n v="6"/>
    <n v="35865"/>
    <n v="0.1"/>
    <n v="1"/>
    <n v="21519"/>
    <n v="193671"/>
    <n v="173330.20567291381"/>
    <n v="20340.79432708622"/>
  </r>
  <r>
    <x v="814"/>
    <x v="1"/>
    <x v="0"/>
    <x v="2"/>
    <n v="80354"/>
    <n v="48"/>
    <n v="17564"/>
    <n v="0.1"/>
    <n v="3"/>
    <n v="84307.200000000012"/>
    <n v="758764.8"/>
    <n v="639288.24295592122"/>
    <n v="119476.5570440788"/>
  </r>
  <r>
    <x v="815"/>
    <x v="2"/>
    <x v="4"/>
    <x v="2"/>
    <n v="66344"/>
    <n v="49"/>
    <n v="31063"/>
    <n v="0.05"/>
    <n v="4"/>
    <n v="76104.350000000006"/>
    <n v="1445982.65"/>
    <n v="936971.07757489732"/>
    <n v="509011.57242510258"/>
  </r>
  <r>
    <x v="816"/>
    <x v="2"/>
    <x v="3"/>
    <x v="0"/>
    <n v="63775"/>
    <n v="19"/>
    <n v="33592"/>
    <n v="0.1"/>
    <n v="3"/>
    <n v="63824.800000000003"/>
    <n v="574423.19999999995"/>
    <n v="392520.15424370492"/>
    <n v="181903.045756295"/>
  </r>
  <r>
    <x v="817"/>
    <x v="0"/>
    <x v="2"/>
    <x v="3"/>
    <n v="17349"/>
    <n v="3"/>
    <n v="48428"/>
    <n v="0.2"/>
    <n v="4"/>
    <n v="29056.799999999999"/>
    <n v="116227.2"/>
    <n v="81236.390393733018"/>
    <n v="34990.809606266979"/>
  </r>
  <r>
    <x v="818"/>
    <x v="1"/>
    <x v="0"/>
    <x v="5"/>
    <n v="81154"/>
    <n v="18"/>
    <n v="27367"/>
    <n v="0.2"/>
    <n v="5"/>
    <n v="98521.200000000012"/>
    <n v="394084.8"/>
    <n v="313340.63455042068"/>
    <n v="80744.165449579305"/>
  </r>
  <r>
    <x v="819"/>
    <x v="2"/>
    <x v="0"/>
    <x v="3"/>
    <n v="37464"/>
    <n v="39"/>
    <n v="45882"/>
    <n v="0.15"/>
    <n v="1"/>
    <n v="268409.7"/>
    <n v="1520988.3"/>
    <n v="1258007.0317035241"/>
    <n v="262981.26829647599"/>
  </r>
  <r>
    <x v="820"/>
    <x v="0"/>
    <x v="4"/>
    <x v="0"/>
    <n v="52624"/>
    <n v="9"/>
    <n v="34254"/>
    <n v="0.2"/>
    <n v="2"/>
    <n v="61657.2"/>
    <n v="246628.8"/>
    <n v="203433.73442950929"/>
    <n v="43195.065570490733"/>
  </r>
  <r>
    <x v="821"/>
    <x v="1"/>
    <x v="2"/>
    <x v="5"/>
    <n v="47344"/>
    <n v="12"/>
    <n v="20002"/>
    <n v="0"/>
    <n v="2"/>
    <n v="0"/>
    <n v="240024"/>
    <n v="180729.0031472664"/>
    <n v="59294.996852733602"/>
  </r>
  <r>
    <x v="822"/>
    <x v="3"/>
    <x v="0"/>
    <x v="5"/>
    <n v="93791"/>
    <n v="5"/>
    <n v="1260"/>
    <n v="0"/>
    <n v="4"/>
    <n v="0"/>
    <n v="6300"/>
    <n v="5312.450816514106"/>
    <n v="987.54918348589399"/>
  </r>
  <r>
    <x v="823"/>
    <x v="0"/>
    <x v="3"/>
    <x v="1"/>
    <n v="34299"/>
    <n v="3"/>
    <n v="24642"/>
    <n v="0"/>
    <n v="4"/>
    <n v="0"/>
    <n v="73926"/>
    <n v="54049.030303778723"/>
    <n v="19876.96969622128"/>
  </r>
  <r>
    <x v="824"/>
    <x v="1"/>
    <x v="4"/>
    <x v="3"/>
    <n v="57975"/>
    <n v="11"/>
    <n v="45153"/>
    <n v="0.05"/>
    <n v="3"/>
    <n v="24834.15"/>
    <n v="471848.85"/>
    <n v="300645.18068161822"/>
    <n v="171203.66931838181"/>
  </r>
  <r>
    <x v="825"/>
    <x v="1"/>
    <x v="2"/>
    <x v="4"/>
    <n v="11462"/>
    <n v="30"/>
    <n v="42496"/>
    <n v="0.2"/>
    <n v="2"/>
    <n v="254976"/>
    <n v="1019904"/>
    <n v="784645.34762102726"/>
    <n v="235258.65237897271"/>
  </r>
  <r>
    <x v="826"/>
    <x v="0"/>
    <x v="4"/>
    <x v="2"/>
    <n v="91441"/>
    <n v="4"/>
    <n v="17790"/>
    <n v="0"/>
    <n v="3"/>
    <n v="0"/>
    <n v="71160"/>
    <n v="63025.729958464428"/>
    <n v="8134.2700415355721"/>
  </r>
  <r>
    <x v="827"/>
    <x v="3"/>
    <x v="3"/>
    <x v="4"/>
    <n v="91788"/>
    <n v="5"/>
    <n v="5999"/>
    <n v="0.15"/>
    <n v="5"/>
    <n v="4499.25"/>
    <n v="25495.75"/>
    <n v="21362.84036624719"/>
    <n v="4132.9096337528144"/>
  </r>
  <r>
    <x v="828"/>
    <x v="0"/>
    <x v="2"/>
    <x v="3"/>
    <n v="50581"/>
    <n v="1"/>
    <n v="864"/>
    <n v="0.05"/>
    <n v="2"/>
    <n v="43.2"/>
    <n v="820.8"/>
    <n v="634.97924748773778"/>
    <n v="185.8207525122622"/>
  </r>
  <r>
    <x v="829"/>
    <x v="1"/>
    <x v="4"/>
    <x v="2"/>
    <n v="81289"/>
    <n v="27"/>
    <n v="20297"/>
    <n v="0.15"/>
    <n v="5"/>
    <n v="82202.849999999991"/>
    <n v="465816.15"/>
    <n v="369877.44675060723"/>
    <n v="95938.703249392798"/>
  </r>
  <r>
    <x v="830"/>
    <x v="2"/>
    <x v="1"/>
    <x v="4"/>
    <n v="24175"/>
    <n v="28"/>
    <n v="41295"/>
    <n v="0.2"/>
    <n v="1"/>
    <n v="231252"/>
    <n v="925008"/>
    <n v="813237.99585123628"/>
    <n v="111770.00414876371"/>
  </r>
  <r>
    <x v="831"/>
    <x v="2"/>
    <x v="3"/>
    <x v="1"/>
    <n v="16191"/>
    <n v="29"/>
    <n v="33035"/>
    <n v="0.1"/>
    <n v="3"/>
    <n v="95801.5"/>
    <n v="862213.5"/>
    <n v="628124.98199686431"/>
    <n v="234088.51800313569"/>
  </r>
  <r>
    <x v="832"/>
    <x v="0"/>
    <x v="3"/>
    <x v="2"/>
    <n v="93434"/>
    <n v="18"/>
    <n v="46800"/>
    <n v="0.15"/>
    <n v="4"/>
    <n v="126360"/>
    <n v="716040"/>
    <n v="500811.4377745458"/>
    <n v="215228.5622254542"/>
  </r>
  <r>
    <x v="833"/>
    <x v="1"/>
    <x v="3"/>
    <x v="5"/>
    <n v="94518"/>
    <n v="12"/>
    <n v="47676"/>
    <n v="0.1"/>
    <n v="2"/>
    <n v="57211.199999999997"/>
    <n v="514900.8"/>
    <n v="459895.21908359497"/>
    <n v="55005.580916405022"/>
  </r>
  <r>
    <x v="834"/>
    <x v="2"/>
    <x v="1"/>
    <x v="4"/>
    <n v="90158"/>
    <n v="13"/>
    <n v="16605"/>
    <n v="0.05"/>
    <n v="3"/>
    <n v="10793.25"/>
    <n v="205071.75"/>
    <n v="176163.38832433429"/>
    <n v="28908.361675665681"/>
  </r>
  <r>
    <x v="835"/>
    <x v="1"/>
    <x v="1"/>
    <x v="2"/>
    <n v="76537"/>
    <n v="41"/>
    <n v="8439"/>
    <n v="0.15"/>
    <n v="4"/>
    <n v="51899.85"/>
    <n v="294099.15000000002"/>
    <n v="204961.54309478519"/>
    <n v="89137.606905214809"/>
  </r>
  <r>
    <x v="836"/>
    <x v="0"/>
    <x v="0"/>
    <x v="1"/>
    <n v="57645"/>
    <n v="2"/>
    <n v="14436"/>
    <n v="0.15"/>
    <n v="1"/>
    <n v="4330.8"/>
    <n v="24541.200000000001"/>
    <n v="18139.239718786161"/>
    <n v="6401.9602812138364"/>
  </r>
  <r>
    <x v="837"/>
    <x v="2"/>
    <x v="4"/>
    <x v="2"/>
    <n v="33283"/>
    <n v="37"/>
    <n v="42529"/>
    <n v="0.05"/>
    <n v="2"/>
    <n v="78678.650000000009"/>
    <n v="1494894.35"/>
    <n v="1083085.994958699"/>
    <n v="411808.35504130111"/>
  </r>
  <r>
    <x v="838"/>
    <x v="1"/>
    <x v="0"/>
    <x v="2"/>
    <n v="96971"/>
    <n v="45"/>
    <n v="16363"/>
    <n v="0.05"/>
    <n v="5"/>
    <n v="36816.75"/>
    <n v="699518.25"/>
    <n v="450999.49446804117"/>
    <n v="248518.7555319588"/>
  </r>
  <r>
    <x v="839"/>
    <x v="2"/>
    <x v="4"/>
    <x v="1"/>
    <n v="69123"/>
    <n v="16"/>
    <n v="13061"/>
    <n v="0"/>
    <n v="1"/>
    <n v="0"/>
    <n v="208976"/>
    <n v="185433.97530395989"/>
    <n v="23542.024696040109"/>
  </r>
  <r>
    <x v="840"/>
    <x v="0"/>
    <x v="1"/>
    <x v="4"/>
    <n v="40024"/>
    <n v="48"/>
    <n v="10947"/>
    <n v="0.2"/>
    <n v="4"/>
    <n v="105091.2"/>
    <n v="420364.79999999999"/>
    <n v="303206.49428616231"/>
    <n v="117158.3057138377"/>
  </r>
  <r>
    <x v="841"/>
    <x v="1"/>
    <x v="1"/>
    <x v="0"/>
    <n v="59630"/>
    <n v="24"/>
    <n v="31124"/>
    <n v="0.15"/>
    <n v="2"/>
    <n v="112046.39999999999"/>
    <n v="634929.6"/>
    <n v="547689.46329229616"/>
    <n v="87240.136707703816"/>
  </r>
  <r>
    <x v="842"/>
    <x v="2"/>
    <x v="0"/>
    <x v="4"/>
    <n v="40734"/>
    <n v="35"/>
    <n v="47440"/>
    <n v="0.15"/>
    <n v="2"/>
    <n v="249060"/>
    <n v="1411340"/>
    <n v="926977.80551244901"/>
    <n v="484362.19448755099"/>
  </r>
  <r>
    <x v="843"/>
    <x v="0"/>
    <x v="2"/>
    <x v="3"/>
    <n v="10515"/>
    <n v="22"/>
    <n v="45146"/>
    <n v="0.05"/>
    <n v="1"/>
    <n v="49660.600000000013"/>
    <n v="943551.4"/>
    <n v="721214.12111876509"/>
    <n v="222337.2788812349"/>
  </r>
  <r>
    <x v="844"/>
    <x v="2"/>
    <x v="0"/>
    <x v="1"/>
    <n v="76727"/>
    <n v="36"/>
    <n v="12911"/>
    <n v="0.05"/>
    <n v="2"/>
    <n v="23239.8"/>
    <n v="441556.2"/>
    <n v="268107.80944866268"/>
    <n v="173448.3905513373"/>
  </r>
  <r>
    <x v="845"/>
    <x v="2"/>
    <x v="4"/>
    <x v="4"/>
    <n v="56216"/>
    <n v="11"/>
    <n v="19965"/>
    <n v="0.2"/>
    <n v="4"/>
    <n v="43923"/>
    <n v="175692"/>
    <n v="145695.42757416691"/>
    <n v="29996.57242583315"/>
  </r>
  <r>
    <x v="846"/>
    <x v="3"/>
    <x v="0"/>
    <x v="2"/>
    <n v="81833"/>
    <n v="46"/>
    <n v="38716"/>
    <n v="0.05"/>
    <n v="1"/>
    <n v="89046.8"/>
    <n v="1691889.2"/>
    <n v="1309986.105171833"/>
    <n v="381903.09482816682"/>
  </r>
  <r>
    <x v="847"/>
    <x v="3"/>
    <x v="3"/>
    <x v="1"/>
    <n v="68755"/>
    <n v="29"/>
    <n v="20142"/>
    <n v="0.1"/>
    <n v="5"/>
    <n v="58411.8"/>
    <n v="525706.19999999995"/>
    <n v="414086.61680563987"/>
    <n v="111619.58319436009"/>
  </r>
  <r>
    <x v="848"/>
    <x v="0"/>
    <x v="4"/>
    <x v="5"/>
    <n v="37856"/>
    <n v="35"/>
    <n v="31762"/>
    <n v="0.1"/>
    <n v="1"/>
    <n v="111167"/>
    <n v="1000503"/>
    <n v="615825.86944757344"/>
    <n v="384677.13055242662"/>
  </r>
  <r>
    <x v="849"/>
    <x v="3"/>
    <x v="4"/>
    <x v="4"/>
    <n v="83870"/>
    <n v="48"/>
    <n v="30863"/>
    <n v="0.1"/>
    <n v="1"/>
    <n v="148142.39999999999"/>
    <n v="1333281.6000000001"/>
    <n v="884381.01676856133"/>
    <n v="448900.58323143882"/>
  </r>
  <r>
    <x v="850"/>
    <x v="0"/>
    <x v="2"/>
    <x v="1"/>
    <n v="34162"/>
    <n v="15"/>
    <n v="2607"/>
    <n v="0.1"/>
    <n v="5"/>
    <n v="3910.5"/>
    <n v="35194.5"/>
    <n v="21901.511366114421"/>
    <n v="13292.988633885579"/>
  </r>
  <r>
    <x v="851"/>
    <x v="3"/>
    <x v="1"/>
    <x v="4"/>
    <n v="16008"/>
    <n v="31"/>
    <n v="8428"/>
    <n v="0.2"/>
    <n v="4"/>
    <n v="52253.600000000013"/>
    <n v="209014.39999999999"/>
    <n v="143524.81571074319"/>
    <n v="65489.584289256753"/>
  </r>
  <r>
    <x v="852"/>
    <x v="2"/>
    <x v="4"/>
    <x v="1"/>
    <n v="17987"/>
    <n v="42"/>
    <n v="48502"/>
    <n v="0.15"/>
    <n v="3"/>
    <n v="305562.59999999998"/>
    <n v="1731521.4"/>
    <n v="1364840.060698923"/>
    <n v="366681.33930107718"/>
  </r>
  <r>
    <x v="853"/>
    <x v="0"/>
    <x v="1"/>
    <x v="2"/>
    <n v="72532"/>
    <n v="41"/>
    <n v="19817"/>
    <n v="0.1"/>
    <n v="3"/>
    <n v="81249.700000000012"/>
    <n v="731247.3"/>
    <n v="562954.97169897694"/>
    <n v="168292.32830102311"/>
  </r>
  <r>
    <x v="854"/>
    <x v="0"/>
    <x v="0"/>
    <x v="5"/>
    <n v="13332"/>
    <n v="43"/>
    <n v="49578"/>
    <n v="0.05"/>
    <n v="5"/>
    <n v="106592.7"/>
    <n v="2025261.3"/>
    <n v="1587085.783054651"/>
    <n v="438175.51694534929"/>
  </r>
  <r>
    <x v="855"/>
    <x v="2"/>
    <x v="3"/>
    <x v="5"/>
    <n v="76323"/>
    <n v="16"/>
    <n v="25517"/>
    <n v="0.1"/>
    <n v="4"/>
    <n v="40827.199999999997"/>
    <n v="367444.8"/>
    <n v="281012.73706835881"/>
    <n v="86432.06293164118"/>
  </r>
  <r>
    <x v="856"/>
    <x v="0"/>
    <x v="2"/>
    <x v="3"/>
    <n v="48990"/>
    <n v="10"/>
    <n v="14028"/>
    <n v="0.2"/>
    <n v="2"/>
    <n v="28056"/>
    <n v="112224"/>
    <n v="76526.515069778281"/>
    <n v="35697.484930221719"/>
  </r>
  <r>
    <x v="857"/>
    <x v="0"/>
    <x v="1"/>
    <x v="1"/>
    <n v="19873"/>
    <n v="49"/>
    <n v="13813"/>
    <n v="0.05"/>
    <n v="5"/>
    <n v="33841.85"/>
    <n v="642995.15"/>
    <n v="432962.23047933099"/>
    <n v="210032.91952066901"/>
  </r>
  <r>
    <x v="858"/>
    <x v="3"/>
    <x v="4"/>
    <x v="4"/>
    <n v="92542"/>
    <n v="32"/>
    <n v="2059"/>
    <n v="0.1"/>
    <n v="3"/>
    <n v="6588.8"/>
    <n v="59299.199999999997"/>
    <n v="38017.77887579173"/>
    <n v="21281.421124208271"/>
  </r>
  <r>
    <x v="859"/>
    <x v="0"/>
    <x v="1"/>
    <x v="5"/>
    <n v="95761"/>
    <n v="2"/>
    <n v="15667"/>
    <n v="0.15"/>
    <n v="4"/>
    <n v="4700.0999999999995"/>
    <n v="26633.9"/>
    <n v="22764.560632527631"/>
    <n v="3869.339367472367"/>
  </r>
  <r>
    <x v="860"/>
    <x v="1"/>
    <x v="4"/>
    <x v="5"/>
    <n v="46444"/>
    <n v="24"/>
    <n v="15843"/>
    <n v="0.05"/>
    <n v="1"/>
    <n v="19011.599999999999"/>
    <n v="361220.4"/>
    <n v="283537.71614520362"/>
    <n v="77682.683854796458"/>
  </r>
  <r>
    <x v="861"/>
    <x v="2"/>
    <x v="1"/>
    <x v="0"/>
    <n v="45340"/>
    <n v="23"/>
    <n v="39098"/>
    <n v="0.05"/>
    <n v="4"/>
    <n v="44962.7"/>
    <n v="854291.3"/>
    <n v="560375.20060092292"/>
    <n v="293916.09939907712"/>
  </r>
  <r>
    <x v="862"/>
    <x v="3"/>
    <x v="4"/>
    <x v="0"/>
    <n v="15033"/>
    <n v="2"/>
    <n v="8023"/>
    <n v="0.15"/>
    <n v="4"/>
    <n v="2406.9"/>
    <n v="13639.1"/>
    <n v="8908.5529356959614"/>
    <n v="4730.5470643040389"/>
  </r>
  <r>
    <x v="863"/>
    <x v="3"/>
    <x v="0"/>
    <x v="5"/>
    <n v="83324"/>
    <n v="38"/>
    <n v="28939"/>
    <n v="0.05"/>
    <n v="3"/>
    <n v="54984.100000000013"/>
    <n v="1044697.9"/>
    <n v="900436.27786187758"/>
    <n v="144261.62213812239"/>
  </r>
  <r>
    <x v="864"/>
    <x v="1"/>
    <x v="4"/>
    <x v="1"/>
    <n v="25689"/>
    <n v="31"/>
    <n v="16024"/>
    <n v="0.1"/>
    <n v="3"/>
    <n v="49674.400000000001"/>
    <n v="447069.6"/>
    <n v="367857.4770510965"/>
    <n v="79212.122948903474"/>
  </r>
  <r>
    <x v="865"/>
    <x v="2"/>
    <x v="4"/>
    <x v="3"/>
    <n v="97134"/>
    <n v="40"/>
    <n v="13785"/>
    <n v="0.05"/>
    <n v="2"/>
    <n v="27570"/>
    <n v="523830"/>
    <n v="417921.90600804921"/>
    <n v="105908.09399195079"/>
  </r>
  <r>
    <x v="866"/>
    <x v="2"/>
    <x v="3"/>
    <x v="5"/>
    <n v="10066"/>
    <n v="26"/>
    <n v="11473"/>
    <n v="0.1"/>
    <n v="2"/>
    <n v="29829.8"/>
    <n v="268468.2"/>
    <n v="193849.9423787047"/>
    <n v="74618.257621295343"/>
  </r>
  <r>
    <x v="867"/>
    <x v="3"/>
    <x v="4"/>
    <x v="2"/>
    <n v="55246"/>
    <n v="29"/>
    <n v="23194"/>
    <n v="0.15"/>
    <n v="5"/>
    <n v="100893.9"/>
    <n v="571732.1"/>
    <n v="387973.21185409249"/>
    <n v="183758.88814590749"/>
  </r>
  <r>
    <x v="868"/>
    <x v="0"/>
    <x v="3"/>
    <x v="4"/>
    <n v="17533"/>
    <n v="3"/>
    <n v="36274"/>
    <n v="0"/>
    <n v="1"/>
    <n v="0"/>
    <n v="108822"/>
    <n v="97268.937283039108"/>
    <n v="11553.062716960891"/>
  </r>
  <r>
    <x v="869"/>
    <x v="3"/>
    <x v="2"/>
    <x v="3"/>
    <n v="90639"/>
    <n v="14"/>
    <n v="4802"/>
    <n v="0.15"/>
    <n v="2"/>
    <n v="10084.200000000001"/>
    <n v="57143.8"/>
    <n v="47953.469648156373"/>
    <n v="9190.3303518436369"/>
  </r>
  <r>
    <x v="870"/>
    <x v="2"/>
    <x v="3"/>
    <x v="2"/>
    <n v="80152"/>
    <n v="25"/>
    <n v="22891"/>
    <n v="0.1"/>
    <n v="3"/>
    <n v="57227.5"/>
    <n v="515047.5"/>
    <n v="355657.6903284844"/>
    <n v="159389.8096715156"/>
  </r>
  <r>
    <x v="871"/>
    <x v="1"/>
    <x v="0"/>
    <x v="3"/>
    <n v="69658"/>
    <n v="48"/>
    <n v="5111"/>
    <n v="0.2"/>
    <n v="4"/>
    <n v="49065.600000000013"/>
    <n v="196262.39999999999"/>
    <n v="167660.97032193851"/>
    <n v="28601.429678061479"/>
  </r>
  <r>
    <x v="872"/>
    <x v="3"/>
    <x v="3"/>
    <x v="2"/>
    <n v="48498"/>
    <n v="1"/>
    <n v="9872"/>
    <n v="0.15"/>
    <n v="5"/>
    <n v="1480.8"/>
    <n v="8391.2000000000007"/>
    <n v="6945.2249301646552"/>
    <n v="1445.975069835345"/>
  </r>
  <r>
    <x v="873"/>
    <x v="2"/>
    <x v="2"/>
    <x v="4"/>
    <n v="21772"/>
    <n v="3"/>
    <n v="24812"/>
    <n v="0.2"/>
    <n v="2"/>
    <n v="14887.2"/>
    <n v="59548.800000000003"/>
    <n v="41036.517074572483"/>
    <n v="18512.28292542752"/>
  </r>
  <r>
    <x v="874"/>
    <x v="3"/>
    <x v="0"/>
    <x v="4"/>
    <n v="99385"/>
    <n v="26"/>
    <n v="14580"/>
    <n v="0.2"/>
    <n v="4"/>
    <n v="75816"/>
    <n v="303264"/>
    <n v="220765.83743662099"/>
    <n v="82498.16256337901"/>
  </r>
  <r>
    <x v="875"/>
    <x v="0"/>
    <x v="1"/>
    <x v="0"/>
    <n v="59036"/>
    <n v="18"/>
    <n v="15582"/>
    <n v="0.1"/>
    <n v="4"/>
    <n v="28047.599999999999"/>
    <n v="252428.4"/>
    <n v="165539.01920836329"/>
    <n v="86889.380791636708"/>
  </r>
  <r>
    <x v="876"/>
    <x v="3"/>
    <x v="1"/>
    <x v="1"/>
    <n v="68531"/>
    <n v="9"/>
    <n v="47909"/>
    <n v="0.1"/>
    <n v="2"/>
    <n v="43118.100000000013"/>
    <n v="388062.9"/>
    <n v="245766.3400852374"/>
    <n v="142296.55991476259"/>
  </r>
  <r>
    <x v="877"/>
    <x v="3"/>
    <x v="3"/>
    <x v="2"/>
    <n v="22940"/>
    <n v="38"/>
    <n v="43361"/>
    <n v="0"/>
    <n v="1"/>
    <n v="0"/>
    <n v="1647718"/>
    <n v="1345903.2033679681"/>
    <n v="301814.79663203208"/>
  </r>
  <r>
    <x v="878"/>
    <x v="2"/>
    <x v="3"/>
    <x v="0"/>
    <n v="26932"/>
    <n v="23"/>
    <n v="31177"/>
    <n v="0.05"/>
    <n v="1"/>
    <n v="35853.550000000003"/>
    <n v="681217.45"/>
    <n v="463400.5935934094"/>
    <n v="217816.85640659061"/>
  </r>
  <r>
    <x v="879"/>
    <x v="2"/>
    <x v="2"/>
    <x v="2"/>
    <n v="66827"/>
    <n v="21"/>
    <n v="21374"/>
    <n v="0.15"/>
    <n v="5"/>
    <n v="67328.099999999991"/>
    <n v="381525.9"/>
    <n v="322777.70627093059"/>
    <n v="58748.193729069433"/>
  </r>
  <r>
    <x v="880"/>
    <x v="2"/>
    <x v="2"/>
    <x v="0"/>
    <n v="71431"/>
    <n v="1"/>
    <n v="8878"/>
    <n v="0.1"/>
    <n v="1"/>
    <n v="887.80000000000007"/>
    <n v="7990.2"/>
    <n v="7180.6538180227708"/>
    <n v="809.54618197722903"/>
  </r>
  <r>
    <x v="881"/>
    <x v="3"/>
    <x v="4"/>
    <x v="4"/>
    <n v="34648"/>
    <n v="21"/>
    <n v="2097"/>
    <n v="0.15"/>
    <n v="5"/>
    <n v="6605.55"/>
    <n v="37431.449999999997"/>
    <n v="23319.26722023508"/>
    <n v="14112.182779764909"/>
  </r>
  <r>
    <x v="882"/>
    <x v="0"/>
    <x v="2"/>
    <x v="3"/>
    <n v="42966"/>
    <n v="27"/>
    <n v="12100"/>
    <n v="0.2"/>
    <n v="3"/>
    <n v="65340"/>
    <n v="261360"/>
    <n v="193905.73808756279"/>
    <n v="67454.261912437243"/>
  </r>
  <r>
    <x v="883"/>
    <x v="1"/>
    <x v="4"/>
    <x v="0"/>
    <n v="37777"/>
    <n v="42"/>
    <n v="4247"/>
    <n v="0.05"/>
    <n v="2"/>
    <n v="8918.7000000000007"/>
    <n v="169455.3"/>
    <n v="142447.30548203399"/>
    <n v="27007.994517965999"/>
  </r>
  <r>
    <x v="884"/>
    <x v="1"/>
    <x v="0"/>
    <x v="2"/>
    <n v="42567"/>
    <n v="6"/>
    <n v="14379"/>
    <n v="0"/>
    <n v="4"/>
    <n v="0"/>
    <n v="86274"/>
    <n v="72184.184894459511"/>
    <n v="14089.815105540491"/>
  </r>
  <r>
    <x v="885"/>
    <x v="2"/>
    <x v="3"/>
    <x v="2"/>
    <n v="27174"/>
    <n v="44"/>
    <n v="13517"/>
    <n v="0.15"/>
    <n v="5"/>
    <n v="89212.2"/>
    <n v="505535.8"/>
    <n v="418583.2114303718"/>
    <n v="86952.588569628191"/>
  </r>
  <r>
    <x v="886"/>
    <x v="2"/>
    <x v="0"/>
    <x v="1"/>
    <n v="52598"/>
    <n v="36"/>
    <n v="25315"/>
    <n v="0.05"/>
    <n v="1"/>
    <n v="45567"/>
    <n v="865773"/>
    <n v="610108.91763634235"/>
    <n v="255664.08236365771"/>
  </r>
  <r>
    <x v="887"/>
    <x v="3"/>
    <x v="2"/>
    <x v="4"/>
    <n v="69199"/>
    <n v="28"/>
    <n v="19464"/>
    <n v="0"/>
    <n v="5"/>
    <n v="0"/>
    <n v="544992"/>
    <n v="401199.11805669242"/>
    <n v="143792.88194330761"/>
  </r>
  <r>
    <x v="888"/>
    <x v="1"/>
    <x v="0"/>
    <x v="2"/>
    <n v="23798"/>
    <n v="45"/>
    <n v="29312"/>
    <n v="0.15"/>
    <n v="5"/>
    <n v="197856"/>
    <n v="1121184"/>
    <n v="872831.10082726169"/>
    <n v="248352.89917273831"/>
  </r>
  <r>
    <x v="889"/>
    <x v="2"/>
    <x v="0"/>
    <x v="5"/>
    <n v="75364"/>
    <n v="17"/>
    <n v="40700"/>
    <n v="0.05"/>
    <n v="1"/>
    <n v="34595"/>
    <n v="657305"/>
    <n v="586435.80458568595"/>
    <n v="70869.195414314047"/>
  </r>
  <r>
    <x v="890"/>
    <x v="0"/>
    <x v="0"/>
    <x v="3"/>
    <n v="27558"/>
    <n v="40"/>
    <n v="25214"/>
    <n v="0.1"/>
    <n v="1"/>
    <n v="100856"/>
    <n v="907704"/>
    <n v="633817.19040598616"/>
    <n v="273886.80959401379"/>
  </r>
  <r>
    <x v="891"/>
    <x v="0"/>
    <x v="2"/>
    <x v="0"/>
    <n v="71084"/>
    <n v="3"/>
    <n v="19390"/>
    <n v="0.15"/>
    <n v="2"/>
    <n v="8725.5"/>
    <n v="49444.5"/>
    <n v="43360.016386864852"/>
    <n v="6084.4836131351476"/>
  </r>
  <r>
    <x v="892"/>
    <x v="2"/>
    <x v="0"/>
    <x v="1"/>
    <n v="54237"/>
    <n v="12"/>
    <n v="5225"/>
    <n v="0.05"/>
    <n v="4"/>
    <n v="3135"/>
    <n v="59565"/>
    <n v="40552.273449426328"/>
    <n v="19012.726550573669"/>
  </r>
  <r>
    <x v="893"/>
    <x v="2"/>
    <x v="4"/>
    <x v="3"/>
    <n v="75497"/>
    <n v="39"/>
    <n v="43705"/>
    <n v="0"/>
    <n v="2"/>
    <n v="0"/>
    <n v="1704495"/>
    <n v="1528458.744308281"/>
    <n v="176036.2556917195"/>
  </r>
  <r>
    <x v="894"/>
    <x v="1"/>
    <x v="2"/>
    <x v="4"/>
    <n v="10178"/>
    <n v="12"/>
    <n v="21184"/>
    <n v="0.05"/>
    <n v="2"/>
    <n v="12710.4"/>
    <n v="241497.60000000001"/>
    <n v="193458.6815208045"/>
    <n v="48038.918479195483"/>
  </r>
  <r>
    <x v="895"/>
    <x v="1"/>
    <x v="0"/>
    <x v="1"/>
    <n v="96006"/>
    <n v="2"/>
    <n v="26825"/>
    <n v="0.1"/>
    <n v="1"/>
    <n v="5365"/>
    <n v="48285"/>
    <n v="35685.195548733791"/>
    <n v="12599.804451266211"/>
  </r>
  <r>
    <x v="896"/>
    <x v="3"/>
    <x v="2"/>
    <x v="0"/>
    <n v="27118"/>
    <n v="46"/>
    <n v="33042"/>
    <n v="0.15"/>
    <n v="1"/>
    <n v="227989.8"/>
    <n v="1291942.2"/>
    <n v="1012904.813727431"/>
    <n v="279037.38627256942"/>
  </r>
  <r>
    <x v="897"/>
    <x v="1"/>
    <x v="1"/>
    <x v="0"/>
    <n v="32616"/>
    <n v="22"/>
    <n v="46537"/>
    <n v="0.15"/>
    <n v="4"/>
    <n v="153572.1"/>
    <n v="870241.9"/>
    <n v="593295.55270643125"/>
    <n v="276946.34729356878"/>
  </r>
  <r>
    <x v="898"/>
    <x v="0"/>
    <x v="4"/>
    <x v="5"/>
    <n v="10798"/>
    <n v="23"/>
    <n v="13592"/>
    <n v="0.15"/>
    <n v="5"/>
    <n v="46892.4"/>
    <n v="265723.59999999998"/>
    <n v="181290.49933315019"/>
    <n v="84433.100666849787"/>
  </r>
  <r>
    <x v="899"/>
    <x v="0"/>
    <x v="0"/>
    <x v="4"/>
    <n v="17601"/>
    <n v="30"/>
    <n v="30882"/>
    <n v="0.1"/>
    <n v="2"/>
    <n v="92646"/>
    <n v="833814"/>
    <n v="528693.41052609566"/>
    <n v="305120.58947390429"/>
  </r>
  <r>
    <x v="900"/>
    <x v="2"/>
    <x v="1"/>
    <x v="1"/>
    <n v="35363"/>
    <n v="5"/>
    <n v="40270"/>
    <n v="0"/>
    <n v="4"/>
    <n v="0"/>
    <n v="201350"/>
    <n v="127699.2082328946"/>
    <n v="73650.791767105387"/>
  </r>
  <r>
    <x v="901"/>
    <x v="1"/>
    <x v="1"/>
    <x v="1"/>
    <n v="12795"/>
    <n v="9"/>
    <n v="25957"/>
    <n v="0.15"/>
    <n v="2"/>
    <n v="35041.949999999997"/>
    <n v="198571.05"/>
    <n v="139853.89282764311"/>
    <n v="58717.157172356907"/>
  </r>
  <r>
    <x v="902"/>
    <x v="3"/>
    <x v="2"/>
    <x v="2"/>
    <n v="55264"/>
    <n v="21"/>
    <n v="6631"/>
    <n v="0"/>
    <n v="5"/>
    <n v="0"/>
    <n v="139251"/>
    <n v="115419.1164457643"/>
    <n v="23831.883554235701"/>
  </r>
  <r>
    <x v="903"/>
    <x v="0"/>
    <x v="1"/>
    <x v="5"/>
    <n v="82833"/>
    <n v="11"/>
    <n v="46529"/>
    <n v="0.05"/>
    <n v="2"/>
    <n v="25590.95"/>
    <n v="486228.05"/>
    <n v="380420.62058324332"/>
    <n v="105807.4294167567"/>
  </r>
  <r>
    <x v="904"/>
    <x v="0"/>
    <x v="4"/>
    <x v="5"/>
    <n v="13084"/>
    <n v="5"/>
    <n v="25715"/>
    <n v="0"/>
    <n v="3"/>
    <n v="0"/>
    <n v="128575"/>
    <n v="81101.9429533683"/>
    <n v="47473.0570466317"/>
  </r>
  <r>
    <x v="905"/>
    <x v="3"/>
    <x v="4"/>
    <x v="1"/>
    <n v="86646"/>
    <n v="35"/>
    <n v="13112"/>
    <n v="0"/>
    <n v="4"/>
    <n v="0"/>
    <n v="458920"/>
    <n v="392684.5158125835"/>
    <n v="66235.484187416499"/>
  </r>
  <r>
    <x v="906"/>
    <x v="3"/>
    <x v="3"/>
    <x v="1"/>
    <n v="10731"/>
    <n v="27"/>
    <n v="37805"/>
    <n v="0.15"/>
    <n v="1"/>
    <n v="153110.25"/>
    <n v="867624.75"/>
    <n v="677103.28110760497"/>
    <n v="190521.468892395"/>
  </r>
  <r>
    <x v="907"/>
    <x v="0"/>
    <x v="4"/>
    <x v="3"/>
    <n v="11129"/>
    <n v="49"/>
    <n v="13591"/>
    <n v="0.2"/>
    <n v="2"/>
    <n v="133191.79999999999"/>
    <n v="532767.19999999995"/>
    <n v="473234.02057440358"/>
    <n v="59533.179425596318"/>
  </r>
  <r>
    <x v="908"/>
    <x v="0"/>
    <x v="1"/>
    <x v="3"/>
    <n v="38022"/>
    <n v="2"/>
    <n v="35603"/>
    <n v="0.2"/>
    <n v="4"/>
    <n v="14241.2"/>
    <n v="56964.800000000003"/>
    <n v="45631.974334195787"/>
    <n v="11332.825665804219"/>
  </r>
  <r>
    <x v="909"/>
    <x v="3"/>
    <x v="4"/>
    <x v="3"/>
    <n v="11605"/>
    <n v="24"/>
    <n v="37589"/>
    <n v="0.1"/>
    <n v="4"/>
    <n v="90213.6"/>
    <n v="811922.4"/>
    <n v="529821.95872751146"/>
    <n v="282100.44127248862"/>
  </r>
  <r>
    <x v="910"/>
    <x v="0"/>
    <x v="2"/>
    <x v="5"/>
    <n v="87506"/>
    <n v="31"/>
    <n v="30259"/>
    <n v="0.1"/>
    <n v="2"/>
    <n v="93802.900000000009"/>
    <n v="844226.1"/>
    <n v="626529.74406180589"/>
    <n v="217696.35593819409"/>
  </r>
  <r>
    <x v="911"/>
    <x v="2"/>
    <x v="3"/>
    <x v="2"/>
    <n v="54130"/>
    <n v="33"/>
    <n v="46522"/>
    <n v="0.2"/>
    <n v="1"/>
    <n v="307045.2"/>
    <n v="1228180.8"/>
    <n v="975850.16944608104"/>
    <n v="252330.63055391901"/>
  </r>
  <r>
    <x v="912"/>
    <x v="2"/>
    <x v="1"/>
    <x v="0"/>
    <n v="39265"/>
    <n v="39"/>
    <n v="1059"/>
    <n v="0.05"/>
    <n v="1"/>
    <n v="2065.0500000000002"/>
    <n v="39235.949999999997"/>
    <n v="23874.26771914856"/>
    <n v="15361.682280851441"/>
  </r>
  <r>
    <x v="913"/>
    <x v="3"/>
    <x v="3"/>
    <x v="3"/>
    <n v="42330"/>
    <n v="30"/>
    <n v="1213"/>
    <n v="0.15"/>
    <n v="2"/>
    <n v="5458.5"/>
    <n v="30931.5"/>
    <n v="18697.259050711331"/>
    <n v="12234.240949288671"/>
  </r>
  <r>
    <x v="914"/>
    <x v="1"/>
    <x v="1"/>
    <x v="2"/>
    <n v="78469"/>
    <n v="46"/>
    <n v="37861"/>
    <n v="0.15"/>
    <n v="4"/>
    <n v="261240.9"/>
    <n v="1480365.1"/>
    <n v="945688.1657764198"/>
    <n v="534676.93422358029"/>
  </r>
  <r>
    <x v="915"/>
    <x v="3"/>
    <x v="2"/>
    <x v="4"/>
    <n v="25187"/>
    <n v="37"/>
    <n v="15684"/>
    <n v="0.05"/>
    <n v="1"/>
    <n v="29015.4"/>
    <n v="551292.6"/>
    <n v="372397.78221712459"/>
    <n v="178894.81778287541"/>
  </r>
  <r>
    <x v="916"/>
    <x v="3"/>
    <x v="3"/>
    <x v="3"/>
    <n v="35791"/>
    <n v="28"/>
    <n v="15761"/>
    <n v="0.05"/>
    <n v="2"/>
    <n v="22065.4"/>
    <n v="419242.6"/>
    <n v="305571.14741175872"/>
    <n v="113671.4525882413"/>
  </r>
  <r>
    <x v="917"/>
    <x v="1"/>
    <x v="0"/>
    <x v="0"/>
    <n v="80610"/>
    <n v="31"/>
    <n v="20872"/>
    <n v="0.2"/>
    <n v="2"/>
    <n v="129406.39999999999"/>
    <n v="517625.59999999998"/>
    <n v="386268.86030825839"/>
    <n v="131356.73969174159"/>
  </r>
  <r>
    <x v="918"/>
    <x v="1"/>
    <x v="1"/>
    <x v="4"/>
    <n v="49867"/>
    <n v="11"/>
    <n v="32640"/>
    <n v="0.1"/>
    <n v="2"/>
    <n v="35904"/>
    <n v="323136"/>
    <n v="207262.10683252689"/>
    <n v="115873.8931674731"/>
  </r>
  <r>
    <x v="919"/>
    <x v="1"/>
    <x v="0"/>
    <x v="4"/>
    <n v="10893"/>
    <n v="23"/>
    <n v="33524"/>
    <n v="0.05"/>
    <n v="4"/>
    <n v="38552.6"/>
    <n v="732499.4"/>
    <n v="587477.3183002196"/>
    <n v="145022.08169978039"/>
  </r>
  <r>
    <x v="920"/>
    <x v="2"/>
    <x v="3"/>
    <x v="0"/>
    <n v="29773"/>
    <n v="2"/>
    <n v="47842"/>
    <n v="0.1"/>
    <n v="1"/>
    <n v="9568.4"/>
    <n v="86115.6"/>
    <n v="67070.396059750245"/>
    <n v="19045.203940249761"/>
  </r>
  <r>
    <x v="921"/>
    <x v="0"/>
    <x v="0"/>
    <x v="3"/>
    <n v="14239"/>
    <n v="40"/>
    <n v="33044"/>
    <n v="0"/>
    <n v="4"/>
    <n v="0"/>
    <n v="1321760"/>
    <n v="909819.26018528757"/>
    <n v="411940.73981471237"/>
  </r>
  <r>
    <x v="922"/>
    <x v="2"/>
    <x v="0"/>
    <x v="5"/>
    <n v="30863"/>
    <n v="41"/>
    <n v="537"/>
    <n v="0.15"/>
    <n v="3"/>
    <n v="3302.55"/>
    <n v="18714.45"/>
    <n v="11305.36116166668"/>
    <n v="7409.0888383333204"/>
  </r>
  <r>
    <x v="923"/>
    <x v="0"/>
    <x v="3"/>
    <x v="0"/>
    <n v="61415"/>
    <n v="27"/>
    <n v="43532"/>
    <n v="0.2"/>
    <n v="1"/>
    <n v="235072.8"/>
    <n v="940291.2"/>
    <n v="586078.2154515133"/>
    <n v="354212.98454848671"/>
  </r>
  <r>
    <x v="924"/>
    <x v="2"/>
    <x v="2"/>
    <x v="0"/>
    <n v="78968"/>
    <n v="35"/>
    <n v="13197"/>
    <n v="0.15"/>
    <n v="4"/>
    <n v="69284.25"/>
    <n v="392610.75"/>
    <n v="281701.52387531771"/>
    <n v="110909.2261246823"/>
  </r>
  <r>
    <x v="925"/>
    <x v="0"/>
    <x v="0"/>
    <x v="0"/>
    <n v="70430"/>
    <n v="2"/>
    <n v="41920"/>
    <n v="0.2"/>
    <n v="1"/>
    <n v="16768"/>
    <n v="67072"/>
    <n v="43341.410304415433"/>
    <n v="23730.589695584571"/>
  </r>
  <r>
    <x v="926"/>
    <x v="2"/>
    <x v="0"/>
    <x v="4"/>
    <n v="11515"/>
    <n v="39"/>
    <n v="49198"/>
    <n v="0"/>
    <n v="3"/>
    <n v="0"/>
    <n v="1918722"/>
    <n v="1368136.8205042339"/>
    <n v="550585.17949576606"/>
  </r>
  <r>
    <x v="927"/>
    <x v="1"/>
    <x v="2"/>
    <x v="2"/>
    <n v="24605"/>
    <n v="37"/>
    <n v="32207"/>
    <n v="0.15"/>
    <n v="5"/>
    <n v="178748.85"/>
    <n v="1012910.15"/>
    <n v="798633.85084859235"/>
    <n v="214276.2991514077"/>
  </r>
  <r>
    <x v="928"/>
    <x v="3"/>
    <x v="0"/>
    <x v="5"/>
    <n v="66240"/>
    <n v="21"/>
    <n v="26516"/>
    <n v="0"/>
    <n v="2"/>
    <n v="0"/>
    <n v="556836"/>
    <n v="425518.05011717661"/>
    <n v="131317.94988282339"/>
  </r>
  <r>
    <x v="929"/>
    <x v="2"/>
    <x v="0"/>
    <x v="3"/>
    <n v="15586"/>
    <n v="5"/>
    <n v="35100"/>
    <n v="0.2"/>
    <n v="4"/>
    <n v="35100"/>
    <n v="140400"/>
    <n v="93977.12819774705"/>
    <n v="46422.87180225295"/>
  </r>
  <r>
    <x v="930"/>
    <x v="0"/>
    <x v="0"/>
    <x v="3"/>
    <n v="41186"/>
    <n v="45"/>
    <n v="48785"/>
    <n v="0.05"/>
    <n v="3"/>
    <n v="109766.25"/>
    <n v="2085558.75"/>
    <n v="1466453.8515274471"/>
    <n v="619104.89847255312"/>
  </r>
  <r>
    <x v="931"/>
    <x v="1"/>
    <x v="4"/>
    <x v="2"/>
    <n v="36928"/>
    <n v="21"/>
    <n v="24484"/>
    <n v="0.15"/>
    <n v="3"/>
    <n v="77124.599999999991"/>
    <n v="437039.4"/>
    <n v="342730.38796538382"/>
    <n v="94309.012034616258"/>
  </r>
  <r>
    <x v="932"/>
    <x v="2"/>
    <x v="2"/>
    <x v="0"/>
    <n v="93087"/>
    <n v="29"/>
    <n v="5667"/>
    <n v="0"/>
    <n v="1"/>
    <n v="0"/>
    <n v="164343"/>
    <n v="141048.44936212341"/>
    <n v="23294.55063787664"/>
  </r>
  <r>
    <x v="933"/>
    <x v="2"/>
    <x v="0"/>
    <x v="5"/>
    <n v="97029"/>
    <n v="20"/>
    <n v="932"/>
    <n v="0.15"/>
    <n v="1"/>
    <n v="2796"/>
    <n v="15844"/>
    <n v="13086.57411701363"/>
    <n v="2757.4258829863679"/>
  </r>
  <r>
    <x v="934"/>
    <x v="1"/>
    <x v="2"/>
    <x v="3"/>
    <n v="30711"/>
    <n v="38"/>
    <n v="4651"/>
    <n v="0.15"/>
    <n v="2"/>
    <n v="26510.7"/>
    <n v="150227.29999999999"/>
    <n v="115077.1175553334"/>
    <n v="35150.182444666563"/>
  </r>
  <r>
    <x v="935"/>
    <x v="2"/>
    <x v="1"/>
    <x v="1"/>
    <n v="64962"/>
    <n v="20"/>
    <n v="48180"/>
    <n v="0.15"/>
    <n v="1"/>
    <n v="144540"/>
    <n v="819060"/>
    <n v="580457.91096033028"/>
    <n v="238602.08903966969"/>
  </r>
  <r>
    <x v="936"/>
    <x v="3"/>
    <x v="1"/>
    <x v="3"/>
    <n v="30039"/>
    <n v="25"/>
    <n v="6911"/>
    <n v="0.1"/>
    <n v="4"/>
    <n v="17277.5"/>
    <n v="155497.5"/>
    <n v="110327.8683088671"/>
    <n v="45169.631691132927"/>
  </r>
  <r>
    <x v="937"/>
    <x v="2"/>
    <x v="0"/>
    <x v="0"/>
    <n v="46561"/>
    <n v="2"/>
    <n v="31288"/>
    <n v="0"/>
    <n v="4"/>
    <n v="0"/>
    <n v="62576"/>
    <n v="54054.725282131447"/>
    <n v="8521.2747178685458"/>
  </r>
  <r>
    <x v="938"/>
    <x v="3"/>
    <x v="2"/>
    <x v="1"/>
    <n v="85483"/>
    <n v="32"/>
    <n v="27123"/>
    <n v="0"/>
    <n v="4"/>
    <n v="0"/>
    <n v="867936"/>
    <n v="530979.8737242982"/>
    <n v="336956.1262757018"/>
  </r>
  <r>
    <x v="939"/>
    <x v="3"/>
    <x v="2"/>
    <x v="2"/>
    <n v="91395"/>
    <n v="26"/>
    <n v="22604"/>
    <n v="0.15"/>
    <n v="5"/>
    <n v="88155.599999999991"/>
    <n v="499548.4"/>
    <n v="447792.5847743731"/>
    <n v="51755.815225626917"/>
  </r>
  <r>
    <x v="940"/>
    <x v="1"/>
    <x v="2"/>
    <x v="5"/>
    <n v="98658"/>
    <n v="6"/>
    <n v="756"/>
    <n v="0.05"/>
    <n v="4"/>
    <n v="226.8"/>
    <n v="4309.2"/>
    <n v="3444.397956132465"/>
    <n v="864.80204386753439"/>
  </r>
  <r>
    <x v="941"/>
    <x v="2"/>
    <x v="4"/>
    <x v="2"/>
    <n v="11577"/>
    <n v="41"/>
    <n v="33939"/>
    <n v="0.15"/>
    <n v="1"/>
    <n v="208724.85"/>
    <n v="1182774.1499999999"/>
    <n v="951354.10891599068"/>
    <n v="231420.04108400919"/>
  </r>
  <r>
    <x v="942"/>
    <x v="1"/>
    <x v="1"/>
    <x v="2"/>
    <n v="38350"/>
    <n v="3"/>
    <n v="33757"/>
    <n v="0.1"/>
    <n v="1"/>
    <n v="10127.1"/>
    <n v="91143.9"/>
    <n v="55725.321325055898"/>
    <n v="35418.578674944103"/>
  </r>
  <r>
    <x v="943"/>
    <x v="2"/>
    <x v="2"/>
    <x v="5"/>
    <n v="43798"/>
    <n v="33"/>
    <n v="40157"/>
    <n v="0.2"/>
    <n v="4"/>
    <n v="265036.2"/>
    <n v="1060144.8"/>
    <n v="828671.49360712583"/>
    <n v="231473.30639287419"/>
  </r>
  <r>
    <x v="944"/>
    <x v="2"/>
    <x v="2"/>
    <x v="5"/>
    <n v="91417"/>
    <n v="1"/>
    <n v="45174"/>
    <n v="0.1"/>
    <n v="3"/>
    <n v="4517.4000000000005"/>
    <n v="40656.6"/>
    <n v="30306.78830336198"/>
    <n v="10349.81169663802"/>
  </r>
  <r>
    <x v="945"/>
    <x v="0"/>
    <x v="4"/>
    <x v="3"/>
    <n v="20785"/>
    <n v="5"/>
    <n v="18566"/>
    <n v="0.05"/>
    <n v="3"/>
    <n v="4641.5"/>
    <n v="88188.5"/>
    <n v="55711.644939188227"/>
    <n v="32476.855060811769"/>
  </r>
  <r>
    <x v="946"/>
    <x v="2"/>
    <x v="4"/>
    <x v="3"/>
    <n v="82227"/>
    <n v="13"/>
    <n v="45871"/>
    <n v="0.15"/>
    <n v="3"/>
    <n v="89448.45"/>
    <n v="506874.55"/>
    <n v="346386.20824314421"/>
    <n v="160488.34175685581"/>
  </r>
  <r>
    <x v="947"/>
    <x v="1"/>
    <x v="2"/>
    <x v="5"/>
    <n v="71957"/>
    <n v="19"/>
    <n v="33246"/>
    <n v="0"/>
    <n v="2"/>
    <n v="0"/>
    <n v="631674"/>
    <n v="547720.9481442906"/>
    <n v="83953.051855709404"/>
  </r>
  <r>
    <x v="948"/>
    <x v="3"/>
    <x v="3"/>
    <x v="1"/>
    <n v="75431"/>
    <n v="12"/>
    <n v="2960"/>
    <n v="0.15"/>
    <n v="5"/>
    <n v="5328"/>
    <n v="30192"/>
    <n v="23096.775075547459"/>
    <n v="7095.2249244525447"/>
  </r>
  <r>
    <x v="949"/>
    <x v="2"/>
    <x v="2"/>
    <x v="4"/>
    <n v="27297"/>
    <n v="48"/>
    <n v="37797"/>
    <n v="0.05"/>
    <n v="4"/>
    <n v="90712.8"/>
    <n v="1723543.2"/>
    <n v="1247888.3180724841"/>
    <n v="475654.88192751631"/>
  </r>
  <r>
    <x v="950"/>
    <x v="0"/>
    <x v="2"/>
    <x v="3"/>
    <n v="81894"/>
    <n v="25"/>
    <n v="35243"/>
    <n v="0"/>
    <n v="2"/>
    <n v="0"/>
    <n v="881075"/>
    <n v="547856.52913723269"/>
    <n v="333218.47086276731"/>
  </r>
  <r>
    <x v="951"/>
    <x v="1"/>
    <x v="4"/>
    <x v="4"/>
    <n v="73772"/>
    <n v="35"/>
    <n v="3716"/>
    <n v="0.1"/>
    <n v="3"/>
    <n v="13006"/>
    <n v="117054"/>
    <n v="95309.63438056485"/>
    <n v="21744.36561943515"/>
  </r>
  <r>
    <x v="952"/>
    <x v="2"/>
    <x v="4"/>
    <x v="1"/>
    <n v="29581"/>
    <n v="12"/>
    <n v="14767"/>
    <n v="0.2"/>
    <n v="4"/>
    <n v="35440.800000000003"/>
    <n v="141763.20000000001"/>
    <n v="114949.4345541769"/>
    <n v="26813.765445823072"/>
  </r>
  <r>
    <x v="953"/>
    <x v="1"/>
    <x v="2"/>
    <x v="5"/>
    <n v="65192"/>
    <n v="30"/>
    <n v="10081"/>
    <n v="0.2"/>
    <n v="2"/>
    <n v="60486"/>
    <n v="241944"/>
    <n v="189735.64993361101"/>
    <n v="52208.350066389023"/>
  </r>
  <r>
    <x v="954"/>
    <x v="0"/>
    <x v="2"/>
    <x v="1"/>
    <n v="11462"/>
    <n v="5"/>
    <n v="5015"/>
    <n v="0.15"/>
    <n v="1"/>
    <n v="3761.25"/>
    <n v="21313.75"/>
    <n v="16050.933142765611"/>
    <n v="5262.816857234393"/>
  </r>
  <r>
    <x v="955"/>
    <x v="0"/>
    <x v="2"/>
    <x v="3"/>
    <n v="74173"/>
    <n v="34"/>
    <n v="22576"/>
    <n v="0.1"/>
    <n v="3"/>
    <n v="76758.400000000009"/>
    <n v="690825.6"/>
    <n v="504396.17097766482"/>
    <n v="186429.42902233521"/>
  </r>
  <r>
    <x v="956"/>
    <x v="1"/>
    <x v="4"/>
    <x v="2"/>
    <n v="25511"/>
    <n v="22"/>
    <n v="45316"/>
    <n v="0.05"/>
    <n v="2"/>
    <n v="49847.600000000013"/>
    <n v="947104.4"/>
    <n v="736829.53876852104"/>
    <n v="210274.86123147901"/>
  </r>
  <r>
    <x v="957"/>
    <x v="2"/>
    <x v="2"/>
    <x v="5"/>
    <n v="86106"/>
    <n v="39"/>
    <n v="10276"/>
    <n v="0.2"/>
    <n v="1"/>
    <n v="80152.800000000003"/>
    <n v="320611.20000000001"/>
    <n v="214815.47875595599"/>
    <n v="105795.72124404401"/>
  </r>
  <r>
    <x v="958"/>
    <x v="3"/>
    <x v="2"/>
    <x v="0"/>
    <n v="58665"/>
    <n v="13"/>
    <n v="22447"/>
    <n v="0.1"/>
    <n v="3"/>
    <n v="29181.1"/>
    <n v="262629.90000000002"/>
    <n v="231738.77216972079"/>
    <n v="30891.127830279231"/>
  </r>
  <r>
    <x v="959"/>
    <x v="0"/>
    <x v="0"/>
    <x v="4"/>
    <n v="54414"/>
    <n v="47"/>
    <n v="3463"/>
    <n v="0.15"/>
    <n v="5"/>
    <n v="24414.15"/>
    <n v="138346.85"/>
    <n v="107445.4705227954"/>
    <n v="30901.379477204649"/>
  </r>
  <r>
    <x v="960"/>
    <x v="2"/>
    <x v="3"/>
    <x v="1"/>
    <n v="91010"/>
    <n v="3"/>
    <n v="7286"/>
    <n v="0"/>
    <n v="3"/>
    <n v="0"/>
    <n v="21858"/>
    <n v="15155.413334609389"/>
    <n v="6702.5866653906114"/>
  </r>
  <r>
    <x v="961"/>
    <x v="2"/>
    <x v="1"/>
    <x v="5"/>
    <n v="82573"/>
    <n v="20"/>
    <n v="14366"/>
    <n v="0.15"/>
    <n v="5"/>
    <n v="43098"/>
    <n v="244222"/>
    <n v="179479.71376286249"/>
    <n v="64742.286237137538"/>
  </r>
  <r>
    <x v="962"/>
    <x v="3"/>
    <x v="3"/>
    <x v="1"/>
    <n v="23386"/>
    <n v="31"/>
    <n v="39468"/>
    <n v="0.15"/>
    <n v="5"/>
    <n v="183526.2"/>
    <n v="1039981.8"/>
    <n v="875358.33509064326"/>
    <n v="164623.46490935679"/>
  </r>
  <r>
    <x v="963"/>
    <x v="0"/>
    <x v="0"/>
    <x v="5"/>
    <n v="64460"/>
    <n v="5"/>
    <n v="32805"/>
    <n v="0.1"/>
    <n v="5"/>
    <n v="16402.5"/>
    <n v="147622.5"/>
    <n v="95730.950077547503"/>
    <n v="51891.549922452497"/>
  </r>
  <r>
    <x v="964"/>
    <x v="0"/>
    <x v="1"/>
    <x v="3"/>
    <n v="16221"/>
    <n v="24"/>
    <n v="17860"/>
    <n v="0.2"/>
    <n v="4"/>
    <n v="85728"/>
    <n v="342912"/>
    <n v="235872.25469072789"/>
    <n v="107039.7453092721"/>
  </r>
  <r>
    <x v="965"/>
    <x v="2"/>
    <x v="2"/>
    <x v="3"/>
    <n v="33474"/>
    <n v="40"/>
    <n v="40613"/>
    <n v="0.1"/>
    <n v="4"/>
    <n v="162452"/>
    <n v="1462068"/>
    <n v="1175286.880735917"/>
    <n v="286781.11926408298"/>
  </r>
  <r>
    <x v="966"/>
    <x v="2"/>
    <x v="0"/>
    <x v="3"/>
    <n v="31045"/>
    <n v="33"/>
    <n v="33313"/>
    <n v="0"/>
    <n v="5"/>
    <n v="0"/>
    <n v="1099329"/>
    <n v="763645.33016186894"/>
    <n v="335683.66983813111"/>
  </r>
  <r>
    <x v="967"/>
    <x v="3"/>
    <x v="2"/>
    <x v="1"/>
    <n v="14922"/>
    <n v="8"/>
    <n v="1693"/>
    <n v="0.1"/>
    <n v="1"/>
    <n v="1354.4"/>
    <n v="12189.6"/>
    <n v="10211.84355036556"/>
    <n v="1977.7564496344421"/>
  </r>
  <r>
    <x v="968"/>
    <x v="3"/>
    <x v="4"/>
    <x v="0"/>
    <n v="32706"/>
    <n v="24"/>
    <n v="5012"/>
    <n v="0.05"/>
    <n v="5"/>
    <n v="6014.4000000000005"/>
    <n v="114273.60000000001"/>
    <n v="73036.376883693258"/>
    <n v="41237.223116306748"/>
  </r>
  <r>
    <x v="969"/>
    <x v="0"/>
    <x v="0"/>
    <x v="3"/>
    <n v="52771"/>
    <n v="20"/>
    <n v="23166"/>
    <n v="0.15"/>
    <n v="2"/>
    <n v="69498"/>
    <n v="393822"/>
    <n v="326401.97790623241"/>
    <n v="67420.022093767591"/>
  </r>
  <r>
    <x v="970"/>
    <x v="1"/>
    <x v="4"/>
    <x v="5"/>
    <n v="62335"/>
    <n v="16"/>
    <n v="17130"/>
    <n v="0.2"/>
    <n v="5"/>
    <n v="54816"/>
    <n v="219264"/>
    <n v="136054.5211214984"/>
    <n v="83209.478878501628"/>
  </r>
  <r>
    <x v="971"/>
    <x v="0"/>
    <x v="0"/>
    <x v="3"/>
    <n v="62949"/>
    <n v="12"/>
    <n v="9483"/>
    <n v="0"/>
    <n v="4"/>
    <n v="0"/>
    <n v="113796"/>
    <n v="68707.49668533307"/>
    <n v="45088.50331466693"/>
  </r>
  <r>
    <x v="972"/>
    <x v="2"/>
    <x v="0"/>
    <x v="2"/>
    <n v="80714"/>
    <n v="13"/>
    <n v="1136"/>
    <n v="0.15"/>
    <n v="4"/>
    <n v="2215.1999999999998"/>
    <n v="12552.8"/>
    <n v="10914.246056158911"/>
    <n v="1638.553943841091"/>
  </r>
  <r>
    <x v="973"/>
    <x v="0"/>
    <x v="4"/>
    <x v="3"/>
    <n v="25240"/>
    <n v="45"/>
    <n v="4275"/>
    <n v="0.1"/>
    <n v="2"/>
    <n v="19237.5"/>
    <n v="173137.5"/>
    <n v="134077.98560148469"/>
    <n v="39059.514398515254"/>
  </r>
  <r>
    <x v="974"/>
    <x v="1"/>
    <x v="1"/>
    <x v="1"/>
    <n v="12716"/>
    <n v="42"/>
    <n v="2921"/>
    <n v="0.05"/>
    <n v="2"/>
    <n v="6134.1"/>
    <n v="116547.9"/>
    <n v="82230.145805695196"/>
    <n v="34317.754194304798"/>
  </r>
  <r>
    <x v="975"/>
    <x v="3"/>
    <x v="3"/>
    <x v="0"/>
    <n v="26574"/>
    <n v="39"/>
    <n v="13525"/>
    <n v="0.1"/>
    <n v="3"/>
    <n v="52747.5"/>
    <n v="474727.5"/>
    <n v="317962.22115577688"/>
    <n v="156765.2788442231"/>
  </r>
  <r>
    <x v="976"/>
    <x v="1"/>
    <x v="2"/>
    <x v="2"/>
    <n v="93255"/>
    <n v="25"/>
    <n v="9780"/>
    <n v="0.15"/>
    <n v="1"/>
    <n v="36675"/>
    <n v="207825"/>
    <n v="163156.2863718537"/>
    <n v="44668.713628146274"/>
  </r>
  <r>
    <x v="977"/>
    <x v="1"/>
    <x v="0"/>
    <x v="1"/>
    <n v="83717"/>
    <n v="46"/>
    <n v="37451"/>
    <n v="0"/>
    <n v="1"/>
    <n v="0"/>
    <n v="1722746"/>
    <n v="1296712.042703755"/>
    <n v="426033.9572962455"/>
  </r>
  <r>
    <x v="978"/>
    <x v="1"/>
    <x v="2"/>
    <x v="1"/>
    <n v="54066"/>
    <n v="32"/>
    <n v="11851"/>
    <n v="0.2"/>
    <n v="1"/>
    <n v="75846.400000000009"/>
    <n v="303385.59999999998"/>
    <n v="272282.30582634901"/>
    <n v="31103.294173651029"/>
  </r>
  <r>
    <x v="979"/>
    <x v="3"/>
    <x v="4"/>
    <x v="1"/>
    <n v="71826"/>
    <n v="24"/>
    <n v="38591"/>
    <n v="0.15"/>
    <n v="4"/>
    <n v="138927.6"/>
    <n v="787256.4"/>
    <n v="704566.76342264283"/>
    <n v="82689.636577357189"/>
  </r>
  <r>
    <x v="980"/>
    <x v="1"/>
    <x v="2"/>
    <x v="5"/>
    <n v="30213"/>
    <n v="48"/>
    <n v="46156"/>
    <n v="0"/>
    <n v="1"/>
    <n v="0"/>
    <n v="2215488"/>
    <n v="1751359.591797583"/>
    <n v="464128.40820241719"/>
  </r>
  <r>
    <x v="981"/>
    <x v="1"/>
    <x v="4"/>
    <x v="1"/>
    <n v="81916"/>
    <n v="47"/>
    <n v="30671"/>
    <n v="0.15"/>
    <n v="3"/>
    <n v="216230.55"/>
    <n v="1225306.45"/>
    <n v="897979.49629389355"/>
    <n v="327326.9537061064"/>
  </r>
  <r>
    <x v="982"/>
    <x v="1"/>
    <x v="2"/>
    <x v="5"/>
    <n v="76151"/>
    <n v="44"/>
    <n v="4144"/>
    <n v="0.05"/>
    <n v="3"/>
    <n v="9116.8000000000011"/>
    <n v="173219.20000000001"/>
    <n v="129454.03372821931"/>
    <n v="43765.166271780749"/>
  </r>
  <r>
    <x v="983"/>
    <x v="2"/>
    <x v="3"/>
    <x v="1"/>
    <n v="60906"/>
    <n v="9"/>
    <n v="16642"/>
    <n v="0.1"/>
    <n v="1"/>
    <n v="14977.8"/>
    <n v="134800.20000000001"/>
    <n v="108479.6143873627"/>
    <n v="26320.58561263734"/>
  </r>
  <r>
    <x v="984"/>
    <x v="1"/>
    <x v="3"/>
    <x v="4"/>
    <n v="10463"/>
    <n v="40"/>
    <n v="8273"/>
    <n v="0.2"/>
    <n v="2"/>
    <n v="66184"/>
    <n v="264736"/>
    <n v="166908.73156280941"/>
    <n v="97827.268437190622"/>
  </r>
  <r>
    <x v="985"/>
    <x v="3"/>
    <x v="3"/>
    <x v="2"/>
    <n v="41973"/>
    <n v="23"/>
    <n v="28966"/>
    <n v="0"/>
    <n v="3"/>
    <n v="0"/>
    <n v="666218"/>
    <n v="465357.01857300871"/>
    <n v="200860.98142699129"/>
  </r>
  <r>
    <x v="986"/>
    <x v="1"/>
    <x v="3"/>
    <x v="4"/>
    <n v="84694"/>
    <n v="13"/>
    <n v="11278"/>
    <n v="0.2"/>
    <n v="2"/>
    <n v="29322.799999999999"/>
    <n v="117291.2"/>
    <n v="73023.351442200568"/>
    <n v="44267.848557799429"/>
  </r>
  <r>
    <x v="987"/>
    <x v="1"/>
    <x v="3"/>
    <x v="1"/>
    <n v="30651"/>
    <n v="32"/>
    <n v="13001"/>
    <n v="0.2"/>
    <n v="4"/>
    <n v="83206.400000000009"/>
    <n v="332825.59999999998"/>
    <n v="207020.26164080229"/>
    <n v="125805.3383591977"/>
  </r>
  <r>
    <x v="988"/>
    <x v="3"/>
    <x v="3"/>
    <x v="2"/>
    <n v="78694"/>
    <n v="15"/>
    <n v="47677"/>
    <n v="0.2"/>
    <n v="3"/>
    <n v="143031"/>
    <n v="572124"/>
    <n v="376887.69912884902"/>
    <n v="195236.300871151"/>
  </r>
  <r>
    <x v="989"/>
    <x v="1"/>
    <x v="4"/>
    <x v="2"/>
    <n v="30008"/>
    <n v="36"/>
    <n v="2608"/>
    <n v="0"/>
    <n v="2"/>
    <n v="0"/>
    <n v="93888"/>
    <n v="70000.637270174673"/>
    <n v="23887.36272982533"/>
  </r>
  <r>
    <x v="990"/>
    <x v="3"/>
    <x v="0"/>
    <x v="0"/>
    <n v="80474"/>
    <n v="49"/>
    <n v="29869"/>
    <n v="0"/>
    <n v="1"/>
    <n v="0"/>
    <n v="1463581"/>
    <n v="1222722.835722527"/>
    <n v="240858.1642774732"/>
  </r>
  <r>
    <x v="991"/>
    <x v="1"/>
    <x v="2"/>
    <x v="4"/>
    <n v="48185"/>
    <n v="5"/>
    <n v="36882"/>
    <n v="0.2"/>
    <n v="4"/>
    <n v="36882"/>
    <n v="147528"/>
    <n v="110004.07134957569"/>
    <n v="37523.928650424343"/>
  </r>
  <r>
    <x v="992"/>
    <x v="3"/>
    <x v="3"/>
    <x v="0"/>
    <n v="97924"/>
    <n v="22"/>
    <n v="26318"/>
    <n v="0.1"/>
    <n v="5"/>
    <n v="57899.600000000013"/>
    <n v="521096.4"/>
    <n v="365102.53621424141"/>
    <n v="155993.8637857587"/>
  </r>
  <r>
    <x v="993"/>
    <x v="1"/>
    <x v="4"/>
    <x v="2"/>
    <n v="84417"/>
    <n v="16"/>
    <n v="10751"/>
    <n v="0.15"/>
    <n v="5"/>
    <n v="25802.400000000001"/>
    <n v="146213.6"/>
    <n v="91340.498156370784"/>
    <n v="54873.101843629222"/>
  </r>
  <r>
    <x v="994"/>
    <x v="1"/>
    <x v="4"/>
    <x v="5"/>
    <n v="81139"/>
    <n v="41"/>
    <n v="23841"/>
    <n v="0.2"/>
    <n v="1"/>
    <n v="195496.2"/>
    <n v="781984.8"/>
    <n v="598287.70039117651"/>
    <n v="183697.09960882351"/>
  </r>
  <r>
    <x v="995"/>
    <x v="2"/>
    <x v="4"/>
    <x v="2"/>
    <n v="44980"/>
    <n v="10"/>
    <n v="12178"/>
    <n v="0.05"/>
    <n v="4"/>
    <n v="6089"/>
    <n v="115691"/>
    <n v="78829.600211647557"/>
    <n v="36861.399788352443"/>
  </r>
  <r>
    <x v="996"/>
    <x v="2"/>
    <x v="0"/>
    <x v="0"/>
    <n v="32504"/>
    <n v="24"/>
    <n v="14867"/>
    <n v="0.2"/>
    <n v="4"/>
    <n v="71361.600000000006"/>
    <n v="285446.40000000002"/>
    <n v="223927.06419702279"/>
    <n v="61519.335802977243"/>
  </r>
  <r>
    <x v="997"/>
    <x v="1"/>
    <x v="2"/>
    <x v="4"/>
    <n v="64970"/>
    <n v="18"/>
    <n v="30172"/>
    <n v="0"/>
    <n v="4"/>
    <n v="0"/>
    <n v="543096"/>
    <n v="485069.62571155798"/>
    <n v="58026.374288441963"/>
  </r>
  <r>
    <x v="998"/>
    <x v="1"/>
    <x v="0"/>
    <x v="1"/>
    <n v="26766"/>
    <n v="49"/>
    <n v="4832"/>
    <n v="0.15"/>
    <n v="4"/>
    <n v="35515.199999999997"/>
    <n v="201252.8"/>
    <n v="127472.37566323709"/>
    <n v="73780.424336762866"/>
  </r>
  <r>
    <x v="999"/>
    <x v="0"/>
    <x v="1"/>
    <x v="1"/>
    <n v="21695"/>
    <n v="18"/>
    <n v="12502"/>
    <n v="0.05"/>
    <n v="5"/>
    <n v="11251.8"/>
    <n v="213784.2"/>
    <n v="141875.23759963529"/>
    <n v="71908.962400364719"/>
  </r>
  <r>
    <x v="1000"/>
    <x v="3"/>
    <x v="4"/>
    <x v="4"/>
    <n v="27796"/>
    <n v="7"/>
    <n v="20784"/>
    <n v="0.15"/>
    <n v="2"/>
    <n v="21823.200000000001"/>
    <n v="123664.8"/>
    <n v="91750.42243054547"/>
    <n v="31914.377569454529"/>
  </r>
  <r>
    <x v="1001"/>
    <x v="0"/>
    <x v="1"/>
    <x v="1"/>
    <n v="52543"/>
    <n v="4"/>
    <n v="16200"/>
    <n v="0.15"/>
    <n v="4"/>
    <n v="9720"/>
    <n v="55080"/>
    <n v="49053.374684776143"/>
    <n v="6026.6253152238569"/>
  </r>
  <r>
    <x v="1002"/>
    <x v="2"/>
    <x v="3"/>
    <x v="1"/>
    <n v="24559"/>
    <n v="26"/>
    <n v="14269"/>
    <n v="0.05"/>
    <n v="2"/>
    <n v="18549.7"/>
    <n v="352444.3"/>
    <n v="293072.56689919048"/>
    <n v="59371.733100809448"/>
  </r>
  <r>
    <x v="1003"/>
    <x v="2"/>
    <x v="3"/>
    <x v="0"/>
    <n v="43139"/>
    <n v="5"/>
    <n v="29818"/>
    <n v="0.2"/>
    <n v="4"/>
    <n v="29818"/>
    <n v="119272"/>
    <n v="103703.27769807509"/>
    <n v="15568.72230192488"/>
  </r>
  <r>
    <x v="1004"/>
    <x v="2"/>
    <x v="0"/>
    <x v="4"/>
    <n v="18802"/>
    <n v="16"/>
    <n v="24823"/>
    <n v="0.2"/>
    <n v="3"/>
    <n v="79433.600000000006"/>
    <n v="317734.40000000002"/>
    <n v="222450.44614546411"/>
    <n v="95283.95385453591"/>
  </r>
  <r>
    <x v="1005"/>
    <x v="2"/>
    <x v="2"/>
    <x v="3"/>
    <n v="83843"/>
    <n v="35"/>
    <n v="28110"/>
    <n v="0.2"/>
    <n v="3"/>
    <n v="196770"/>
    <n v="787080"/>
    <n v="706492.09258249693"/>
    <n v="80587.907417503069"/>
  </r>
  <r>
    <x v="1006"/>
    <x v="1"/>
    <x v="1"/>
    <x v="5"/>
    <n v="50205"/>
    <n v="26"/>
    <n v="7463"/>
    <n v="0.1"/>
    <n v="3"/>
    <n v="19403.8"/>
    <n v="174634.2"/>
    <n v="110167.9579701334"/>
    <n v="64466.242029866633"/>
  </r>
  <r>
    <x v="1007"/>
    <x v="2"/>
    <x v="2"/>
    <x v="5"/>
    <n v="44159"/>
    <n v="18"/>
    <n v="8338"/>
    <n v="0.2"/>
    <n v="4"/>
    <n v="30016.799999999999"/>
    <n v="120067.2"/>
    <n v="73948.412551445508"/>
    <n v="46118.787448554489"/>
  </r>
  <r>
    <x v="1008"/>
    <x v="1"/>
    <x v="0"/>
    <x v="1"/>
    <n v="21516"/>
    <n v="29"/>
    <n v="45667"/>
    <n v="0.05"/>
    <n v="2"/>
    <n v="66217.150000000009"/>
    <n v="1258125.8500000001"/>
    <n v="1077812.244727375"/>
    <n v="180313.60527262531"/>
  </r>
  <r>
    <x v="1009"/>
    <x v="1"/>
    <x v="3"/>
    <x v="5"/>
    <n v="60492"/>
    <n v="23"/>
    <n v="12743"/>
    <n v="0.1"/>
    <n v="5"/>
    <n v="29308.9"/>
    <n v="263780.09999999998"/>
    <n v="231646.2660569057"/>
    <n v="32133.83394309424"/>
  </r>
  <r>
    <x v="1010"/>
    <x v="2"/>
    <x v="2"/>
    <x v="4"/>
    <n v="39086"/>
    <n v="14"/>
    <n v="28439"/>
    <n v="0.2"/>
    <n v="1"/>
    <n v="79629.200000000012"/>
    <n v="318516.8"/>
    <n v="199765.967463732"/>
    <n v="118750.832536268"/>
  </r>
  <r>
    <x v="1011"/>
    <x v="2"/>
    <x v="2"/>
    <x v="4"/>
    <n v="40480"/>
    <n v="15"/>
    <n v="2345"/>
    <n v="0.1"/>
    <n v="5"/>
    <n v="3517.5"/>
    <n v="31657.5"/>
    <n v="20071.748628661939"/>
    <n v="11585.751371338059"/>
  </r>
  <r>
    <x v="1012"/>
    <x v="3"/>
    <x v="3"/>
    <x v="2"/>
    <n v="62091"/>
    <n v="49"/>
    <n v="47210"/>
    <n v="0.05"/>
    <n v="4"/>
    <n v="115664.5"/>
    <n v="2197625.5"/>
    <n v="1340446.612507533"/>
    <n v="857178.88749246672"/>
  </r>
  <r>
    <x v="1013"/>
    <x v="0"/>
    <x v="1"/>
    <x v="2"/>
    <n v="57766"/>
    <n v="33"/>
    <n v="17266"/>
    <n v="0.2"/>
    <n v="3"/>
    <n v="113955.6"/>
    <n v="455822.4"/>
    <n v="287784.50640658708"/>
    <n v="168037.89359341291"/>
  </r>
  <r>
    <x v="1014"/>
    <x v="2"/>
    <x v="3"/>
    <x v="5"/>
    <n v="48737"/>
    <n v="25"/>
    <n v="37380"/>
    <n v="0"/>
    <n v="3"/>
    <n v="0"/>
    <n v="934500"/>
    <n v="619410.84563995874"/>
    <n v="315089.15436004131"/>
  </r>
  <r>
    <x v="1015"/>
    <x v="3"/>
    <x v="2"/>
    <x v="3"/>
    <n v="19265"/>
    <n v="21"/>
    <n v="13280"/>
    <n v="0.05"/>
    <n v="2"/>
    <n v="13944"/>
    <n v="264936"/>
    <n v="236064.06573226201"/>
    <n v="28871.93426773799"/>
  </r>
  <r>
    <x v="1016"/>
    <x v="3"/>
    <x v="1"/>
    <x v="2"/>
    <n v="80990"/>
    <n v="17"/>
    <n v="48958"/>
    <n v="0.15"/>
    <n v="4"/>
    <n v="124842.9"/>
    <n v="707443.1"/>
    <n v="566207.79179637856"/>
    <n v="141235.30820362139"/>
  </r>
  <r>
    <x v="1017"/>
    <x v="0"/>
    <x v="1"/>
    <x v="2"/>
    <n v="25386"/>
    <n v="23"/>
    <n v="43356"/>
    <n v="0.15"/>
    <n v="5"/>
    <n v="149578.20000000001"/>
    <n v="847609.8"/>
    <n v="706538.63227474992"/>
    <n v="141071.1677252501"/>
  </r>
  <r>
    <x v="1018"/>
    <x v="1"/>
    <x v="3"/>
    <x v="4"/>
    <n v="47425"/>
    <n v="43"/>
    <n v="2009"/>
    <n v="0.05"/>
    <n v="4"/>
    <n v="4319.3500000000004"/>
    <n v="82067.649999999994"/>
    <n v="68349.371080009354"/>
    <n v="13718.27891999064"/>
  </r>
  <r>
    <x v="1019"/>
    <x v="2"/>
    <x v="2"/>
    <x v="3"/>
    <n v="53254"/>
    <n v="17"/>
    <n v="24457"/>
    <n v="0.15"/>
    <n v="4"/>
    <n v="62365.35"/>
    <n v="353403.65"/>
    <n v="268771.29485734837"/>
    <n v="84632.35514265165"/>
  </r>
  <r>
    <x v="1020"/>
    <x v="0"/>
    <x v="0"/>
    <x v="1"/>
    <n v="99863"/>
    <n v="14"/>
    <n v="45672"/>
    <n v="0.05"/>
    <n v="3"/>
    <n v="31970.400000000001"/>
    <n v="607437.6"/>
    <n v="509789.99719453458"/>
    <n v="97647.602805465402"/>
  </r>
  <r>
    <x v="1021"/>
    <x v="2"/>
    <x v="2"/>
    <x v="5"/>
    <n v="63634"/>
    <n v="29"/>
    <n v="34846"/>
    <n v="0"/>
    <n v="5"/>
    <n v="0"/>
    <n v="1010534"/>
    <n v="786945.53068084968"/>
    <n v="223588.46931915029"/>
  </r>
  <r>
    <x v="1022"/>
    <x v="3"/>
    <x v="4"/>
    <x v="2"/>
    <n v="96717"/>
    <n v="20"/>
    <n v="17763"/>
    <n v="0.05"/>
    <n v="1"/>
    <n v="17763"/>
    <n v="337497"/>
    <n v="234345.7092908521"/>
    <n v="103151.2907091479"/>
  </r>
  <r>
    <x v="1023"/>
    <x v="3"/>
    <x v="0"/>
    <x v="3"/>
    <n v="57662"/>
    <n v="30"/>
    <n v="47374"/>
    <n v="0.2"/>
    <n v="3"/>
    <n v="284244"/>
    <n v="1136976"/>
    <n v="873576.2181081184"/>
    <n v="263399.7818918816"/>
  </r>
  <r>
    <x v="1024"/>
    <x v="1"/>
    <x v="1"/>
    <x v="3"/>
    <n v="96988"/>
    <n v="19"/>
    <n v="26648"/>
    <n v="0.2"/>
    <n v="5"/>
    <n v="101262.39999999999"/>
    <n v="405049.59999999998"/>
    <n v="307858.99182310503"/>
    <n v="97190.608176894952"/>
  </r>
  <r>
    <x v="1025"/>
    <x v="3"/>
    <x v="0"/>
    <x v="5"/>
    <n v="97527"/>
    <n v="39"/>
    <n v="32033"/>
    <n v="0.1"/>
    <n v="2"/>
    <n v="124928.7"/>
    <n v="1124358.3"/>
    <n v="952371.86269639165"/>
    <n v="171986.4373036084"/>
  </r>
  <r>
    <x v="1026"/>
    <x v="3"/>
    <x v="1"/>
    <x v="3"/>
    <n v="85452"/>
    <n v="13"/>
    <n v="43108"/>
    <n v="0.15"/>
    <n v="3"/>
    <n v="84060.599999999991"/>
    <n v="476343.4"/>
    <n v="426097.82418003562"/>
    <n v="50245.575819964397"/>
  </r>
  <r>
    <x v="1027"/>
    <x v="0"/>
    <x v="1"/>
    <x v="3"/>
    <n v="20143"/>
    <n v="18"/>
    <n v="13431"/>
    <n v="0.15"/>
    <n v="2"/>
    <n v="36263.699999999997"/>
    <n v="205494.3"/>
    <n v="148636.65127541349"/>
    <n v="56857.648724586499"/>
  </r>
  <r>
    <x v="1028"/>
    <x v="2"/>
    <x v="0"/>
    <x v="3"/>
    <n v="25581"/>
    <n v="23"/>
    <n v="1859"/>
    <n v="0.05"/>
    <n v="3"/>
    <n v="2137.85"/>
    <n v="40619.15"/>
    <n v="33673.974142863408"/>
    <n v="6945.1758571365935"/>
  </r>
  <r>
    <x v="1029"/>
    <x v="2"/>
    <x v="1"/>
    <x v="2"/>
    <n v="77443"/>
    <n v="46"/>
    <n v="25032"/>
    <n v="0.15"/>
    <n v="4"/>
    <n v="172720.8"/>
    <n v="978751.2"/>
    <n v="616543.66797537834"/>
    <n v="362207.53202462161"/>
  </r>
  <r>
    <x v="1030"/>
    <x v="0"/>
    <x v="1"/>
    <x v="5"/>
    <n v="39424"/>
    <n v="33"/>
    <n v="20844"/>
    <n v="0.2"/>
    <n v="5"/>
    <n v="137570.4"/>
    <n v="550281.6"/>
    <n v="458411.76267305861"/>
    <n v="91869.837326941371"/>
  </r>
  <r>
    <x v="1031"/>
    <x v="1"/>
    <x v="4"/>
    <x v="3"/>
    <n v="98844"/>
    <n v="39"/>
    <n v="4742"/>
    <n v="0"/>
    <n v="2"/>
    <n v="0"/>
    <n v="184938"/>
    <n v="131569.5302610613"/>
    <n v="53368.469738938671"/>
  </r>
  <r>
    <x v="1032"/>
    <x v="2"/>
    <x v="2"/>
    <x v="3"/>
    <n v="51984"/>
    <n v="40"/>
    <n v="21101"/>
    <n v="0.05"/>
    <n v="3"/>
    <n v="42202"/>
    <n v="801838"/>
    <n v="490578.15882934222"/>
    <n v="311259.84117065778"/>
  </r>
  <r>
    <x v="1033"/>
    <x v="3"/>
    <x v="2"/>
    <x v="2"/>
    <n v="51505"/>
    <n v="18"/>
    <n v="49732"/>
    <n v="0.15"/>
    <n v="2"/>
    <n v="134276.4"/>
    <n v="760899.6"/>
    <n v="539457.92159084673"/>
    <n v="221441.67840915319"/>
  </r>
  <r>
    <x v="1034"/>
    <x v="2"/>
    <x v="4"/>
    <x v="5"/>
    <n v="72699"/>
    <n v="9"/>
    <n v="19616"/>
    <n v="0.2"/>
    <n v="3"/>
    <n v="35308.800000000003"/>
    <n v="141235.20000000001"/>
    <n v="110614.3953164906"/>
    <n v="30620.804683509381"/>
  </r>
  <r>
    <x v="1035"/>
    <x v="3"/>
    <x v="0"/>
    <x v="4"/>
    <n v="36957"/>
    <n v="33"/>
    <n v="35977"/>
    <n v="0.1"/>
    <n v="3"/>
    <n v="118724.1"/>
    <n v="1068516.8999999999"/>
    <n v="679336.38584864419"/>
    <n v="389180.51415135572"/>
  </r>
  <r>
    <x v="1036"/>
    <x v="1"/>
    <x v="3"/>
    <x v="2"/>
    <n v="35464"/>
    <n v="32"/>
    <n v="31282"/>
    <n v="0.15"/>
    <n v="1"/>
    <n v="150153.60000000001"/>
    <n v="850870.4"/>
    <n v="746392.31945637846"/>
    <n v="104478.0805436216"/>
  </r>
  <r>
    <x v="1037"/>
    <x v="0"/>
    <x v="3"/>
    <x v="5"/>
    <n v="33649"/>
    <n v="17"/>
    <n v="46059"/>
    <n v="0"/>
    <n v="1"/>
    <n v="0"/>
    <n v="783003"/>
    <n v="488047.11978296167"/>
    <n v="294955.88021703833"/>
  </r>
  <r>
    <x v="1038"/>
    <x v="2"/>
    <x v="3"/>
    <x v="3"/>
    <n v="52065"/>
    <n v="19"/>
    <n v="19380"/>
    <n v="0"/>
    <n v="1"/>
    <n v="0"/>
    <n v="368220"/>
    <n v="323666.12231309048"/>
    <n v="44553.877686909458"/>
  </r>
  <r>
    <x v="1039"/>
    <x v="0"/>
    <x v="4"/>
    <x v="5"/>
    <n v="44758"/>
    <n v="27"/>
    <n v="3999"/>
    <n v="0.15"/>
    <n v="2"/>
    <n v="16195.95"/>
    <n v="91777.05"/>
    <n v="74535.928602137821"/>
    <n v="17241.121397862182"/>
  </r>
  <r>
    <x v="1040"/>
    <x v="2"/>
    <x v="4"/>
    <x v="5"/>
    <n v="15596"/>
    <n v="6"/>
    <n v="32087"/>
    <n v="0.15"/>
    <n v="4"/>
    <n v="28878.3"/>
    <n v="163643.70000000001"/>
    <n v="114372.8160959488"/>
    <n v="49270.88390405121"/>
  </r>
  <r>
    <x v="1041"/>
    <x v="3"/>
    <x v="1"/>
    <x v="1"/>
    <n v="26374"/>
    <n v="35"/>
    <n v="44958"/>
    <n v="0.2"/>
    <n v="3"/>
    <n v="314706"/>
    <n v="1258824"/>
    <n v="902860.17471136549"/>
    <n v="355963.82528863451"/>
  </r>
  <r>
    <x v="1042"/>
    <x v="0"/>
    <x v="3"/>
    <x v="5"/>
    <n v="13775"/>
    <n v="37"/>
    <n v="26520"/>
    <n v="0.15"/>
    <n v="5"/>
    <n v="147186"/>
    <n v="834054"/>
    <n v="685794.90416784131"/>
    <n v="148259.09583215869"/>
  </r>
  <r>
    <x v="1043"/>
    <x v="2"/>
    <x v="0"/>
    <x v="4"/>
    <n v="37388"/>
    <n v="34"/>
    <n v="8580"/>
    <n v="0.1"/>
    <n v="1"/>
    <n v="29172"/>
    <n v="262548"/>
    <n v="204903.31037824781"/>
    <n v="57644.689621752223"/>
  </r>
  <r>
    <x v="1044"/>
    <x v="3"/>
    <x v="0"/>
    <x v="5"/>
    <n v="31029"/>
    <n v="20"/>
    <n v="23707"/>
    <n v="0.2"/>
    <n v="2"/>
    <n v="94828"/>
    <n v="379312"/>
    <n v="304015.86594687548"/>
    <n v="75296.134053124522"/>
  </r>
  <r>
    <x v="1045"/>
    <x v="0"/>
    <x v="3"/>
    <x v="4"/>
    <n v="93981"/>
    <n v="25"/>
    <n v="34457"/>
    <n v="0.05"/>
    <n v="2"/>
    <n v="43071.25"/>
    <n v="818353.75"/>
    <n v="586554.54698733555"/>
    <n v="231799.20301266451"/>
  </r>
  <r>
    <x v="1046"/>
    <x v="0"/>
    <x v="3"/>
    <x v="3"/>
    <n v="63639"/>
    <n v="4"/>
    <n v="14408"/>
    <n v="0.1"/>
    <n v="2"/>
    <n v="5763.2000000000007"/>
    <n v="51868.800000000003"/>
    <n v="38711.969977554603"/>
    <n v="13156.8300224454"/>
  </r>
  <r>
    <x v="1047"/>
    <x v="2"/>
    <x v="3"/>
    <x v="4"/>
    <n v="24645"/>
    <n v="10"/>
    <n v="31152"/>
    <n v="0.2"/>
    <n v="5"/>
    <n v="62304"/>
    <n v="249216"/>
    <n v="223536.84447059629"/>
    <n v="25679.155529403681"/>
  </r>
  <r>
    <x v="1048"/>
    <x v="2"/>
    <x v="4"/>
    <x v="3"/>
    <n v="41105"/>
    <n v="10"/>
    <n v="30844"/>
    <n v="0.2"/>
    <n v="5"/>
    <n v="61688"/>
    <n v="246752"/>
    <n v="163886.96884246389"/>
    <n v="82865.031157536112"/>
  </r>
  <r>
    <x v="1049"/>
    <x v="2"/>
    <x v="4"/>
    <x v="3"/>
    <n v="23668"/>
    <n v="24"/>
    <n v="25534"/>
    <n v="0"/>
    <n v="1"/>
    <n v="0"/>
    <n v="612816"/>
    <n v="444510.28703992389"/>
    <n v="168305.71296007611"/>
  </r>
  <r>
    <x v="1050"/>
    <x v="3"/>
    <x v="4"/>
    <x v="4"/>
    <n v="25960"/>
    <n v="21"/>
    <n v="26288"/>
    <n v="0.2"/>
    <n v="5"/>
    <n v="110409.60000000001"/>
    <n v="441638.40000000002"/>
    <n v="303647.13769291999"/>
    <n v="137991.26230708"/>
  </r>
  <r>
    <x v="1051"/>
    <x v="2"/>
    <x v="2"/>
    <x v="2"/>
    <n v="21357"/>
    <n v="11"/>
    <n v="13251"/>
    <n v="0.1"/>
    <n v="1"/>
    <n v="14576.1"/>
    <n v="131184.9"/>
    <n v="108822.26309577021"/>
    <n v="22362.636904229799"/>
  </r>
  <r>
    <x v="1052"/>
    <x v="0"/>
    <x v="0"/>
    <x v="0"/>
    <n v="74604"/>
    <n v="27"/>
    <n v="47982"/>
    <n v="0.15"/>
    <n v="5"/>
    <n v="194327.1"/>
    <n v="1101186.8999999999"/>
    <n v="913108.34844530863"/>
    <n v="188078.55155469131"/>
  </r>
  <r>
    <x v="1053"/>
    <x v="0"/>
    <x v="0"/>
    <x v="5"/>
    <n v="61796"/>
    <n v="16"/>
    <n v="34293"/>
    <n v="0.1"/>
    <n v="5"/>
    <n v="54868.800000000003"/>
    <n v="493819.2"/>
    <n v="339616.07507800963"/>
    <n v="154203.12492199041"/>
  </r>
  <r>
    <x v="1054"/>
    <x v="2"/>
    <x v="1"/>
    <x v="1"/>
    <n v="25804"/>
    <n v="26"/>
    <n v="33339"/>
    <n v="0.05"/>
    <n v="5"/>
    <n v="43340.7"/>
    <n v="823473.3"/>
    <n v="514190.8057877422"/>
    <n v="309282.49421225791"/>
  </r>
  <r>
    <x v="1055"/>
    <x v="2"/>
    <x v="4"/>
    <x v="0"/>
    <n v="24626"/>
    <n v="30"/>
    <n v="38814"/>
    <n v="0.2"/>
    <n v="1"/>
    <n v="232884"/>
    <n v="931536"/>
    <n v="562116.58496895537"/>
    <n v="369419.41503104463"/>
  </r>
  <r>
    <x v="1056"/>
    <x v="1"/>
    <x v="2"/>
    <x v="5"/>
    <n v="38132"/>
    <n v="49"/>
    <n v="35953"/>
    <n v="0.2"/>
    <n v="3"/>
    <n v="352339.4"/>
    <n v="1409357.6"/>
    <n v="1026343.757294805"/>
    <n v="383013.84270519507"/>
  </r>
  <r>
    <x v="1057"/>
    <x v="0"/>
    <x v="2"/>
    <x v="5"/>
    <n v="17951"/>
    <n v="16"/>
    <n v="9885"/>
    <n v="0.2"/>
    <n v="1"/>
    <n v="31632"/>
    <n v="126528"/>
    <n v="91492.558540834914"/>
    <n v="35035.441459165093"/>
  </r>
  <r>
    <x v="1058"/>
    <x v="3"/>
    <x v="0"/>
    <x v="3"/>
    <n v="16449"/>
    <n v="7"/>
    <n v="18732"/>
    <n v="0.2"/>
    <n v="3"/>
    <n v="26224.799999999999"/>
    <n v="104899.2"/>
    <n v="94043.91226722562"/>
    <n v="10855.287732774381"/>
  </r>
  <r>
    <x v="1059"/>
    <x v="1"/>
    <x v="4"/>
    <x v="5"/>
    <n v="29065"/>
    <n v="16"/>
    <n v="43844"/>
    <n v="0"/>
    <n v="2"/>
    <n v="0"/>
    <n v="701504"/>
    <n v="519772.81059306749"/>
    <n v="181731.18940693251"/>
  </r>
  <r>
    <x v="1060"/>
    <x v="2"/>
    <x v="1"/>
    <x v="1"/>
    <n v="19130"/>
    <n v="35"/>
    <n v="35290"/>
    <n v="0"/>
    <n v="2"/>
    <n v="0"/>
    <n v="1235150"/>
    <n v="836104.54475432425"/>
    <n v="399045.45524567581"/>
  </r>
  <r>
    <x v="1061"/>
    <x v="2"/>
    <x v="4"/>
    <x v="5"/>
    <n v="99360"/>
    <n v="16"/>
    <n v="16331"/>
    <n v="0.15"/>
    <n v="1"/>
    <n v="39194.400000000001"/>
    <n v="222101.6"/>
    <n v="192644.00544605829"/>
    <n v="29457.594553941661"/>
  </r>
  <r>
    <x v="1062"/>
    <x v="0"/>
    <x v="3"/>
    <x v="4"/>
    <n v="72287"/>
    <n v="40"/>
    <n v="20625"/>
    <n v="0.2"/>
    <n v="3"/>
    <n v="165000"/>
    <n v="660000"/>
    <n v="493231.45403140847"/>
    <n v="166768.5459685915"/>
  </r>
  <r>
    <x v="1063"/>
    <x v="2"/>
    <x v="4"/>
    <x v="0"/>
    <n v="61702"/>
    <n v="12"/>
    <n v="46208"/>
    <n v="0.05"/>
    <n v="3"/>
    <n v="27724.799999999999"/>
    <n v="526771.19999999995"/>
    <n v="410751.26051119139"/>
    <n v="116019.93948880849"/>
  </r>
  <r>
    <x v="1064"/>
    <x v="3"/>
    <x v="3"/>
    <x v="4"/>
    <n v="46993"/>
    <n v="35"/>
    <n v="18182"/>
    <n v="0.15"/>
    <n v="3"/>
    <n v="95455.5"/>
    <n v="540914.5"/>
    <n v="340073.27780007652"/>
    <n v="200841.2221999235"/>
  </r>
  <r>
    <x v="1065"/>
    <x v="0"/>
    <x v="3"/>
    <x v="1"/>
    <n v="41875"/>
    <n v="49"/>
    <n v="37370"/>
    <n v="0.2"/>
    <n v="2"/>
    <n v="366226"/>
    <n v="1464904"/>
    <n v="1047223.133028905"/>
    <n v="417680.86697109538"/>
  </r>
  <r>
    <x v="1066"/>
    <x v="2"/>
    <x v="1"/>
    <x v="5"/>
    <n v="16054"/>
    <n v="21"/>
    <n v="17788"/>
    <n v="0"/>
    <n v="1"/>
    <n v="0"/>
    <n v="373548"/>
    <n v="329942.65954570018"/>
    <n v="43605.34045429976"/>
  </r>
  <r>
    <x v="1067"/>
    <x v="0"/>
    <x v="0"/>
    <x v="1"/>
    <n v="58517"/>
    <n v="43"/>
    <n v="36294"/>
    <n v="0.05"/>
    <n v="4"/>
    <n v="78032.100000000006"/>
    <n v="1482609.9"/>
    <n v="1151767.8956045371"/>
    <n v="330842.00439546327"/>
  </r>
  <r>
    <x v="1068"/>
    <x v="2"/>
    <x v="4"/>
    <x v="3"/>
    <n v="86368"/>
    <n v="36"/>
    <n v="39977"/>
    <n v="0.15"/>
    <n v="3"/>
    <n v="215875.8"/>
    <n v="1223296.2"/>
    <n v="860406.06308661704"/>
    <n v="362890.13691338291"/>
  </r>
  <r>
    <x v="1069"/>
    <x v="2"/>
    <x v="3"/>
    <x v="4"/>
    <n v="39670"/>
    <n v="48"/>
    <n v="24905"/>
    <n v="0.05"/>
    <n v="3"/>
    <n v="59772"/>
    <n v="1135668"/>
    <n v="894565.85870805604"/>
    <n v="241102.14129194399"/>
  </r>
  <r>
    <x v="1070"/>
    <x v="2"/>
    <x v="4"/>
    <x v="4"/>
    <n v="59112"/>
    <n v="17"/>
    <n v="39237"/>
    <n v="0.2"/>
    <n v="4"/>
    <n v="133405.79999999999"/>
    <n v="533623.19999999995"/>
    <n v="465918.86368084833"/>
    <n v="67704.336319151684"/>
  </r>
  <r>
    <x v="1071"/>
    <x v="3"/>
    <x v="0"/>
    <x v="2"/>
    <n v="98388"/>
    <n v="32"/>
    <n v="3120"/>
    <n v="0.1"/>
    <n v="1"/>
    <n v="9984"/>
    <n v="89856"/>
    <n v="61299.509818819512"/>
    <n v="28556.490181180488"/>
  </r>
  <r>
    <x v="1072"/>
    <x v="3"/>
    <x v="0"/>
    <x v="5"/>
    <n v="99156"/>
    <n v="41"/>
    <n v="35914"/>
    <n v="0.05"/>
    <n v="3"/>
    <n v="73623.7"/>
    <n v="1398850.3"/>
    <n v="1051284.9819503161"/>
    <n v="347565.3180496844"/>
  </r>
  <r>
    <x v="1073"/>
    <x v="0"/>
    <x v="2"/>
    <x v="3"/>
    <n v="38307"/>
    <n v="6"/>
    <n v="38133"/>
    <n v="0.05"/>
    <n v="1"/>
    <n v="11439.9"/>
    <n v="217358.1"/>
    <n v="192928.61370660501"/>
    <n v="24429.486293394992"/>
  </r>
  <r>
    <x v="1074"/>
    <x v="2"/>
    <x v="0"/>
    <x v="4"/>
    <n v="77087"/>
    <n v="24"/>
    <n v="35557"/>
    <n v="0"/>
    <n v="3"/>
    <n v="0"/>
    <n v="853368"/>
    <n v="556156.00560429413"/>
    <n v="297211.99439570587"/>
  </r>
  <r>
    <x v="1075"/>
    <x v="2"/>
    <x v="1"/>
    <x v="4"/>
    <n v="57922"/>
    <n v="27"/>
    <n v="40638"/>
    <n v="0.2"/>
    <n v="5"/>
    <n v="219445.2"/>
    <n v="877780.8"/>
    <n v="716180.63290242665"/>
    <n v="161600.1670975734"/>
  </r>
  <r>
    <x v="1076"/>
    <x v="3"/>
    <x v="3"/>
    <x v="3"/>
    <n v="73080"/>
    <n v="20"/>
    <n v="14354"/>
    <n v="0.05"/>
    <n v="3"/>
    <n v="14354"/>
    <n v="272726"/>
    <n v="213911.08423295"/>
    <n v="58814.915767050028"/>
  </r>
  <r>
    <x v="1077"/>
    <x v="2"/>
    <x v="2"/>
    <x v="1"/>
    <n v="89335"/>
    <n v="25"/>
    <n v="10177"/>
    <n v="0.2"/>
    <n v="5"/>
    <n v="50885"/>
    <n v="203540"/>
    <n v="163626.32285770951"/>
    <n v="39913.677142290537"/>
  </r>
  <r>
    <x v="1078"/>
    <x v="3"/>
    <x v="1"/>
    <x v="1"/>
    <n v="36312"/>
    <n v="2"/>
    <n v="44611"/>
    <n v="0"/>
    <n v="1"/>
    <n v="0"/>
    <n v="89222"/>
    <n v="62934.155366226572"/>
    <n v="26287.844633773431"/>
  </r>
  <r>
    <x v="1079"/>
    <x v="2"/>
    <x v="4"/>
    <x v="5"/>
    <n v="76985"/>
    <n v="9"/>
    <n v="24574"/>
    <n v="0.2"/>
    <n v="3"/>
    <n v="44233.2"/>
    <n v="176932.8"/>
    <n v="122820.34692381851"/>
    <n v="54112.453076181511"/>
  </r>
  <r>
    <x v="1080"/>
    <x v="0"/>
    <x v="3"/>
    <x v="2"/>
    <n v="67608"/>
    <n v="28"/>
    <n v="18324"/>
    <n v="0"/>
    <n v="2"/>
    <n v="0"/>
    <n v="513072"/>
    <n v="413157.8472324349"/>
    <n v="99914.152767565101"/>
  </r>
  <r>
    <x v="1081"/>
    <x v="2"/>
    <x v="0"/>
    <x v="4"/>
    <n v="99962"/>
    <n v="38"/>
    <n v="1265"/>
    <n v="0"/>
    <n v="2"/>
    <n v="0"/>
    <n v="48070"/>
    <n v="31950.349714492651"/>
    <n v="16119.65028550735"/>
  </r>
  <r>
    <x v="1082"/>
    <x v="2"/>
    <x v="3"/>
    <x v="2"/>
    <n v="50277"/>
    <n v="3"/>
    <n v="45939"/>
    <n v="0.15"/>
    <n v="4"/>
    <n v="20672.55"/>
    <n v="117144.45"/>
    <n v="85034.737282919552"/>
    <n v="32109.712717080449"/>
  </r>
  <r>
    <x v="1083"/>
    <x v="1"/>
    <x v="4"/>
    <x v="1"/>
    <n v="41551"/>
    <n v="20"/>
    <n v="32115"/>
    <n v="0.2"/>
    <n v="2"/>
    <n v="128460"/>
    <n v="513840"/>
    <n v="337311.49803834938"/>
    <n v="176528.50196165059"/>
  </r>
  <r>
    <x v="1084"/>
    <x v="3"/>
    <x v="2"/>
    <x v="1"/>
    <n v="99813"/>
    <n v="6"/>
    <n v="49426"/>
    <n v="0.1"/>
    <n v="5"/>
    <n v="29655.599999999999"/>
    <n v="266900.40000000002"/>
    <n v="160805.20962532601"/>
    <n v="106095.1903746741"/>
  </r>
  <r>
    <x v="1085"/>
    <x v="2"/>
    <x v="2"/>
    <x v="0"/>
    <n v="66597"/>
    <n v="39"/>
    <n v="37360"/>
    <n v="0.15"/>
    <n v="2"/>
    <n v="218556"/>
    <n v="1238484"/>
    <n v="1103510.5558468171"/>
    <n v="134973.4441531834"/>
  </r>
  <r>
    <x v="1086"/>
    <x v="2"/>
    <x v="2"/>
    <x v="5"/>
    <n v="55212"/>
    <n v="33"/>
    <n v="13475"/>
    <n v="0"/>
    <n v="2"/>
    <n v="0"/>
    <n v="444675"/>
    <n v="324395.25661021291"/>
    <n v="120279.74338978709"/>
  </r>
  <r>
    <x v="1087"/>
    <x v="1"/>
    <x v="0"/>
    <x v="0"/>
    <n v="19637"/>
    <n v="1"/>
    <n v="9841"/>
    <n v="0.1"/>
    <n v="2"/>
    <n v="984.1"/>
    <n v="8856.9"/>
    <n v="7889.7697799864854"/>
    <n v="967.13022001351419"/>
  </r>
  <r>
    <x v="1088"/>
    <x v="1"/>
    <x v="1"/>
    <x v="0"/>
    <n v="53258"/>
    <n v="37"/>
    <n v="28641"/>
    <n v="0.05"/>
    <n v="3"/>
    <n v="52985.850000000013"/>
    <n v="1006731.15"/>
    <n v="646419.10752837337"/>
    <n v="360312.04247162672"/>
  </r>
  <r>
    <x v="1089"/>
    <x v="3"/>
    <x v="1"/>
    <x v="0"/>
    <n v="45693"/>
    <n v="6"/>
    <n v="12834"/>
    <n v="0.05"/>
    <n v="4"/>
    <n v="3850.2"/>
    <n v="73153.8"/>
    <n v="56782.713573323119"/>
    <n v="16371.08642667688"/>
  </r>
  <r>
    <x v="1090"/>
    <x v="1"/>
    <x v="3"/>
    <x v="5"/>
    <n v="19824"/>
    <n v="45"/>
    <n v="49345"/>
    <n v="0.15"/>
    <n v="1"/>
    <n v="333078.75"/>
    <n v="1887446.25"/>
    <n v="1246266.055361761"/>
    <n v="641180.19463823922"/>
  </r>
  <r>
    <x v="1091"/>
    <x v="0"/>
    <x v="0"/>
    <x v="5"/>
    <n v="36950"/>
    <n v="34"/>
    <n v="16335"/>
    <n v="0.1"/>
    <n v="4"/>
    <n v="55539"/>
    <n v="499851"/>
    <n v="418386.40273101599"/>
    <n v="81464.597268984013"/>
  </r>
  <r>
    <x v="1092"/>
    <x v="1"/>
    <x v="2"/>
    <x v="3"/>
    <n v="33488"/>
    <n v="47"/>
    <n v="27048"/>
    <n v="0.2"/>
    <n v="5"/>
    <n v="254251.2"/>
    <n v="1017004.8"/>
    <n v="849311.79040327738"/>
    <n v="167693.0095967227"/>
  </r>
  <r>
    <x v="1093"/>
    <x v="0"/>
    <x v="2"/>
    <x v="2"/>
    <n v="10215"/>
    <n v="15"/>
    <n v="35934"/>
    <n v="0.1"/>
    <n v="3"/>
    <n v="53901"/>
    <n v="485109"/>
    <n v="307453.42243899341"/>
    <n v="177655.57756100659"/>
  </r>
  <r>
    <x v="1094"/>
    <x v="3"/>
    <x v="4"/>
    <x v="2"/>
    <n v="21523"/>
    <n v="45"/>
    <n v="25539"/>
    <n v="0.15"/>
    <n v="3"/>
    <n v="172388.25"/>
    <n v="976866.75"/>
    <n v="853409.68136156595"/>
    <n v="123457.0686384341"/>
  </r>
  <r>
    <x v="1095"/>
    <x v="3"/>
    <x v="4"/>
    <x v="3"/>
    <n v="85900"/>
    <n v="26"/>
    <n v="33030"/>
    <n v="0.2"/>
    <n v="2"/>
    <n v="171756"/>
    <n v="687024"/>
    <n v="452328.97162204451"/>
    <n v="234695.02837795549"/>
  </r>
  <r>
    <x v="1096"/>
    <x v="3"/>
    <x v="2"/>
    <x v="3"/>
    <n v="78689"/>
    <n v="14"/>
    <n v="39236"/>
    <n v="0.2"/>
    <n v="2"/>
    <n v="109860.8"/>
    <n v="439443.20000000001"/>
    <n v="344476.5373546565"/>
    <n v="94966.662645343516"/>
  </r>
  <r>
    <x v="1097"/>
    <x v="3"/>
    <x v="2"/>
    <x v="1"/>
    <n v="33834"/>
    <n v="7"/>
    <n v="40909"/>
    <n v="0.05"/>
    <n v="5"/>
    <n v="14318.15"/>
    <n v="272044.84999999998"/>
    <n v="243667.8750995149"/>
    <n v="28376.974900485049"/>
  </r>
  <r>
    <x v="1098"/>
    <x v="3"/>
    <x v="0"/>
    <x v="0"/>
    <n v="44474"/>
    <n v="46"/>
    <n v="19065"/>
    <n v="0.1"/>
    <n v="3"/>
    <n v="87699"/>
    <n v="789291"/>
    <n v="682514.89299668337"/>
    <n v="106776.1070033166"/>
  </r>
  <r>
    <x v="1099"/>
    <x v="0"/>
    <x v="1"/>
    <x v="3"/>
    <n v="53066"/>
    <n v="31"/>
    <n v="10334"/>
    <n v="0.2"/>
    <n v="1"/>
    <n v="64070.8"/>
    <n v="256283.2"/>
    <n v="227315.2993848683"/>
    <n v="28967.90061513169"/>
  </r>
  <r>
    <x v="1100"/>
    <x v="0"/>
    <x v="4"/>
    <x v="4"/>
    <n v="20400"/>
    <n v="24"/>
    <n v="37156"/>
    <n v="0.15"/>
    <n v="4"/>
    <n v="133761.60000000001"/>
    <n v="757982.4"/>
    <n v="532694.59165348834"/>
    <n v="225287.80834651171"/>
  </r>
  <r>
    <x v="1101"/>
    <x v="3"/>
    <x v="1"/>
    <x v="2"/>
    <n v="20345"/>
    <n v="31"/>
    <n v="1340"/>
    <n v="0.05"/>
    <n v="3"/>
    <n v="2077"/>
    <n v="39463"/>
    <n v="24927.699470672011"/>
    <n v="14535.300529327989"/>
  </r>
  <r>
    <x v="1102"/>
    <x v="1"/>
    <x v="0"/>
    <x v="3"/>
    <n v="43896"/>
    <n v="29"/>
    <n v="14373"/>
    <n v="0.2"/>
    <n v="1"/>
    <n v="83363.400000000009"/>
    <n v="333453.59999999998"/>
    <n v="218913.6428841333"/>
    <n v="114539.95711586669"/>
  </r>
  <r>
    <x v="1103"/>
    <x v="2"/>
    <x v="2"/>
    <x v="4"/>
    <n v="95430"/>
    <n v="42"/>
    <n v="32068"/>
    <n v="0.1"/>
    <n v="1"/>
    <n v="134685.6"/>
    <n v="1212170.3999999999"/>
    <n v="909307.76914889296"/>
    <n v="302862.63085110701"/>
  </r>
  <r>
    <x v="1104"/>
    <x v="3"/>
    <x v="1"/>
    <x v="4"/>
    <n v="38899"/>
    <n v="32"/>
    <n v="11346"/>
    <n v="0.05"/>
    <n v="4"/>
    <n v="18153.599999999999"/>
    <n v="344918.4"/>
    <n v="289030.89343876467"/>
    <n v="55887.506561235292"/>
  </r>
  <r>
    <x v="1105"/>
    <x v="1"/>
    <x v="2"/>
    <x v="4"/>
    <n v="38229"/>
    <n v="17"/>
    <n v="6399"/>
    <n v="0.1"/>
    <n v="1"/>
    <n v="10878.3"/>
    <n v="97904.7"/>
    <n v="63153.044246318706"/>
    <n v="34751.655753681283"/>
  </r>
  <r>
    <x v="1106"/>
    <x v="2"/>
    <x v="2"/>
    <x v="1"/>
    <n v="15583"/>
    <n v="14"/>
    <n v="21002"/>
    <n v="0.1"/>
    <n v="5"/>
    <n v="29402.799999999999"/>
    <n v="264625.2"/>
    <n v="211149.59660124281"/>
    <n v="53475.60339875723"/>
  </r>
  <r>
    <x v="1107"/>
    <x v="3"/>
    <x v="3"/>
    <x v="1"/>
    <n v="14897"/>
    <n v="40"/>
    <n v="1065"/>
    <n v="0.1"/>
    <n v="1"/>
    <n v="4260"/>
    <n v="38340"/>
    <n v="26725.789601662469"/>
    <n v="11614.210398337529"/>
  </r>
  <r>
    <x v="1108"/>
    <x v="3"/>
    <x v="1"/>
    <x v="4"/>
    <n v="81537"/>
    <n v="36"/>
    <n v="39273"/>
    <n v="0.05"/>
    <n v="5"/>
    <n v="70691.400000000009"/>
    <n v="1343136.6"/>
    <n v="943366.25742772524"/>
    <n v="399770.34257227491"/>
  </r>
  <r>
    <x v="1109"/>
    <x v="0"/>
    <x v="1"/>
    <x v="1"/>
    <n v="14567"/>
    <n v="48"/>
    <n v="42424"/>
    <n v="0.2"/>
    <n v="1"/>
    <n v="407270.40000000002"/>
    <n v="1629081.6000000001"/>
    <n v="1300944.3584742129"/>
    <n v="328137.24152578722"/>
  </r>
  <r>
    <x v="1110"/>
    <x v="2"/>
    <x v="2"/>
    <x v="0"/>
    <n v="84807"/>
    <n v="24"/>
    <n v="43742"/>
    <n v="0"/>
    <n v="2"/>
    <n v="0"/>
    <n v="1049808"/>
    <n v="776962.71798639919"/>
    <n v="272845.28201360081"/>
  </r>
  <r>
    <x v="1111"/>
    <x v="2"/>
    <x v="0"/>
    <x v="4"/>
    <n v="87239"/>
    <n v="45"/>
    <n v="9687"/>
    <n v="0.2"/>
    <n v="1"/>
    <n v="87183"/>
    <n v="348732"/>
    <n v="294193.79830306233"/>
    <n v="54538.201696937729"/>
  </r>
  <r>
    <x v="1112"/>
    <x v="1"/>
    <x v="3"/>
    <x v="0"/>
    <n v="23329"/>
    <n v="27"/>
    <n v="7726"/>
    <n v="0.05"/>
    <n v="5"/>
    <n v="10430.1"/>
    <n v="198171.9"/>
    <n v="128172.7401915152"/>
    <n v="69999.15980848475"/>
  </r>
  <r>
    <x v="1113"/>
    <x v="0"/>
    <x v="2"/>
    <x v="0"/>
    <n v="81792"/>
    <n v="25"/>
    <n v="42647"/>
    <n v="0"/>
    <n v="1"/>
    <n v="0"/>
    <n v="1066175"/>
    <n v="892371.92895566172"/>
    <n v="173803.07104433831"/>
  </r>
  <r>
    <x v="1114"/>
    <x v="0"/>
    <x v="4"/>
    <x v="4"/>
    <n v="10228"/>
    <n v="32"/>
    <n v="39158"/>
    <n v="0"/>
    <n v="1"/>
    <n v="0"/>
    <n v="1253056"/>
    <n v="775980.70889695187"/>
    <n v="477075.29110304808"/>
  </r>
  <r>
    <x v="1115"/>
    <x v="0"/>
    <x v="4"/>
    <x v="2"/>
    <n v="92214"/>
    <n v="18"/>
    <n v="46381"/>
    <n v="0"/>
    <n v="1"/>
    <n v="0"/>
    <n v="834858"/>
    <n v="549517.03030622553"/>
    <n v="285340.96969377447"/>
  </r>
  <r>
    <x v="1116"/>
    <x v="0"/>
    <x v="3"/>
    <x v="4"/>
    <n v="47052"/>
    <n v="46"/>
    <n v="4811"/>
    <n v="0.15"/>
    <n v="5"/>
    <n v="33195.9"/>
    <n v="188110.1"/>
    <n v="149894.5765230486"/>
    <n v="38215.523476951443"/>
  </r>
  <r>
    <x v="1117"/>
    <x v="2"/>
    <x v="0"/>
    <x v="4"/>
    <n v="67769"/>
    <n v="18"/>
    <n v="44714"/>
    <n v="0.05"/>
    <n v="1"/>
    <n v="40242.600000000013"/>
    <n v="764609.4"/>
    <n v="654870.8979808609"/>
    <n v="109738.50201913909"/>
  </r>
  <r>
    <x v="1118"/>
    <x v="2"/>
    <x v="2"/>
    <x v="1"/>
    <n v="56032"/>
    <n v="37"/>
    <n v="42116"/>
    <n v="0.15"/>
    <n v="4"/>
    <n v="233743.8"/>
    <n v="1324548.2"/>
    <n v="895134.82382964739"/>
    <n v="429413.37617035263"/>
  </r>
  <r>
    <x v="1119"/>
    <x v="3"/>
    <x v="1"/>
    <x v="4"/>
    <n v="98721"/>
    <n v="26"/>
    <n v="26189"/>
    <n v="0"/>
    <n v="4"/>
    <n v="0"/>
    <n v="680914"/>
    <n v="475385.20352741651"/>
    <n v="205528.79647258349"/>
  </r>
  <r>
    <x v="1120"/>
    <x v="3"/>
    <x v="3"/>
    <x v="2"/>
    <n v="43686"/>
    <n v="9"/>
    <n v="6583"/>
    <n v="0.15"/>
    <n v="5"/>
    <n v="8887.0499999999993"/>
    <n v="50359.95"/>
    <n v="38330.782208304838"/>
    <n v="12029.16779169515"/>
  </r>
  <r>
    <x v="1121"/>
    <x v="0"/>
    <x v="0"/>
    <x v="1"/>
    <n v="86981"/>
    <n v="35"/>
    <n v="13098"/>
    <n v="0.15"/>
    <n v="2"/>
    <n v="68764.5"/>
    <n v="389665.5"/>
    <n v="258532.08702811721"/>
    <n v="131133.41297188279"/>
  </r>
  <r>
    <x v="1122"/>
    <x v="0"/>
    <x v="1"/>
    <x v="5"/>
    <n v="73261"/>
    <n v="8"/>
    <n v="17440"/>
    <n v="0.05"/>
    <n v="4"/>
    <n v="6976"/>
    <n v="132544"/>
    <n v="111780.5686607563"/>
    <n v="20763.4313392437"/>
  </r>
  <r>
    <x v="1123"/>
    <x v="0"/>
    <x v="4"/>
    <x v="5"/>
    <n v="12809"/>
    <n v="20"/>
    <n v="27380"/>
    <n v="0.1"/>
    <n v="3"/>
    <n v="54760"/>
    <n v="492840"/>
    <n v="410087.72523739171"/>
    <n v="82752.274762608286"/>
  </r>
  <r>
    <x v="1124"/>
    <x v="3"/>
    <x v="4"/>
    <x v="0"/>
    <n v="51785"/>
    <n v="42"/>
    <n v="3080"/>
    <n v="0.15"/>
    <n v="4"/>
    <n v="19404"/>
    <n v="109956"/>
    <n v="70766.308644272838"/>
    <n v="39189.691355727162"/>
  </r>
  <r>
    <x v="1125"/>
    <x v="1"/>
    <x v="1"/>
    <x v="0"/>
    <n v="46547"/>
    <n v="22"/>
    <n v="47112"/>
    <n v="0.15"/>
    <n v="3"/>
    <n v="155469.6"/>
    <n v="880994.4"/>
    <n v="651186.05888518644"/>
    <n v="229808.34111481361"/>
  </r>
  <r>
    <x v="1126"/>
    <x v="1"/>
    <x v="3"/>
    <x v="2"/>
    <n v="52818"/>
    <n v="19"/>
    <n v="42821"/>
    <n v="0"/>
    <n v="5"/>
    <n v="0"/>
    <n v="813599"/>
    <n v="677279.12883673003"/>
    <n v="136319.87116327"/>
  </r>
  <r>
    <x v="1127"/>
    <x v="3"/>
    <x v="4"/>
    <x v="3"/>
    <n v="81927"/>
    <n v="30"/>
    <n v="9886"/>
    <n v="0"/>
    <n v="2"/>
    <n v="0"/>
    <n v="296580"/>
    <n v="207961.55770039521"/>
    <n v="88618.442299604765"/>
  </r>
  <r>
    <x v="1128"/>
    <x v="3"/>
    <x v="2"/>
    <x v="5"/>
    <n v="75681"/>
    <n v="28"/>
    <n v="20022"/>
    <n v="0"/>
    <n v="3"/>
    <n v="0"/>
    <n v="560616"/>
    <n v="442848.54435741721"/>
    <n v="117767.45564258281"/>
  </r>
  <r>
    <x v="1129"/>
    <x v="3"/>
    <x v="1"/>
    <x v="0"/>
    <n v="89465"/>
    <n v="35"/>
    <n v="26724"/>
    <n v="0.2"/>
    <n v="3"/>
    <n v="187068"/>
    <n v="748272"/>
    <n v="460235.12184579019"/>
    <n v="288036.87815420981"/>
  </r>
  <r>
    <x v="1130"/>
    <x v="3"/>
    <x v="1"/>
    <x v="5"/>
    <n v="99862"/>
    <n v="43"/>
    <n v="15135"/>
    <n v="0.15"/>
    <n v="4"/>
    <n v="97620.75"/>
    <n v="553184.25"/>
    <n v="432925.66064305208"/>
    <n v="120258.58935694789"/>
  </r>
  <r>
    <x v="1131"/>
    <x v="3"/>
    <x v="4"/>
    <x v="2"/>
    <n v="47333"/>
    <n v="11"/>
    <n v="1171"/>
    <n v="0"/>
    <n v="3"/>
    <n v="0"/>
    <n v="12881"/>
    <n v="8318.4969106163462"/>
    <n v="4562.5030893836538"/>
  </r>
  <r>
    <x v="1132"/>
    <x v="3"/>
    <x v="3"/>
    <x v="2"/>
    <n v="26576"/>
    <n v="31"/>
    <n v="34045"/>
    <n v="0.05"/>
    <n v="5"/>
    <n v="52769.75"/>
    <n v="1002625.25"/>
    <n v="851404.29419661243"/>
    <n v="151220.95580338759"/>
  </r>
  <r>
    <x v="1133"/>
    <x v="0"/>
    <x v="2"/>
    <x v="3"/>
    <n v="49405"/>
    <n v="49"/>
    <n v="27355"/>
    <n v="0.2"/>
    <n v="5"/>
    <n v="268079"/>
    <n v="1072316"/>
    <n v="757735.8440966293"/>
    <n v="314580.1559033707"/>
  </r>
  <r>
    <x v="1134"/>
    <x v="0"/>
    <x v="3"/>
    <x v="3"/>
    <n v="83779"/>
    <n v="48"/>
    <n v="36290"/>
    <n v="0.1"/>
    <n v="5"/>
    <n v="174192"/>
    <n v="1567728"/>
    <n v="1073056.7622321451"/>
    <n v="494671.2377678554"/>
  </r>
  <r>
    <x v="1135"/>
    <x v="0"/>
    <x v="0"/>
    <x v="1"/>
    <n v="41601"/>
    <n v="39"/>
    <n v="47085"/>
    <n v="0.15"/>
    <n v="4"/>
    <n v="275447.25"/>
    <n v="1560867.75"/>
    <n v="1330275.595523837"/>
    <n v="230592.15447616251"/>
  </r>
  <r>
    <x v="1136"/>
    <x v="0"/>
    <x v="0"/>
    <x v="2"/>
    <n v="77946"/>
    <n v="36"/>
    <n v="14760"/>
    <n v="0.15"/>
    <n v="2"/>
    <n v="79704"/>
    <n v="451656"/>
    <n v="277787.95466535637"/>
    <n v="173868.0453346436"/>
  </r>
  <r>
    <x v="1137"/>
    <x v="3"/>
    <x v="4"/>
    <x v="0"/>
    <n v="77356"/>
    <n v="30"/>
    <n v="1574"/>
    <n v="0.05"/>
    <n v="4"/>
    <n v="2361"/>
    <n v="44859"/>
    <n v="32252.842238801812"/>
    <n v="12606.15776119819"/>
  </r>
  <r>
    <x v="1138"/>
    <x v="1"/>
    <x v="4"/>
    <x v="5"/>
    <n v="62116"/>
    <n v="23"/>
    <n v="43176"/>
    <n v="0.1"/>
    <n v="5"/>
    <n v="99304.8"/>
    <n v="893743.2"/>
    <n v="635452.36450945749"/>
    <n v="258290.83549054249"/>
  </r>
  <r>
    <x v="1139"/>
    <x v="2"/>
    <x v="4"/>
    <x v="4"/>
    <n v="72894"/>
    <n v="19"/>
    <n v="9975"/>
    <n v="0.1"/>
    <n v="4"/>
    <n v="18952.5"/>
    <n v="170572.5"/>
    <n v="116917.23355100449"/>
    <n v="53655.26644899555"/>
  </r>
  <r>
    <x v="1140"/>
    <x v="3"/>
    <x v="0"/>
    <x v="3"/>
    <n v="44635"/>
    <n v="12"/>
    <n v="13378"/>
    <n v="0.2"/>
    <n v="5"/>
    <n v="32107.200000000001"/>
    <n v="128428.8"/>
    <n v="112185.9344261254"/>
    <n v="16242.8655738746"/>
  </r>
  <r>
    <x v="1141"/>
    <x v="2"/>
    <x v="3"/>
    <x v="4"/>
    <n v="17465"/>
    <n v="15"/>
    <n v="15620"/>
    <n v="0.15"/>
    <n v="1"/>
    <n v="35145"/>
    <n v="199155"/>
    <n v="164358.34326324679"/>
    <n v="34796.656736753153"/>
  </r>
  <r>
    <x v="1142"/>
    <x v="1"/>
    <x v="3"/>
    <x v="0"/>
    <n v="66754"/>
    <n v="31"/>
    <n v="23647"/>
    <n v="0"/>
    <n v="1"/>
    <n v="0"/>
    <n v="733057"/>
    <n v="453891.99689191498"/>
    <n v="279165.00310808502"/>
  </r>
  <r>
    <x v="1143"/>
    <x v="0"/>
    <x v="4"/>
    <x v="3"/>
    <n v="95119"/>
    <n v="43"/>
    <n v="2486"/>
    <n v="0.05"/>
    <n v="3"/>
    <n v="5344.9000000000005"/>
    <n v="101553.1"/>
    <n v="82705.477806363851"/>
    <n v="18847.622193636151"/>
  </r>
  <r>
    <x v="1144"/>
    <x v="1"/>
    <x v="2"/>
    <x v="4"/>
    <n v="48871"/>
    <n v="37"/>
    <n v="44093"/>
    <n v="0.05"/>
    <n v="2"/>
    <n v="81572.05"/>
    <n v="1549868.95"/>
    <n v="1175094.73613947"/>
    <n v="374774.21386052988"/>
  </r>
  <r>
    <x v="1145"/>
    <x v="3"/>
    <x v="3"/>
    <x v="0"/>
    <n v="72874"/>
    <n v="37"/>
    <n v="32930"/>
    <n v="0.05"/>
    <n v="1"/>
    <n v="60920.5"/>
    <n v="1157489.5"/>
    <n v="1007317.238597081"/>
    <n v="150172.2614029191"/>
  </r>
  <r>
    <x v="1146"/>
    <x v="0"/>
    <x v="0"/>
    <x v="5"/>
    <n v="87733"/>
    <n v="15"/>
    <n v="42461"/>
    <n v="0.05"/>
    <n v="5"/>
    <n v="31845.75"/>
    <n v="605069.25"/>
    <n v="419847.68099392753"/>
    <n v="185221.5690060725"/>
  </r>
  <r>
    <x v="1147"/>
    <x v="3"/>
    <x v="1"/>
    <x v="0"/>
    <n v="39511"/>
    <n v="29"/>
    <n v="17930"/>
    <n v="0"/>
    <n v="4"/>
    <n v="0"/>
    <n v="519970"/>
    <n v="401546.10448109842"/>
    <n v="118423.8955189016"/>
  </r>
  <r>
    <x v="1148"/>
    <x v="0"/>
    <x v="1"/>
    <x v="1"/>
    <n v="90960"/>
    <n v="43"/>
    <n v="2676"/>
    <n v="0"/>
    <n v="4"/>
    <n v="0"/>
    <n v="115068"/>
    <n v="86327.072386168729"/>
    <n v="28740.927613831271"/>
  </r>
  <r>
    <x v="1149"/>
    <x v="2"/>
    <x v="1"/>
    <x v="3"/>
    <n v="58821"/>
    <n v="26"/>
    <n v="19222"/>
    <n v="0.2"/>
    <n v="3"/>
    <n v="99954.400000000009"/>
    <n v="399817.6"/>
    <n v="298611.07997452392"/>
    <n v="101206.5200254761"/>
  </r>
  <r>
    <x v="1150"/>
    <x v="2"/>
    <x v="2"/>
    <x v="2"/>
    <n v="75776"/>
    <n v="44"/>
    <n v="43315"/>
    <n v="0.15"/>
    <n v="4"/>
    <n v="285879"/>
    <n v="1619981"/>
    <n v="1193653.224364588"/>
    <n v="426327.77563541202"/>
  </r>
  <r>
    <x v="1151"/>
    <x v="2"/>
    <x v="4"/>
    <x v="5"/>
    <n v="80167"/>
    <n v="2"/>
    <n v="19117"/>
    <n v="0"/>
    <n v="1"/>
    <n v="0"/>
    <n v="38234"/>
    <n v="25299.01121025037"/>
    <n v="12934.98878974963"/>
  </r>
  <r>
    <x v="1152"/>
    <x v="1"/>
    <x v="0"/>
    <x v="4"/>
    <n v="85135"/>
    <n v="20"/>
    <n v="27615"/>
    <n v="0.2"/>
    <n v="4"/>
    <n v="110460"/>
    <n v="441840"/>
    <n v="365274.86164621159"/>
    <n v="76565.138353788352"/>
  </r>
  <r>
    <x v="1153"/>
    <x v="3"/>
    <x v="2"/>
    <x v="3"/>
    <n v="54462"/>
    <n v="15"/>
    <n v="37876"/>
    <n v="0.1"/>
    <n v="1"/>
    <n v="56814"/>
    <n v="511326"/>
    <n v="376029.55448293482"/>
    <n v="135296.44551706521"/>
  </r>
  <r>
    <x v="1154"/>
    <x v="1"/>
    <x v="0"/>
    <x v="2"/>
    <n v="71382"/>
    <n v="4"/>
    <n v="12406"/>
    <n v="0.15"/>
    <n v="1"/>
    <n v="7443.5999999999995"/>
    <n v="42180.4"/>
    <n v="37437.419965835972"/>
    <n v="4742.9800341640293"/>
  </r>
  <r>
    <x v="1155"/>
    <x v="2"/>
    <x v="0"/>
    <x v="0"/>
    <n v="42574"/>
    <n v="22"/>
    <n v="40502"/>
    <n v="0"/>
    <n v="2"/>
    <n v="0"/>
    <n v="891044"/>
    <n v="604343.93525986804"/>
    <n v="286700.06474013202"/>
  </r>
  <r>
    <x v="1156"/>
    <x v="3"/>
    <x v="4"/>
    <x v="2"/>
    <n v="51910"/>
    <n v="38"/>
    <n v="7110"/>
    <n v="0.1"/>
    <n v="3"/>
    <n v="27018"/>
    <n v="243162"/>
    <n v="195702.4072594172"/>
    <n v="47459.592740582833"/>
  </r>
  <r>
    <x v="1157"/>
    <x v="2"/>
    <x v="1"/>
    <x v="3"/>
    <n v="83531"/>
    <n v="23"/>
    <n v="43792"/>
    <n v="0.2"/>
    <n v="5"/>
    <n v="201443.20000000001"/>
    <n v="805772.80000000005"/>
    <n v="710864.95058058831"/>
    <n v="94907.849419411737"/>
  </r>
  <r>
    <x v="1158"/>
    <x v="1"/>
    <x v="4"/>
    <x v="3"/>
    <n v="35186"/>
    <n v="26"/>
    <n v="13911"/>
    <n v="0"/>
    <n v="1"/>
    <n v="0"/>
    <n v="361686"/>
    <n v="289000.67610551952"/>
    <n v="72685.323894480476"/>
  </r>
  <r>
    <x v="1159"/>
    <x v="1"/>
    <x v="2"/>
    <x v="1"/>
    <n v="32813"/>
    <n v="11"/>
    <n v="9680"/>
    <n v="0"/>
    <n v="3"/>
    <n v="0"/>
    <n v="106480"/>
    <n v="91719.941760930058"/>
    <n v="14760.05823906994"/>
  </r>
  <r>
    <x v="1160"/>
    <x v="1"/>
    <x v="2"/>
    <x v="1"/>
    <n v="88812"/>
    <n v="28"/>
    <n v="48493"/>
    <n v="0.1"/>
    <n v="5"/>
    <n v="135780.4"/>
    <n v="1222023.6000000001"/>
    <n v="1036574.538412114"/>
    <n v="185449.06158788651"/>
  </r>
  <r>
    <x v="1161"/>
    <x v="2"/>
    <x v="2"/>
    <x v="2"/>
    <n v="95525"/>
    <n v="2"/>
    <n v="10573"/>
    <n v="0"/>
    <n v="4"/>
    <n v="0"/>
    <n v="21146"/>
    <n v="14972.114763519139"/>
    <n v="6173.885236480859"/>
  </r>
  <r>
    <x v="1162"/>
    <x v="3"/>
    <x v="4"/>
    <x v="0"/>
    <n v="88282"/>
    <n v="8"/>
    <n v="37751"/>
    <n v="0.05"/>
    <n v="3"/>
    <n v="15100.4"/>
    <n v="286907.59999999998"/>
    <n v="223798.59579317551"/>
    <n v="63109.004206824437"/>
  </r>
  <r>
    <x v="1163"/>
    <x v="3"/>
    <x v="0"/>
    <x v="2"/>
    <n v="28557"/>
    <n v="29"/>
    <n v="31460"/>
    <n v="0"/>
    <n v="3"/>
    <n v="0"/>
    <n v="912340"/>
    <n v="590173.04122904758"/>
    <n v="322166.95877095242"/>
  </r>
  <r>
    <x v="1164"/>
    <x v="2"/>
    <x v="0"/>
    <x v="3"/>
    <n v="38060"/>
    <n v="11"/>
    <n v="6401"/>
    <n v="0.15"/>
    <n v="3"/>
    <n v="10561.65"/>
    <n v="59849.35"/>
    <n v="45524.872796252363"/>
    <n v="14324.47720374764"/>
  </r>
  <r>
    <x v="1165"/>
    <x v="3"/>
    <x v="3"/>
    <x v="3"/>
    <n v="68866"/>
    <n v="37"/>
    <n v="39397"/>
    <n v="0.1"/>
    <n v="4"/>
    <n v="145768.9"/>
    <n v="1311920.1000000001"/>
    <n v="877840.62489145889"/>
    <n v="434079.4751085412"/>
  </r>
  <r>
    <x v="1166"/>
    <x v="2"/>
    <x v="2"/>
    <x v="4"/>
    <n v="82104"/>
    <n v="18"/>
    <n v="43683"/>
    <n v="0.15"/>
    <n v="4"/>
    <n v="117944.1"/>
    <n v="668349.9"/>
    <n v="550132.86776993575"/>
    <n v="118217.0322300643"/>
  </r>
  <r>
    <x v="1167"/>
    <x v="3"/>
    <x v="0"/>
    <x v="1"/>
    <n v="94577"/>
    <n v="14"/>
    <n v="4982"/>
    <n v="0.2"/>
    <n v="3"/>
    <n v="13949.6"/>
    <n v="55798.400000000001"/>
    <n v="42318.484514431657"/>
    <n v="13479.915485568339"/>
  </r>
  <r>
    <x v="1168"/>
    <x v="0"/>
    <x v="3"/>
    <x v="4"/>
    <n v="16080"/>
    <n v="10"/>
    <n v="42954"/>
    <n v="0.15"/>
    <n v="2"/>
    <n v="64431"/>
    <n v="365109"/>
    <n v="264108.24334292492"/>
    <n v="101000.75665707509"/>
  </r>
  <r>
    <x v="1169"/>
    <x v="0"/>
    <x v="0"/>
    <x v="5"/>
    <n v="23854"/>
    <n v="35"/>
    <n v="25928"/>
    <n v="0.05"/>
    <n v="1"/>
    <n v="45374"/>
    <n v="862106"/>
    <n v="586783.07681643846"/>
    <n v="275322.92318356148"/>
  </r>
  <r>
    <x v="1170"/>
    <x v="1"/>
    <x v="2"/>
    <x v="3"/>
    <n v="77695"/>
    <n v="9"/>
    <n v="7900"/>
    <n v="0.05"/>
    <n v="4"/>
    <n v="3555"/>
    <n v="67545"/>
    <n v="60764.126686790907"/>
    <n v="6780.8733132090856"/>
  </r>
  <r>
    <x v="1171"/>
    <x v="0"/>
    <x v="1"/>
    <x v="4"/>
    <n v="37025"/>
    <n v="35"/>
    <n v="40074"/>
    <n v="0.15"/>
    <n v="2"/>
    <n v="210388.5"/>
    <n v="1192201.5"/>
    <n v="740968.91716943937"/>
    <n v="451232.58283056063"/>
  </r>
  <r>
    <x v="1172"/>
    <x v="0"/>
    <x v="2"/>
    <x v="2"/>
    <n v="62982"/>
    <n v="11"/>
    <n v="43784"/>
    <n v="0.2"/>
    <n v="4"/>
    <n v="96324.800000000003"/>
    <n v="385299.20000000001"/>
    <n v="236214.68861280271"/>
    <n v="149084.5113871973"/>
  </r>
  <r>
    <x v="1173"/>
    <x v="0"/>
    <x v="4"/>
    <x v="1"/>
    <n v="51081"/>
    <n v="44"/>
    <n v="7896"/>
    <n v="0"/>
    <n v="3"/>
    <n v="0"/>
    <n v="347424"/>
    <n v="231098.53053275411"/>
    <n v="116325.4694672459"/>
  </r>
  <r>
    <x v="1174"/>
    <x v="2"/>
    <x v="0"/>
    <x v="1"/>
    <n v="14368"/>
    <n v="12"/>
    <n v="7838"/>
    <n v="0.05"/>
    <n v="2"/>
    <n v="4702.8"/>
    <n v="89353.2"/>
    <n v="79642.449483078992"/>
    <n v="9710.7505169210053"/>
  </r>
  <r>
    <x v="1175"/>
    <x v="0"/>
    <x v="0"/>
    <x v="0"/>
    <n v="37094"/>
    <n v="3"/>
    <n v="43218"/>
    <n v="0.15"/>
    <n v="5"/>
    <n v="19448.099999999999"/>
    <n v="110205.9"/>
    <n v="98498.887096216611"/>
    <n v="11707.012903783379"/>
  </r>
  <r>
    <x v="1176"/>
    <x v="0"/>
    <x v="4"/>
    <x v="2"/>
    <n v="56040"/>
    <n v="39"/>
    <n v="13000"/>
    <n v="0.15"/>
    <n v="1"/>
    <n v="76050"/>
    <n v="430950"/>
    <n v="343242.33219001559"/>
    <n v="87707.667809984414"/>
  </r>
  <r>
    <x v="1177"/>
    <x v="1"/>
    <x v="4"/>
    <x v="0"/>
    <n v="76766"/>
    <n v="14"/>
    <n v="12045"/>
    <n v="0.15"/>
    <n v="1"/>
    <n v="25294.5"/>
    <n v="143335.5"/>
    <n v="123846.4587592091"/>
    <n v="19489.041240790899"/>
  </r>
  <r>
    <x v="1178"/>
    <x v="0"/>
    <x v="1"/>
    <x v="4"/>
    <n v="93053"/>
    <n v="28"/>
    <n v="5741"/>
    <n v="0"/>
    <n v="4"/>
    <n v="0"/>
    <n v="160748"/>
    <n v="106766.97609275889"/>
    <n v="53981.023907241142"/>
  </r>
  <r>
    <x v="1179"/>
    <x v="0"/>
    <x v="0"/>
    <x v="5"/>
    <n v="33991"/>
    <n v="11"/>
    <n v="24278"/>
    <n v="0.1"/>
    <n v="1"/>
    <n v="26705.8"/>
    <n v="240352.2"/>
    <n v="214301.05674838761"/>
    <n v="26051.1432516124"/>
  </r>
  <r>
    <x v="1180"/>
    <x v="3"/>
    <x v="0"/>
    <x v="2"/>
    <n v="11301"/>
    <n v="39"/>
    <n v="23321"/>
    <n v="0.2"/>
    <n v="5"/>
    <n v="181903.8"/>
    <n v="727615.2"/>
    <n v="467736.84818738082"/>
    <n v="259878.35181261919"/>
  </r>
  <r>
    <x v="1181"/>
    <x v="1"/>
    <x v="1"/>
    <x v="2"/>
    <n v="38610"/>
    <n v="25"/>
    <n v="5195"/>
    <n v="0.1"/>
    <n v="2"/>
    <n v="12987.5"/>
    <n v="116887.5"/>
    <n v="73678.581130075079"/>
    <n v="43208.918869924921"/>
  </r>
  <r>
    <x v="1182"/>
    <x v="1"/>
    <x v="3"/>
    <x v="2"/>
    <n v="91463"/>
    <n v="21"/>
    <n v="12030"/>
    <n v="0.2"/>
    <n v="2"/>
    <n v="50526"/>
    <n v="202104"/>
    <n v="128065.9202784092"/>
    <n v="74038.079721590751"/>
  </r>
  <r>
    <x v="1183"/>
    <x v="1"/>
    <x v="1"/>
    <x v="0"/>
    <n v="44678"/>
    <n v="10"/>
    <n v="47580"/>
    <n v="0.2"/>
    <n v="3"/>
    <n v="95160"/>
    <n v="380640"/>
    <n v="293830.62381434068"/>
    <n v="86809.376185659319"/>
  </r>
  <r>
    <x v="1184"/>
    <x v="1"/>
    <x v="2"/>
    <x v="4"/>
    <n v="34466"/>
    <n v="43"/>
    <n v="14818"/>
    <n v="0.15"/>
    <n v="2"/>
    <n v="95576.099999999991"/>
    <n v="541597.9"/>
    <n v="451850.96861479682"/>
    <n v="89746.931385203265"/>
  </r>
  <r>
    <x v="1185"/>
    <x v="1"/>
    <x v="0"/>
    <x v="2"/>
    <n v="90440"/>
    <n v="15"/>
    <n v="22831"/>
    <n v="0.05"/>
    <n v="4"/>
    <n v="17123.25"/>
    <n v="325341.75"/>
    <n v="230992.69239518829"/>
    <n v="94349.057604811707"/>
  </r>
  <r>
    <x v="1186"/>
    <x v="1"/>
    <x v="4"/>
    <x v="2"/>
    <n v="50875"/>
    <n v="19"/>
    <n v="26855"/>
    <n v="0.15"/>
    <n v="5"/>
    <n v="76536.75"/>
    <n v="433708.25"/>
    <n v="387461.41726342269"/>
    <n v="46246.832736577308"/>
  </r>
  <r>
    <x v="1187"/>
    <x v="2"/>
    <x v="2"/>
    <x v="1"/>
    <n v="36081"/>
    <n v="48"/>
    <n v="11824"/>
    <n v="0"/>
    <n v="3"/>
    <n v="0"/>
    <n v="567552"/>
    <n v="414498.00546880031"/>
    <n v="153053.99453119971"/>
  </r>
  <r>
    <x v="1188"/>
    <x v="0"/>
    <x v="0"/>
    <x v="5"/>
    <n v="34354"/>
    <n v="22"/>
    <n v="28649"/>
    <n v="0.2"/>
    <n v="4"/>
    <n v="126055.6"/>
    <n v="504222.4"/>
    <n v="325291.29880421789"/>
    <n v="178931.1011957821"/>
  </r>
  <r>
    <x v="1189"/>
    <x v="1"/>
    <x v="1"/>
    <x v="1"/>
    <n v="28300"/>
    <n v="21"/>
    <n v="3718"/>
    <n v="0.05"/>
    <n v="4"/>
    <n v="3903.9"/>
    <n v="74174.100000000006"/>
    <n v="54873.259252990007"/>
    <n v="19300.840747009999"/>
  </r>
  <r>
    <x v="1190"/>
    <x v="0"/>
    <x v="2"/>
    <x v="1"/>
    <n v="74384"/>
    <n v="44"/>
    <n v="20641"/>
    <n v="0.2"/>
    <n v="4"/>
    <n v="181640.8"/>
    <n v="726563.2"/>
    <n v="583946.9447484772"/>
    <n v="142616.25525152279"/>
  </r>
  <r>
    <x v="1191"/>
    <x v="0"/>
    <x v="0"/>
    <x v="5"/>
    <n v="70892"/>
    <n v="32"/>
    <n v="37284"/>
    <n v="0.2"/>
    <n v="1"/>
    <n v="238617.60000000001"/>
    <n v="954470.40000000002"/>
    <n v="810982.702082498"/>
    <n v="143487.697917502"/>
  </r>
  <r>
    <x v="1192"/>
    <x v="2"/>
    <x v="3"/>
    <x v="4"/>
    <n v="45525"/>
    <n v="23"/>
    <n v="3337"/>
    <n v="0.15"/>
    <n v="4"/>
    <n v="11512.65"/>
    <n v="65238.35"/>
    <n v="48121.79588072691"/>
    <n v="17116.554119273089"/>
  </r>
  <r>
    <x v="1193"/>
    <x v="1"/>
    <x v="3"/>
    <x v="1"/>
    <n v="36532"/>
    <n v="13"/>
    <n v="49580"/>
    <n v="0.05"/>
    <n v="1"/>
    <n v="32227"/>
    <n v="612313"/>
    <n v="476429.75294359308"/>
    <n v="135883.24705640689"/>
  </r>
  <r>
    <x v="1194"/>
    <x v="3"/>
    <x v="4"/>
    <x v="4"/>
    <n v="16464"/>
    <n v="5"/>
    <n v="40302"/>
    <n v="0.05"/>
    <n v="2"/>
    <n v="10075.5"/>
    <n v="191434.5"/>
    <n v="130214.4003899322"/>
    <n v="61220.099610067788"/>
  </r>
  <r>
    <x v="1195"/>
    <x v="2"/>
    <x v="0"/>
    <x v="1"/>
    <n v="26562"/>
    <n v="4"/>
    <n v="40577"/>
    <n v="0.2"/>
    <n v="1"/>
    <n v="32461.599999999999"/>
    <n v="129846.39999999999"/>
    <n v="103068.8206962783"/>
    <n v="26777.579303721719"/>
  </r>
  <r>
    <x v="1196"/>
    <x v="3"/>
    <x v="3"/>
    <x v="3"/>
    <n v="65514"/>
    <n v="28"/>
    <n v="14879"/>
    <n v="0.05"/>
    <n v="4"/>
    <n v="20830.599999999999"/>
    <n v="395781.4"/>
    <n v="354537.64690121659"/>
    <n v="41243.753098783433"/>
  </r>
  <r>
    <x v="1197"/>
    <x v="0"/>
    <x v="1"/>
    <x v="5"/>
    <n v="84219"/>
    <n v="14"/>
    <n v="4739"/>
    <n v="0.05"/>
    <n v="5"/>
    <n v="3317.3"/>
    <n v="63028.7"/>
    <n v="38744.75487316928"/>
    <n v="24283.94512683072"/>
  </r>
  <r>
    <x v="1198"/>
    <x v="0"/>
    <x v="0"/>
    <x v="1"/>
    <n v="42634"/>
    <n v="8"/>
    <n v="45396"/>
    <n v="0.15"/>
    <n v="5"/>
    <n v="54475.199999999997"/>
    <n v="308692.8"/>
    <n v="267315.37050775677"/>
    <n v="41377.429492243158"/>
  </r>
  <r>
    <x v="1199"/>
    <x v="2"/>
    <x v="1"/>
    <x v="3"/>
    <n v="10060"/>
    <n v="9"/>
    <n v="21312"/>
    <n v="0.1"/>
    <n v="2"/>
    <n v="19180.8"/>
    <n v="172627.20000000001"/>
    <n v="132695.8962185249"/>
    <n v="39931.303781475093"/>
  </r>
  <r>
    <x v="1200"/>
    <x v="2"/>
    <x v="1"/>
    <x v="0"/>
    <n v="19269"/>
    <n v="35"/>
    <n v="30169"/>
    <n v="0"/>
    <n v="4"/>
    <n v="0"/>
    <n v="1055915"/>
    <n v="713407.42683351773"/>
    <n v="342507.57316648233"/>
  </r>
  <r>
    <x v="1201"/>
    <x v="3"/>
    <x v="3"/>
    <x v="3"/>
    <n v="73143"/>
    <n v="37"/>
    <n v="49124"/>
    <n v="0.1"/>
    <n v="1"/>
    <n v="181758.8"/>
    <n v="1635829.2"/>
    <n v="1450108.4611238029"/>
    <n v="185720.73887619699"/>
  </r>
  <r>
    <x v="1202"/>
    <x v="1"/>
    <x v="0"/>
    <x v="2"/>
    <n v="33065"/>
    <n v="21"/>
    <n v="10111"/>
    <n v="0.05"/>
    <n v="5"/>
    <n v="10616.55"/>
    <n v="201714.45"/>
    <n v="150278.53421899781"/>
    <n v="51435.915781002259"/>
  </r>
  <r>
    <x v="1203"/>
    <x v="3"/>
    <x v="2"/>
    <x v="1"/>
    <n v="12895"/>
    <n v="18"/>
    <n v="4650"/>
    <n v="0.2"/>
    <n v="3"/>
    <n v="16740"/>
    <n v="66960"/>
    <n v="46838.993775614967"/>
    <n v="20121.00622438503"/>
  </r>
  <r>
    <x v="1204"/>
    <x v="2"/>
    <x v="3"/>
    <x v="3"/>
    <n v="90859"/>
    <n v="33"/>
    <n v="11609"/>
    <n v="0"/>
    <n v="4"/>
    <n v="0"/>
    <n v="383097"/>
    <n v="250717.55906930231"/>
    <n v="132379.44093069769"/>
  </r>
  <r>
    <x v="1205"/>
    <x v="3"/>
    <x v="3"/>
    <x v="4"/>
    <n v="22352"/>
    <n v="8"/>
    <n v="34714"/>
    <n v="0"/>
    <n v="4"/>
    <n v="0"/>
    <n v="277712"/>
    <n v="186993.39366443941"/>
    <n v="90718.606335560558"/>
  </r>
  <r>
    <x v="1206"/>
    <x v="2"/>
    <x v="0"/>
    <x v="0"/>
    <n v="59737"/>
    <n v="49"/>
    <n v="26516"/>
    <n v="0.2"/>
    <n v="3"/>
    <n v="259856.8"/>
    <n v="1039427.2"/>
    <n v="883362.10419722297"/>
    <n v="156065.09580277701"/>
  </r>
  <r>
    <x v="1207"/>
    <x v="3"/>
    <x v="0"/>
    <x v="1"/>
    <n v="42016"/>
    <n v="17"/>
    <n v="12436"/>
    <n v="0"/>
    <n v="5"/>
    <n v="0"/>
    <n v="211412"/>
    <n v="165815.29466692821"/>
    <n v="45596.70533307179"/>
  </r>
  <r>
    <x v="1208"/>
    <x v="2"/>
    <x v="1"/>
    <x v="2"/>
    <n v="71304"/>
    <n v="43"/>
    <n v="11536"/>
    <n v="0.2"/>
    <n v="3"/>
    <n v="99209.600000000006"/>
    <n v="396838.40000000002"/>
    <n v="346826.31913342571"/>
    <n v="50012.080866574368"/>
  </r>
  <r>
    <x v="1209"/>
    <x v="2"/>
    <x v="0"/>
    <x v="3"/>
    <n v="21962"/>
    <n v="31"/>
    <n v="39736"/>
    <n v="0"/>
    <n v="2"/>
    <n v="0"/>
    <n v="1231816"/>
    <n v="824812.33525895851"/>
    <n v="407003.66474104149"/>
  </r>
  <r>
    <x v="1210"/>
    <x v="2"/>
    <x v="1"/>
    <x v="0"/>
    <n v="43302"/>
    <n v="34"/>
    <n v="14521"/>
    <n v="0.1"/>
    <n v="1"/>
    <n v="49371.4"/>
    <n v="444342.6"/>
    <n v="282753.66865929379"/>
    <n v="161588.9313407061"/>
  </r>
  <r>
    <x v="1211"/>
    <x v="1"/>
    <x v="3"/>
    <x v="1"/>
    <n v="95382"/>
    <n v="6"/>
    <n v="37443"/>
    <n v="0"/>
    <n v="1"/>
    <n v="0"/>
    <n v="224658"/>
    <n v="135205.0837601742"/>
    <n v="89452.916239825776"/>
  </r>
  <r>
    <x v="1212"/>
    <x v="3"/>
    <x v="4"/>
    <x v="0"/>
    <n v="14011"/>
    <n v="22"/>
    <n v="48658"/>
    <n v="0.15"/>
    <n v="5"/>
    <n v="160571.4"/>
    <n v="909904.6"/>
    <n v="684574.5612576498"/>
    <n v="225330.03874235021"/>
  </r>
  <r>
    <x v="1213"/>
    <x v="3"/>
    <x v="2"/>
    <x v="2"/>
    <n v="29782"/>
    <n v="14"/>
    <n v="38348"/>
    <n v="0.2"/>
    <n v="3"/>
    <n v="107374.39999999999"/>
    <n v="429497.59999999998"/>
    <n v="386329.68919872917"/>
    <n v="43167.910801270737"/>
  </r>
  <r>
    <x v="1214"/>
    <x v="3"/>
    <x v="3"/>
    <x v="3"/>
    <n v="77691"/>
    <n v="3"/>
    <n v="15971"/>
    <n v="0"/>
    <n v="4"/>
    <n v="0"/>
    <n v="47913"/>
    <n v="38737.161277472238"/>
    <n v="9175.838722527762"/>
  </r>
  <r>
    <x v="1215"/>
    <x v="2"/>
    <x v="0"/>
    <x v="0"/>
    <n v="49725"/>
    <n v="12"/>
    <n v="48161"/>
    <n v="0.2"/>
    <n v="4"/>
    <n v="115586.4"/>
    <n v="462345.6"/>
    <n v="320182.82479766419"/>
    <n v="142162.77520233579"/>
  </r>
  <r>
    <x v="1216"/>
    <x v="3"/>
    <x v="2"/>
    <x v="0"/>
    <n v="19196"/>
    <n v="36"/>
    <n v="23744"/>
    <n v="0.15"/>
    <n v="4"/>
    <n v="128217.60000000001"/>
    <n v="726566.40000000002"/>
    <n v="627068.63519352803"/>
    <n v="99497.764806471998"/>
  </r>
  <r>
    <x v="1217"/>
    <x v="3"/>
    <x v="4"/>
    <x v="5"/>
    <n v="53459"/>
    <n v="12"/>
    <n v="49277"/>
    <n v="0"/>
    <n v="2"/>
    <n v="0"/>
    <n v="591324"/>
    <n v="493469.74116391927"/>
    <n v="97854.258836080728"/>
  </r>
  <r>
    <x v="1218"/>
    <x v="2"/>
    <x v="4"/>
    <x v="0"/>
    <n v="97245"/>
    <n v="45"/>
    <n v="39485"/>
    <n v="0"/>
    <n v="2"/>
    <n v="0"/>
    <n v="1776825"/>
    <n v="1074312.0157391841"/>
    <n v="702512.98426081589"/>
  </r>
  <r>
    <x v="1219"/>
    <x v="0"/>
    <x v="1"/>
    <x v="5"/>
    <n v="88863"/>
    <n v="2"/>
    <n v="38940"/>
    <n v="0.15"/>
    <n v="4"/>
    <n v="11682"/>
    <n v="66198"/>
    <n v="55941.159027256377"/>
    <n v="10256.840972743619"/>
  </r>
  <r>
    <x v="1220"/>
    <x v="2"/>
    <x v="2"/>
    <x v="3"/>
    <n v="42769"/>
    <n v="2"/>
    <n v="2002"/>
    <n v="0.15"/>
    <n v="5"/>
    <n v="600.6"/>
    <n v="3403.4"/>
    <n v="2348.8838296756489"/>
    <n v="1054.5161703243509"/>
  </r>
  <r>
    <x v="1221"/>
    <x v="3"/>
    <x v="1"/>
    <x v="1"/>
    <n v="34700"/>
    <n v="15"/>
    <n v="34678"/>
    <n v="0.15"/>
    <n v="2"/>
    <n v="78025.5"/>
    <n v="442144.5"/>
    <n v="285139.88974847522"/>
    <n v="157004.61025152481"/>
  </r>
  <r>
    <x v="1222"/>
    <x v="2"/>
    <x v="3"/>
    <x v="1"/>
    <n v="90356"/>
    <n v="23"/>
    <n v="4270"/>
    <n v="0.2"/>
    <n v="2"/>
    <n v="19642"/>
    <n v="78568"/>
    <n v="52475.508424938736"/>
    <n v="26092.49157506126"/>
  </r>
  <r>
    <x v="1223"/>
    <x v="0"/>
    <x v="2"/>
    <x v="3"/>
    <n v="86427"/>
    <n v="29"/>
    <n v="43365"/>
    <n v="0.15"/>
    <n v="1"/>
    <n v="188637.75"/>
    <n v="1068947.25"/>
    <n v="791634.47798770282"/>
    <n v="277312.77201229718"/>
  </r>
  <r>
    <x v="1224"/>
    <x v="2"/>
    <x v="3"/>
    <x v="3"/>
    <n v="15269"/>
    <n v="17"/>
    <n v="4501"/>
    <n v="0.2"/>
    <n v="1"/>
    <n v="15303.4"/>
    <n v="61213.599999999999"/>
    <n v="44530.468602111119"/>
    <n v="16683.131397888879"/>
  </r>
  <r>
    <x v="1225"/>
    <x v="3"/>
    <x v="1"/>
    <x v="4"/>
    <n v="53880"/>
    <n v="32"/>
    <n v="21446"/>
    <n v="0.1"/>
    <n v="5"/>
    <n v="68627.199999999997"/>
    <n v="617644.80000000005"/>
    <n v="424115.80147336028"/>
    <n v="193528.99852663971"/>
  </r>
  <r>
    <x v="1226"/>
    <x v="0"/>
    <x v="2"/>
    <x v="3"/>
    <n v="18320"/>
    <n v="7"/>
    <n v="1098"/>
    <n v="0"/>
    <n v="2"/>
    <n v="0"/>
    <n v="7686"/>
    <n v="5008.7010073449756"/>
    <n v="2677.298992655024"/>
  </r>
  <r>
    <x v="1227"/>
    <x v="1"/>
    <x v="1"/>
    <x v="0"/>
    <n v="59589"/>
    <n v="30"/>
    <n v="30816"/>
    <n v="0"/>
    <n v="2"/>
    <n v="0"/>
    <n v="924480"/>
    <n v="766088.13612251787"/>
    <n v="158391.8638774821"/>
  </r>
  <r>
    <x v="1228"/>
    <x v="3"/>
    <x v="2"/>
    <x v="1"/>
    <n v="86276"/>
    <n v="28"/>
    <n v="26067"/>
    <n v="0.05"/>
    <n v="3"/>
    <n v="36493.800000000003"/>
    <n v="693382.2"/>
    <n v="621986.67002629221"/>
    <n v="71395.529973707744"/>
  </r>
  <r>
    <x v="1229"/>
    <x v="0"/>
    <x v="1"/>
    <x v="2"/>
    <n v="45897"/>
    <n v="14"/>
    <n v="27008"/>
    <n v="0.1"/>
    <n v="5"/>
    <n v="37811.199999999997"/>
    <n v="340300.79999999999"/>
    <n v="283585.40911502548"/>
    <n v="56715.390884974513"/>
  </r>
  <r>
    <x v="1230"/>
    <x v="0"/>
    <x v="4"/>
    <x v="1"/>
    <n v="68565"/>
    <n v="44"/>
    <n v="44244"/>
    <n v="0.15"/>
    <n v="5"/>
    <n v="292010.40000000002"/>
    <n v="1654725.6"/>
    <n v="1139743.7029177421"/>
    <n v="514981.89708225848"/>
  </r>
  <r>
    <x v="1231"/>
    <x v="1"/>
    <x v="1"/>
    <x v="5"/>
    <n v="40930"/>
    <n v="30"/>
    <n v="39659"/>
    <n v="0.15"/>
    <n v="3"/>
    <n v="178465.5"/>
    <n v="1011304.5"/>
    <n v="681055.62129492499"/>
    <n v="330248.87870507501"/>
  </r>
  <r>
    <x v="1232"/>
    <x v="2"/>
    <x v="4"/>
    <x v="1"/>
    <n v="67233"/>
    <n v="17"/>
    <n v="30776"/>
    <n v="0.1"/>
    <n v="3"/>
    <n v="52319.199999999997"/>
    <n v="470872.8"/>
    <n v="313271.5621582864"/>
    <n v="157601.23784171359"/>
  </r>
  <r>
    <x v="1233"/>
    <x v="2"/>
    <x v="1"/>
    <x v="4"/>
    <n v="92821"/>
    <n v="32"/>
    <n v="24171"/>
    <n v="0.15"/>
    <n v="1"/>
    <n v="116020.8"/>
    <n v="657451.19999999995"/>
    <n v="421431.82222707191"/>
    <n v="236019.3777729281"/>
  </r>
  <r>
    <x v="1234"/>
    <x v="3"/>
    <x v="2"/>
    <x v="3"/>
    <n v="24380"/>
    <n v="46"/>
    <n v="16950"/>
    <n v="0.05"/>
    <n v="5"/>
    <n v="38985"/>
    <n v="740715"/>
    <n v="566942.64243459981"/>
    <n v="173772.35756540019"/>
  </r>
  <r>
    <x v="1235"/>
    <x v="1"/>
    <x v="2"/>
    <x v="3"/>
    <n v="86896"/>
    <n v="6"/>
    <n v="15408"/>
    <n v="0.2"/>
    <n v="5"/>
    <n v="18489.599999999999"/>
    <n v="73958.399999999994"/>
    <n v="57807.372860722273"/>
    <n v="16151.02713927773"/>
  </r>
  <r>
    <x v="1236"/>
    <x v="2"/>
    <x v="2"/>
    <x v="1"/>
    <n v="80934"/>
    <n v="24"/>
    <n v="44858"/>
    <n v="0"/>
    <n v="3"/>
    <n v="0"/>
    <n v="1076592"/>
    <n v="873816.75613459444"/>
    <n v="202775.24386540559"/>
  </r>
  <r>
    <x v="1237"/>
    <x v="1"/>
    <x v="0"/>
    <x v="2"/>
    <n v="65830"/>
    <n v="6"/>
    <n v="49547"/>
    <n v="0.1"/>
    <n v="4"/>
    <n v="29728.2"/>
    <n v="267553.8"/>
    <n v="215130.3816612337"/>
    <n v="52423.418338766263"/>
  </r>
  <r>
    <x v="1238"/>
    <x v="2"/>
    <x v="3"/>
    <x v="2"/>
    <n v="15529"/>
    <n v="27"/>
    <n v="36018"/>
    <n v="0"/>
    <n v="4"/>
    <n v="0"/>
    <n v="972486"/>
    <n v="668778.61576701945"/>
    <n v="303707.38423298049"/>
  </r>
  <r>
    <x v="1239"/>
    <x v="0"/>
    <x v="2"/>
    <x v="4"/>
    <n v="92987"/>
    <n v="18"/>
    <n v="31712"/>
    <n v="0.2"/>
    <n v="1"/>
    <n v="114163.2"/>
    <n v="456652.79999999999"/>
    <n v="319242.91364558548"/>
    <n v="137409.88635441451"/>
  </r>
  <r>
    <x v="1240"/>
    <x v="2"/>
    <x v="4"/>
    <x v="5"/>
    <n v="59178"/>
    <n v="24"/>
    <n v="43184"/>
    <n v="0.1"/>
    <n v="4"/>
    <n v="103641.60000000001"/>
    <n v="932774.40000000002"/>
    <n v="750374.43356655166"/>
    <n v="182399.9664334484"/>
  </r>
  <r>
    <x v="1241"/>
    <x v="1"/>
    <x v="2"/>
    <x v="1"/>
    <n v="16937"/>
    <n v="37"/>
    <n v="7306"/>
    <n v="0.2"/>
    <n v="4"/>
    <n v="54064.4"/>
    <n v="216257.6"/>
    <n v="152425.77243645891"/>
    <n v="63831.827563541126"/>
  </r>
  <r>
    <x v="1242"/>
    <x v="0"/>
    <x v="0"/>
    <x v="3"/>
    <n v="49886"/>
    <n v="24"/>
    <n v="39697"/>
    <n v="0.15"/>
    <n v="4"/>
    <n v="142909.20000000001"/>
    <n v="809818.8"/>
    <n v="537547.15688090539"/>
    <n v="272271.64311909472"/>
  </r>
  <r>
    <x v="1243"/>
    <x v="0"/>
    <x v="4"/>
    <x v="1"/>
    <n v="59699"/>
    <n v="38"/>
    <n v="41391"/>
    <n v="0.15"/>
    <n v="2"/>
    <n v="235928.7"/>
    <n v="1336929.3"/>
    <n v="952295.87157794239"/>
    <n v="384633.42842205771"/>
  </r>
  <r>
    <x v="1244"/>
    <x v="0"/>
    <x v="0"/>
    <x v="4"/>
    <n v="86396"/>
    <n v="34"/>
    <n v="18515"/>
    <n v="0.15"/>
    <n v="1"/>
    <n v="94426.5"/>
    <n v="535083.5"/>
    <n v="364726.42299941269"/>
    <n v="170357.07700058731"/>
  </r>
  <r>
    <x v="1245"/>
    <x v="1"/>
    <x v="4"/>
    <x v="0"/>
    <n v="35279"/>
    <n v="40"/>
    <n v="39720"/>
    <n v="0.2"/>
    <n v="3"/>
    <n v="317760"/>
    <n v="1271040"/>
    <n v="796298.70035329834"/>
    <n v="474741.29964670172"/>
  </r>
  <r>
    <x v="1246"/>
    <x v="3"/>
    <x v="1"/>
    <x v="0"/>
    <n v="48106"/>
    <n v="47"/>
    <n v="17658"/>
    <n v="0.2"/>
    <n v="4"/>
    <n v="165985.20000000001"/>
    <n v="663940.80000000005"/>
    <n v="563713.40606660501"/>
    <n v="100227.393933395"/>
  </r>
  <r>
    <x v="1247"/>
    <x v="3"/>
    <x v="3"/>
    <x v="4"/>
    <n v="89737"/>
    <n v="15"/>
    <n v="15956"/>
    <n v="0.2"/>
    <n v="2"/>
    <n v="47868"/>
    <n v="191472"/>
    <n v="163887.28317140281"/>
    <n v="27584.716828597189"/>
  </r>
  <r>
    <x v="1248"/>
    <x v="3"/>
    <x v="3"/>
    <x v="3"/>
    <n v="50544"/>
    <n v="11"/>
    <n v="28088"/>
    <n v="0"/>
    <n v="4"/>
    <n v="0"/>
    <n v="308968"/>
    <n v="205749.54322258811"/>
    <n v="103218.45677741191"/>
  </r>
  <r>
    <x v="1249"/>
    <x v="1"/>
    <x v="0"/>
    <x v="4"/>
    <n v="18997"/>
    <n v="22"/>
    <n v="22991"/>
    <n v="0.2"/>
    <n v="2"/>
    <n v="101160.4"/>
    <n v="404641.6"/>
    <n v="250647.81793541909"/>
    <n v="153993.78206458091"/>
  </r>
  <r>
    <x v="1250"/>
    <x v="0"/>
    <x v="3"/>
    <x v="3"/>
    <n v="95711"/>
    <n v="24"/>
    <n v="24688"/>
    <n v="0.15"/>
    <n v="1"/>
    <n v="88876.800000000003"/>
    <n v="503635.20000000001"/>
    <n v="413810.97125275468"/>
    <n v="89824.228747245332"/>
  </r>
  <r>
    <x v="1251"/>
    <x v="3"/>
    <x v="0"/>
    <x v="2"/>
    <n v="50860"/>
    <n v="1"/>
    <n v="27579"/>
    <n v="0.05"/>
    <n v="4"/>
    <n v="1378.95"/>
    <n v="26200.05"/>
    <n v="17382.648172215821"/>
    <n v="8817.4018277841787"/>
  </r>
  <r>
    <x v="1252"/>
    <x v="1"/>
    <x v="0"/>
    <x v="4"/>
    <n v="13225"/>
    <n v="18"/>
    <n v="4519"/>
    <n v="0.2"/>
    <n v="2"/>
    <n v="16268.4"/>
    <n v="65073.599999999999"/>
    <n v="46724.83909962554"/>
    <n v="18348.760900374458"/>
  </r>
  <r>
    <x v="1253"/>
    <x v="3"/>
    <x v="0"/>
    <x v="3"/>
    <n v="69470"/>
    <n v="44"/>
    <n v="12919"/>
    <n v="0.05"/>
    <n v="5"/>
    <n v="28421.8"/>
    <n v="540014.19999999995"/>
    <n v="334398.70407863049"/>
    <n v="205615.49592136941"/>
  </r>
  <r>
    <x v="1254"/>
    <x v="2"/>
    <x v="3"/>
    <x v="4"/>
    <n v="73656"/>
    <n v="12"/>
    <n v="34197"/>
    <n v="0.15"/>
    <n v="5"/>
    <n v="61554.6"/>
    <n v="348809.4"/>
    <n v="232963.12742935171"/>
    <n v="115846.2725706483"/>
  </r>
  <r>
    <x v="1255"/>
    <x v="3"/>
    <x v="0"/>
    <x v="4"/>
    <n v="61880"/>
    <n v="43"/>
    <n v="19896"/>
    <n v="0.2"/>
    <n v="2"/>
    <n v="171105.6"/>
    <n v="684422.4"/>
    <n v="573457.46408995125"/>
    <n v="110964.93591004881"/>
  </r>
  <r>
    <x v="1256"/>
    <x v="3"/>
    <x v="3"/>
    <x v="3"/>
    <n v="71078"/>
    <n v="28"/>
    <n v="39532"/>
    <n v="0"/>
    <n v="4"/>
    <n v="0"/>
    <n v="1106896"/>
    <n v="931252.56285139488"/>
    <n v="175643.43714860509"/>
  </r>
  <r>
    <x v="1257"/>
    <x v="0"/>
    <x v="0"/>
    <x v="3"/>
    <n v="98646"/>
    <n v="40"/>
    <n v="30392"/>
    <n v="0"/>
    <n v="4"/>
    <n v="0"/>
    <n v="1215680"/>
    <n v="804932.66397584754"/>
    <n v="410747.33602415252"/>
  </r>
  <r>
    <x v="1258"/>
    <x v="1"/>
    <x v="2"/>
    <x v="5"/>
    <n v="86290"/>
    <n v="7"/>
    <n v="8473"/>
    <n v="0.05"/>
    <n v="1"/>
    <n v="2965.55"/>
    <n v="56345.45"/>
    <n v="39485.435029130007"/>
    <n v="16860.014970869979"/>
  </r>
  <r>
    <x v="1259"/>
    <x v="0"/>
    <x v="0"/>
    <x v="4"/>
    <n v="66633"/>
    <n v="23"/>
    <n v="42965"/>
    <n v="0"/>
    <n v="1"/>
    <n v="0"/>
    <n v="988195"/>
    <n v="632713.12036690256"/>
    <n v="355481.87963309739"/>
  </r>
  <r>
    <x v="1260"/>
    <x v="0"/>
    <x v="4"/>
    <x v="0"/>
    <n v="36655"/>
    <n v="21"/>
    <n v="21613"/>
    <n v="0"/>
    <n v="3"/>
    <n v="0"/>
    <n v="453873"/>
    <n v="282423.28626759257"/>
    <n v="171449.7137324074"/>
  </r>
  <r>
    <x v="1261"/>
    <x v="0"/>
    <x v="0"/>
    <x v="4"/>
    <n v="53601"/>
    <n v="34"/>
    <n v="11636"/>
    <n v="0"/>
    <n v="1"/>
    <n v="0"/>
    <n v="395624"/>
    <n v="355132.48270708119"/>
    <n v="40491.517292918747"/>
  </r>
  <r>
    <x v="1262"/>
    <x v="0"/>
    <x v="1"/>
    <x v="4"/>
    <n v="13114"/>
    <n v="11"/>
    <n v="19703"/>
    <n v="0.15"/>
    <n v="4"/>
    <n v="32509.95"/>
    <n v="184223.05"/>
    <n v="146766.48517796269"/>
    <n v="37456.564822037333"/>
  </r>
  <r>
    <x v="1263"/>
    <x v="0"/>
    <x v="0"/>
    <x v="3"/>
    <n v="36502"/>
    <n v="22"/>
    <n v="31785"/>
    <n v="0"/>
    <n v="3"/>
    <n v="0"/>
    <n v="699270"/>
    <n v="533283.54779613251"/>
    <n v="165986.45220386749"/>
  </r>
  <r>
    <x v="1264"/>
    <x v="3"/>
    <x v="4"/>
    <x v="4"/>
    <n v="59768"/>
    <n v="42"/>
    <n v="23539"/>
    <n v="0.1"/>
    <n v="1"/>
    <n v="98863.8"/>
    <n v="889774.2"/>
    <n v="738200.76473979757"/>
    <n v="151573.43526020239"/>
  </r>
  <r>
    <x v="1265"/>
    <x v="0"/>
    <x v="4"/>
    <x v="1"/>
    <n v="58128"/>
    <n v="35"/>
    <n v="1684"/>
    <n v="0.2"/>
    <n v="2"/>
    <n v="11788"/>
    <n v="47152"/>
    <n v="40174.595470078668"/>
    <n v="6977.4045299213321"/>
  </r>
  <r>
    <x v="1266"/>
    <x v="0"/>
    <x v="3"/>
    <x v="4"/>
    <n v="30028"/>
    <n v="29"/>
    <n v="23227"/>
    <n v="0"/>
    <n v="5"/>
    <n v="0"/>
    <n v="673583"/>
    <n v="567166.60608116153"/>
    <n v="106416.3939188385"/>
  </r>
  <r>
    <x v="1267"/>
    <x v="1"/>
    <x v="2"/>
    <x v="1"/>
    <n v="65565"/>
    <n v="42"/>
    <n v="17411"/>
    <n v="0"/>
    <n v="1"/>
    <n v="0"/>
    <n v="731262"/>
    <n v="442385.60122998408"/>
    <n v="288876.39877001592"/>
  </r>
  <r>
    <x v="1268"/>
    <x v="2"/>
    <x v="0"/>
    <x v="0"/>
    <n v="93123"/>
    <n v="28"/>
    <n v="1416"/>
    <n v="0"/>
    <n v="1"/>
    <n v="0"/>
    <n v="39648"/>
    <n v="26010.76786423707"/>
    <n v="13637.23213576293"/>
  </r>
  <r>
    <x v="1269"/>
    <x v="3"/>
    <x v="3"/>
    <x v="3"/>
    <n v="45333"/>
    <n v="18"/>
    <n v="4074"/>
    <n v="0.1"/>
    <n v="2"/>
    <n v="7333.2000000000007"/>
    <n v="65998.8"/>
    <n v="52566.169216024296"/>
    <n v="13432.63078397571"/>
  </r>
  <r>
    <x v="1270"/>
    <x v="3"/>
    <x v="2"/>
    <x v="4"/>
    <n v="13174"/>
    <n v="14"/>
    <n v="36587"/>
    <n v="0"/>
    <n v="4"/>
    <n v="0"/>
    <n v="512218"/>
    <n v="365072.01048403513"/>
    <n v="147145.9895159649"/>
  </r>
  <r>
    <x v="1271"/>
    <x v="3"/>
    <x v="0"/>
    <x v="1"/>
    <n v="45398"/>
    <n v="18"/>
    <n v="18290"/>
    <n v="0"/>
    <n v="2"/>
    <n v="0"/>
    <n v="329220"/>
    <n v="294567.88151470129"/>
    <n v="34652.118485298713"/>
  </r>
  <r>
    <x v="1272"/>
    <x v="0"/>
    <x v="1"/>
    <x v="1"/>
    <n v="45929"/>
    <n v="28"/>
    <n v="18125"/>
    <n v="0.2"/>
    <n v="1"/>
    <n v="101500"/>
    <n v="406000"/>
    <n v="324646.30374333932"/>
    <n v="81353.696256660682"/>
  </r>
  <r>
    <x v="1273"/>
    <x v="0"/>
    <x v="0"/>
    <x v="1"/>
    <n v="14321"/>
    <n v="24"/>
    <n v="5706"/>
    <n v="0.1"/>
    <n v="4"/>
    <n v="13694.4"/>
    <n v="123249.60000000001"/>
    <n v="109318.0411143934"/>
    <n v="13931.55888560663"/>
  </r>
  <r>
    <x v="1274"/>
    <x v="0"/>
    <x v="4"/>
    <x v="2"/>
    <n v="65421"/>
    <n v="8"/>
    <n v="20017"/>
    <n v="0.1"/>
    <n v="3"/>
    <n v="16013.6"/>
    <n v="144122.4"/>
    <n v="95183.32512190433"/>
    <n v="48939.074878095656"/>
  </r>
  <r>
    <x v="1275"/>
    <x v="1"/>
    <x v="4"/>
    <x v="5"/>
    <n v="82635"/>
    <n v="42"/>
    <n v="38196"/>
    <n v="0"/>
    <n v="1"/>
    <n v="0"/>
    <n v="1604232"/>
    <n v="1378335.4533381059"/>
    <n v="225896.5466618943"/>
  </r>
  <r>
    <x v="1276"/>
    <x v="2"/>
    <x v="1"/>
    <x v="0"/>
    <n v="33760"/>
    <n v="45"/>
    <n v="16605"/>
    <n v="0.1"/>
    <n v="2"/>
    <n v="74722.5"/>
    <n v="672502.5"/>
    <n v="468334.56871245097"/>
    <n v="204167.931287549"/>
  </r>
  <r>
    <x v="1277"/>
    <x v="0"/>
    <x v="3"/>
    <x v="4"/>
    <n v="21360"/>
    <n v="8"/>
    <n v="36156"/>
    <n v="0.05"/>
    <n v="3"/>
    <n v="14462.4"/>
    <n v="274785.59999999998"/>
    <n v="246446.8078711532"/>
    <n v="28338.79212884681"/>
  </r>
  <r>
    <x v="1278"/>
    <x v="2"/>
    <x v="2"/>
    <x v="2"/>
    <n v="20313"/>
    <n v="4"/>
    <n v="3190"/>
    <n v="0.1"/>
    <n v="5"/>
    <n v="1276"/>
    <n v="11484"/>
    <n v="7433.6690130264069"/>
    <n v="4050.3309869735931"/>
  </r>
  <r>
    <x v="1279"/>
    <x v="1"/>
    <x v="0"/>
    <x v="4"/>
    <n v="95998"/>
    <n v="27"/>
    <n v="37359"/>
    <n v="0.1"/>
    <n v="3"/>
    <n v="100869.3"/>
    <n v="907823.7"/>
    <n v="685317.87743854185"/>
    <n v="222505.8225614581"/>
  </r>
  <r>
    <x v="1280"/>
    <x v="3"/>
    <x v="4"/>
    <x v="4"/>
    <n v="15801"/>
    <n v="36"/>
    <n v="47228"/>
    <n v="0.1"/>
    <n v="2"/>
    <n v="170020.8"/>
    <n v="1530187.2"/>
    <n v="1282072.4871802591"/>
    <n v="248114.71281974061"/>
  </r>
  <r>
    <x v="1281"/>
    <x v="0"/>
    <x v="3"/>
    <x v="3"/>
    <n v="24130"/>
    <n v="5"/>
    <n v="1190"/>
    <n v="0.15"/>
    <n v="3"/>
    <n v="892.5"/>
    <n v="5057.5"/>
    <n v="3690.9268036964741"/>
    <n v="1366.5731963035259"/>
  </r>
  <r>
    <x v="1282"/>
    <x v="2"/>
    <x v="1"/>
    <x v="3"/>
    <n v="24271"/>
    <n v="33"/>
    <n v="25603"/>
    <n v="0.15"/>
    <n v="2"/>
    <n v="126734.85"/>
    <n v="718164.15"/>
    <n v="531746.84736396302"/>
    <n v="186417.302636037"/>
  </r>
  <r>
    <x v="1283"/>
    <x v="2"/>
    <x v="4"/>
    <x v="3"/>
    <n v="26075"/>
    <n v="49"/>
    <n v="34763"/>
    <n v="0.15"/>
    <n v="1"/>
    <n v="255508.05"/>
    <n v="1447878.95"/>
    <n v="1297164.5080569801"/>
    <n v="150714.44194301989"/>
  </r>
  <r>
    <x v="1284"/>
    <x v="0"/>
    <x v="1"/>
    <x v="2"/>
    <n v="28984"/>
    <n v="34"/>
    <n v="11585"/>
    <n v="0.1"/>
    <n v="4"/>
    <n v="39389"/>
    <n v="354501"/>
    <n v="257932.2493769727"/>
    <n v="96568.75062302727"/>
  </r>
  <r>
    <x v="1285"/>
    <x v="3"/>
    <x v="0"/>
    <x v="4"/>
    <n v="98095"/>
    <n v="30"/>
    <n v="26325"/>
    <n v="0.05"/>
    <n v="5"/>
    <n v="39487.5"/>
    <n v="750262.5"/>
    <n v="586121.29331271141"/>
    <n v="164141.20668728859"/>
  </r>
  <r>
    <x v="1286"/>
    <x v="3"/>
    <x v="2"/>
    <x v="5"/>
    <n v="70942"/>
    <n v="8"/>
    <n v="11220"/>
    <n v="0.1"/>
    <n v="4"/>
    <n v="8976"/>
    <n v="80784"/>
    <n v="49792.179584394413"/>
    <n v="30991.820415605591"/>
  </r>
  <r>
    <x v="1287"/>
    <x v="3"/>
    <x v="4"/>
    <x v="0"/>
    <n v="22861"/>
    <n v="39"/>
    <n v="39141"/>
    <n v="0"/>
    <n v="4"/>
    <n v="0"/>
    <n v="1526499"/>
    <n v="1301589.2535692649"/>
    <n v="224909.74643073531"/>
  </r>
  <r>
    <x v="1288"/>
    <x v="1"/>
    <x v="4"/>
    <x v="3"/>
    <n v="92203"/>
    <n v="47"/>
    <n v="37771"/>
    <n v="0.05"/>
    <n v="4"/>
    <n v="88761.85"/>
    <n v="1686475.15"/>
    <n v="1339820.882288395"/>
    <n v="346654.26771160518"/>
  </r>
  <r>
    <x v="1289"/>
    <x v="2"/>
    <x v="0"/>
    <x v="3"/>
    <n v="81376"/>
    <n v="26"/>
    <n v="12220"/>
    <n v="0.15"/>
    <n v="2"/>
    <n v="47658"/>
    <n v="270062"/>
    <n v="194770.34310580109"/>
    <n v="75291.656894198852"/>
  </r>
  <r>
    <x v="1290"/>
    <x v="2"/>
    <x v="3"/>
    <x v="4"/>
    <n v="71247"/>
    <n v="37"/>
    <n v="47232"/>
    <n v="0.2"/>
    <n v="2"/>
    <n v="349516.79999999999"/>
    <n v="1398067.2"/>
    <n v="845622.15103485109"/>
    <n v="552445.04896514886"/>
  </r>
  <r>
    <x v="1291"/>
    <x v="2"/>
    <x v="2"/>
    <x v="4"/>
    <n v="79101"/>
    <n v="34"/>
    <n v="1397"/>
    <n v="0.05"/>
    <n v="5"/>
    <n v="2374.9"/>
    <n v="45123.1"/>
    <n v="35083.239407556823"/>
    <n v="10039.860592443179"/>
  </r>
  <r>
    <x v="1292"/>
    <x v="1"/>
    <x v="4"/>
    <x v="2"/>
    <n v="30977"/>
    <n v="7"/>
    <n v="17594"/>
    <n v="0.15"/>
    <n v="2"/>
    <n v="18473.7"/>
    <n v="104684.3"/>
    <n v="63208.102774315383"/>
    <n v="41476.19722568462"/>
  </r>
  <r>
    <x v="1293"/>
    <x v="2"/>
    <x v="2"/>
    <x v="2"/>
    <n v="60617"/>
    <n v="40"/>
    <n v="36963"/>
    <n v="0.05"/>
    <n v="2"/>
    <n v="73926"/>
    <n v="1404594"/>
    <n v="843263.57666247699"/>
    <n v="561330.42333752301"/>
  </r>
  <r>
    <x v="1294"/>
    <x v="1"/>
    <x v="4"/>
    <x v="3"/>
    <n v="67473"/>
    <n v="28"/>
    <n v="35954"/>
    <n v="0.05"/>
    <n v="2"/>
    <n v="50335.600000000013"/>
    <n v="956376.4"/>
    <n v="750592.47747407283"/>
    <n v="205783.92252592719"/>
  </r>
  <r>
    <x v="1295"/>
    <x v="3"/>
    <x v="2"/>
    <x v="4"/>
    <n v="96654"/>
    <n v="39"/>
    <n v="24072"/>
    <n v="0.1"/>
    <n v="2"/>
    <n v="93880.8"/>
    <n v="844927.2"/>
    <n v="554868.01843655889"/>
    <n v="290059.18156344112"/>
  </r>
  <r>
    <x v="1296"/>
    <x v="0"/>
    <x v="1"/>
    <x v="5"/>
    <n v="98177"/>
    <n v="39"/>
    <n v="39046"/>
    <n v="0"/>
    <n v="1"/>
    <n v="0"/>
    <n v="1522794"/>
    <n v="1001337.962815625"/>
    <n v="521456.03718437487"/>
  </r>
  <r>
    <x v="1297"/>
    <x v="2"/>
    <x v="4"/>
    <x v="0"/>
    <n v="82902"/>
    <n v="28"/>
    <n v="15650"/>
    <n v="0.2"/>
    <n v="5"/>
    <n v="87640"/>
    <n v="350560"/>
    <n v="279039.26403549802"/>
    <n v="71520.735964502033"/>
  </r>
  <r>
    <x v="1298"/>
    <x v="2"/>
    <x v="2"/>
    <x v="4"/>
    <n v="25630"/>
    <n v="14"/>
    <n v="17299"/>
    <n v="0.15"/>
    <n v="2"/>
    <n v="36327.9"/>
    <n v="205858.1"/>
    <n v="126831.06032536281"/>
    <n v="79027.039674637243"/>
  </r>
  <r>
    <x v="1299"/>
    <x v="3"/>
    <x v="3"/>
    <x v="4"/>
    <n v="30056"/>
    <n v="38"/>
    <n v="10163"/>
    <n v="0.05"/>
    <n v="5"/>
    <n v="19309.7"/>
    <n v="366884.3"/>
    <n v="254625.6540113099"/>
    <n v="112258.6459886901"/>
  </r>
  <r>
    <x v="1300"/>
    <x v="0"/>
    <x v="1"/>
    <x v="1"/>
    <n v="17382"/>
    <n v="4"/>
    <n v="37448"/>
    <n v="0.2"/>
    <n v="3"/>
    <n v="29958.400000000001"/>
    <n v="119833.60000000001"/>
    <n v="77272.248836557759"/>
    <n v="42561.351163442247"/>
  </r>
  <r>
    <x v="1301"/>
    <x v="1"/>
    <x v="1"/>
    <x v="2"/>
    <n v="65739"/>
    <n v="42"/>
    <n v="37530"/>
    <n v="0.05"/>
    <n v="1"/>
    <n v="78813"/>
    <n v="1497447"/>
    <n v="1159103.209326813"/>
    <n v="338343.79067318683"/>
  </r>
  <r>
    <x v="1302"/>
    <x v="0"/>
    <x v="3"/>
    <x v="0"/>
    <n v="91685"/>
    <n v="18"/>
    <n v="27507"/>
    <n v="0"/>
    <n v="2"/>
    <n v="0"/>
    <n v="495126"/>
    <n v="395372.74019986688"/>
    <n v="99753.259800133063"/>
  </r>
  <r>
    <x v="1303"/>
    <x v="3"/>
    <x v="2"/>
    <x v="3"/>
    <n v="58639"/>
    <n v="44"/>
    <n v="35783"/>
    <n v="0.2"/>
    <n v="1"/>
    <n v="314890.40000000002"/>
    <n v="1259561.6000000001"/>
    <n v="1028231.468872973"/>
    <n v="231330.13112702689"/>
  </r>
  <r>
    <x v="1304"/>
    <x v="3"/>
    <x v="0"/>
    <x v="4"/>
    <n v="69838"/>
    <n v="48"/>
    <n v="26171"/>
    <n v="0.15"/>
    <n v="1"/>
    <n v="188431.2"/>
    <n v="1067776.8"/>
    <n v="722425.07161842356"/>
    <n v="345351.72838157648"/>
  </r>
  <r>
    <x v="1305"/>
    <x v="0"/>
    <x v="3"/>
    <x v="3"/>
    <n v="56041"/>
    <n v="25"/>
    <n v="25885"/>
    <n v="0.05"/>
    <n v="3"/>
    <n v="32356.25"/>
    <n v="614768.75"/>
    <n v="385321.63747542992"/>
    <n v="229447.11252457011"/>
  </r>
  <r>
    <x v="1306"/>
    <x v="1"/>
    <x v="2"/>
    <x v="4"/>
    <n v="10992"/>
    <n v="7"/>
    <n v="11736"/>
    <n v="0"/>
    <n v="5"/>
    <n v="0"/>
    <n v="82152"/>
    <n v="51230.405935527233"/>
    <n v="30921.594064472771"/>
  </r>
  <r>
    <x v="1307"/>
    <x v="1"/>
    <x v="3"/>
    <x v="3"/>
    <n v="82394"/>
    <n v="38"/>
    <n v="22524"/>
    <n v="0.2"/>
    <n v="1"/>
    <n v="171182.4"/>
    <n v="684729.6"/>
    <n v="498377.33379301341"/>
    <n v="186352.26620698659"/>
  </r>
  <r>
    <x v="1308"/>
    <x v="2"/>
    <x v="3"/>
    <x v="0"/>
    <n v="77657"/>
    <n v="28"/>
    <n v="47372"/>
    <n v="0.05"/>
    <n v="4"/>
    <n v="66320.800000000003"/>
    <n v="1260095.2"/>
    <n v="1113613.319942029"/>
    <n v="146481.88005797079"/>
  </r>
  <r>
    <x v="1309"/>
    <x v="1"/>
    <x v="4"/>
    <x v="2"/>
    <n v="37160"/>
    <n v="5"/>
    <n v="39884"/>
    <n v="0.05"/>
    <n v="3"/>
    <n v="9971"/>
    <n v="189449"/>
    <n v="126043.9643427194"/>
    <n v="63405.035657280627"/>
  </r>
  <r>
    <x v="1310"/>
    <x v="0"/>
    <x v="2"/>
    <x v="0"/>
    <n v="55156"/>
    <n v="3"/>
    <n v="17876"/>
    <n v="0.15"/>
    <n v="4"/>
    <n v="8044.2"/>
    <n v="45583.8"/>
    <n v="30861.25734216988"/>
    <n v="14722.54265783013"/>
  </r>
  <r>
    <x v="1311"/>
    <x v="3"/>
    <x v="0"/>
    <x v="1"/>
    <n v="61375"/>
    <n v="44"/>
    <n v="37638"/>
    <n v="0"/>
    <n v="3"/>
    <n v="0"/>
    <n v="1656072"/>
    <n v="1043766.936084316"/>
    <n v="612305.06391568389"/>
  </r>
  <r>
    <x v="1312"/>
    <x v="2"/>
    <x v="4"/>
    <x v="5"/>
    <n v="96442"/>
    <n v="31"/>
    <n v="18657"/>
    <n v="0.1"/>
    <n v="4"/>
    <n v="57836.7"/>
    <n v="520530.3"/>
    <n v="406883.48290232691"/>
    <n v="113646.81709767311"/>
  </r>
  <r>
    <x v="1313"/>
    <x v="2"/>
    <x v="3"/>
    <x v="2"/>
    <n v="29572"/>
    <n v="47"/>
    <n v="20445"/>
    <n v="0.05"/>
    <n v="4"/>
    <n v="48045.75"/>
    <n v="912869.25"/>
    <n v="733912.06216065062"/>
    <n v="178957.18783934941"/>
  </r>
  <r>
    <x v="1314"/>
    <x v="3"/>
    <x v="3"/>
    <x v="0"/>
    <n v="14136"/>
    <n v="42"/>
    <n v="37084"/>
    <n v="0.2"/>
    <n v="1"/>
    <n v="311505.59999999998"/>
    <n v="1246022.3999999999"/>
    <n v="987945.44610821083"/>
    <n v="258076.9538917891"/>
  </r>
  <r>
    <x v="1315"/>
    <x v="1"/>
    <x v="3"/>
    <x v="1"/>
    <n v="71868"/>
    <n v="20"/>
    <n v="23517"/>
    <n v="0.15"/>
    <n v="1"/>
    <n v="70551"/>
    <n v="399789"/>
    <n v="343154.51962098898"/>
    <n v="56634.480379011024"/>
  </r>
  <r>
    <x v="1316"/>
    <x v="3"/>
    <x v="2"/>
    <x v="5"/>
    <n v="92263"/>
    <n v="19"/>
    <n v="2256"/>
    <n v="0.15"/>
    <n v="3"/>
    <n v="6429.5999999999995"/>
    <n v="36434.400000000001"/>
    <n v="27177.43003310217"/>
    <n v="9256.9699668978319"/>
  </r>
  <r>
    <x v="1317"/>
    <x v="1"/>
    <x v="2"/>
    <x v="1"/>
    <n v="42167"/>
    <n v="48"/>
    <n v="35641"/>
    <n v="0.05"/>
    <n v="5"/>
    <n v="85538.400000000009"/>
    <n v="1625229.6"/>
    <n v="1040694.828774912"/>
    <n v="584534.77122508804"/>
  </r>
  <r>
    <x v="1318"/>
    <x v="3"/>
    <x v="4"/>
    <x v="4"/>
    <n v="25479"/>
    <n v="11"/>
    <n v="3076"/>
    <n v="0.05"/>
    <n v="1"/>
    <n v="1691.8"/>
    <n v="32144.2"/>
    <n v="22077.328920716631"/>
    <n v="10066.87107928337"/>
  </r>
  <r>
    <x v="1319"/>
    <x v="0"/>
    <x v="0"/>
    <x v="4"/>
    <n v="41376"/>
    <n v="40"/>
    <n v="25967"/>
    <n v="0.05"/>
    <n v="1"/>
    <n v="51934"/>
    <n v="986746"/>
    <n v="788142.63796608755"/>
    <n v="198603.36203391239"/>
  </r>
  <r>
    <x v="1320"/>
    <x v="1"/>
    <x v="4"/>
    <x v="3"/>
    <n v="14823"/>
    <n v="3"/>
    <n v="37452"/>
    <n v="0.1"/>
    <n v="2"/>
    <n v="11235.6"/>
    <n v="101120.4"/>
    <n v="79271.981770060796"/>
    <n v="21848.418229939201"/>
  </r>
  <r>
    <x v="1321"/>
    <x v="0"/>
    <x v="1"/>
    <x v="2"/>
    <n v="80456"/>
    <n v="23"/>
    <n v="31705"/>
    <n v="0.05"/>
    <n v="1"/>
    <n v="36460.75"/>
    <n v="692754.25"/>
    <n v="526008.95246782165"/>
    <n v="166745.29753217829"/>
  </r>
  <r>
    <x v="1322"/>
    <x v="2"/>
    <x v="3"/>
    <x v="4"/>
    <n v="29585"/>
    <n v="7"/>
    <n v="35665"/>
    <n v="0"/>
    <n v="5"/>
    <n v="0"/>
    <n v="249655"/>
    <n v="200944.64458431731"/>
    <n v="48710.355415682723"/>
  </r>
  <r>
    <x v="1323"/>
    <x v="3"/>
    <x v="3"/>
    <x v="1"/>
    <n v="27272"/>
    <n v="23"/>
    <n v="13174"/>
    <n v="0.2"/>
    <n v="2"/>
    <n v="60600.4"/>
    <n v="242401.6"/>
    <n v="191792.32858675451"/>
    <n v="50609.2714132455"/>
  </r>
  <r>
    <x v="1324"/>
    <x v="2"/>
    <x v="3"/>
    <x v="2"/>
    <n v="36619"/>
    <n v="7"/>
    <n v="43594"/>
    <n v="0.05"/>
    <n v="4"/>
    <n v="15257.9"/>
    <n v="289900.09999999998"/>
    <n v="250588.91207651349"/>
    <n v="39311.187923486432"/>
  </r>
  <r>
    <x v="1325"/>
    <x v="2"/>
    <x v="4"/>
    <x v="4"/>
    <n v="85069"/>
    <n v="46"/>
    <n v="43814"/>
    <n v="0.1"/>
    <n v="4"/>
    <n v="201544.4"/>
    <n v="1813899.6"/>
    <n v="1407232.2218104"/>
    <n v="406667.37818960048"/>
  </r>
  <r>
    <x v="1326"/>
    <x v="2"/>
    <x v="4"/>
    <x v="3"/>
    <n v="49895"/>
    <n v="34"/>
    <n v="22853"/>
    <n v="0.2"/>
    <n v="2"/>
    <n v="155400.4"/>
    <n v="621601.6"/>
    <n v="518154.91509913187"/>
    <n v="103446.684900868"/>
  </r>
  <r>
    <x v="1327"/>
    <x v="2"/>
    <x v="3"/>
    <x v="0"/>
    <n v="13720"/>
    <n v="42"/>
    <n v="30349"/>
    <n v="0.15"/>
    <n v="2"/>
    <n v="191198.7"/>
    <n v="1083459.3"/>
    <n v="730914.80433252605"/>
    <n v="352544.495667474"/>
  </r>
  <r>
    <x v="1328"/>
    <x v="3"/>
    <x v="4"/>
    <x v="3"/>
    <n v="29267"/>
    <n v="19"/>
    <n v="5035"/>
    <n v="0.05"/>
    <n v="2"/>
    <n v="4783.25"/>
    <n v="90881.75"/>
    <n v="73019.376032093263"/>
    <n v="17862.37396790674"/>
  </r>
  <r>
    <x v="1329"/>
    <x v="2"/>
    <x v="2"/>
    <x v="5"/>
    <n v="25696"/>
    <n v="9"/>
    <n v="47867"/>
    <n v="0.2"/>
    <n v="3"/>
    <n v="86160.6"/>
    <n v="344642.4"/>
    <n v="300065.74386758677"/>
    <n v="44576.656132413191"/>
  </r>
  <r>
    <x v="1330"/>
    <x v="3"/>
    <x v="2"/>
    <x v="4"/>
    <n v="39968"/>
    <n v="48"/>
    <n v="42436"/>
    <n v="0.15"/>
    <n v="5"/>
    <n v="305539.20000000001"/>
    <n v="1731388.8"/>
    <n v="1239189.06969711"/>
    <n v="492199.7303028903"/>
  </r>
  <r>
    <x v="1331"/>
    <x v="3"/>
    <x v="4"/>
    <x v="5"/>
    <n v="63364"/>
    <n v="18"/>
    <n v="17618"/>
    <n v="0.1"/>
    <n v="5"/>
    <n v="31712.400000000001"/>
    <n v="285411.59999999998"/>
    <n v="237956.57180250681"/>
    <n v="47455.028197493142"/>
  </r>
  <r>
    <x v="1332"/>
    <x v="0"/>
    <x v="3"/>
    <x v="5"/>
    <n v="33345"/>
    <n v="41"/>
    <n v="1132"/>
    <n v="0"/>
    <n v="4"/>
    <n v="0"/>
    <n v="46412"/>
    <n v="37938.876314124762"/>
    <n v="8473.1236858752382"/>
  </r>
  <r>
    <x v="1333"/>
    <x v="1"/>
    <x v="4"/>
    <x v="1"/>
    <n v="61567"/>
    <n v="48"/>
    <n v="13780"/>
    <n v="0.05"/>
    <n v="4"/>
    <n v="33072"/>
    <n v="628368"/>
    <n v="388242.10718278599"/>
    <n v="240125.89281721399"/>
  </r>
  <r>
    <x v="1334"/>
    <x v="1"/>
    <x v="4"/>
    <x v="2"/>
    <n v="71607"/>
    <n v="45"/>
    <n v="15246"/>
    <n v="0"/>
    <n v="4"/>
    <n v="0"/>
    <n v="686070"/>
    <n v="531328.62179513625"/>
    <n v="154741.37820486381"/>
  </r>
  <r>
    <x v="1335"/>
    <x v="3"/>
    <x v="4"/>
    <x v="1"/>
    <n v="29385"/>
    <n v="42"/>
    <n v="37536"/>
    <n v="0.1"/>
    <n v="1"/>
    <n v="157651.20000000001"/>
    <n v="1418860.8"/>
    <n v="906732.64924755902"/>
    <n v="512128.15075244103"/>
  </r>
  <r>
    <x v="1336"/>
    <x v="0"/>
    <x v="1"/>
    <x v="4"/>
    <n v="93658"/>
    <n v="25"/>
    <n v="19785"/>
    <n v="0.2"/>
    <n v="4"/>
    <n v="98925"/>
    <n v="395700"/>
    <n v="352250.45893549349"/>
    <n v="43449.541064506513"/>
  </r>
  <r>
    <x v="1337"/>
    <x v="3"/>
    <x v="2"/>
    <x v="5"/>
    <n v="76900"/>
    <n v="14"/>
    <n v="18547"/>
    <n v="0.2"/>
    <n v="2"/>
    <n v="51931.600000000013"/>
    <n v="207726.4"/>
    <n v="175201.06784069931"/>
    <n v="32525.332159300709"/>
  </r>
  <r>
    <x v="1338"/>
    <x v="3"/>
    <x v="0"/>
    <x v="0"/>
    <n v="78244"/>
    <n v="44"/>
    <n v="48589"/>
    <n v="0.1"/>
    <n v="4"/>
    <n v="213791.6"/>
    <n v="1924124.4"/>
    <n v="1217811.3129721"/>
    <n v="706313.08702789969"/>
  </r>
  <r>
    <x v="1339"/>
    <x v="3"/>
    <x v="0"/>
    <x v="5"/>
    <n v="75425"/>
    <n v="25"/>
    <n v="10707"/>
    <n v="0.1"/>
    <n v="2"/>
    <n v="26767.5"/>
    <n v="240907.5"/>
    <n v="153343.7908119924"/>
    <n v="87563.709188007575"/>
  </r>
  <r>
    <x v="1340"/>
    <x v="0"/>
    <x v="1"/>
    <x v="0"/>
    <n v="88518"/>
    <n v="19"/>
    <n v="6091"/>
    <n v="0.05"/>
    <n v="3"/>
    <n v="5786.4500000000007"/>
    <n v="109942.55"/>
    <n v="85572.921455227013"/>
    <n v="24369.62854477299"/>
  </r>
  <r>
    <x v="1341"/>
    <x v="1"/>
    <x v="4"/>
    <x v="1"/>
    <n v="92844"/>
    <n v="39"/>
    <n v="28257"/>
    <n v="0.15"/>
    <n v="1"/>
    <n v="165303.45000000001"/>
    <n v="936719.55"/>
    <n v="658951.0596094128"/>
    <n v="277768.49039058719"/>
  </r>
  <r>
    <x v="1342"/>
    <x v="0"/>
    <x v="1"/>
    <x v="1"/>
    <n v="42919"/>
    <n v="15"/>
    <n v="16726"/>
    <n v="0"/>
    <n v="1"/>
    <n v="0"/>
    <n v="250890"/>
    <n v="153161.2592948557"/>
    <n v="97728.740705144301"/>
  </r>
  <r>
    <x v="1343"/>
    <x v="2"/>
    <x v="1"/>
    <x v="2"/>
    <n v="67196"/>
    <n v="16"/>
    <n v="30232"/>
    <n v="0"/>
    <n v="5"/>
    <n v="0"/>
    <n v="483712"/>
    <n v="368826.74911108252"/>
    <n v="114885.25088891749"/>
  </r>
  <r>
    <x v="1344"/>
    <x v="0"/>
    <x v="3"/>
    <x v="5"/>
    <n v="89401"/>
    <n v="27"/>
    <n v="27706"/>
    <n v="0.2"/>
    <n v="3"/>
    <n v="149612.4"/>
    <n v="598449.6"/>
    <n v="428701.48343068652"/>
    <n v="169748.11656931351"/>
  </r>
  <r>
    <x v="1345"/>
    <x v="0"/>
    <x v="2"/>
    <x v="3"/>
    <n v="10495"/>
    <n v="40"/>
    <n v="20756"/>
    <n v="0.2"/>
    <n v="2"/>
    <n v="166048"/>
    <n v="664192"/>
    <n v="418655.4592864117"/>
    <n v="245536.5407135883"/>
  </r>
  <r>
    <x v="1346"/>
    <x v="0"/>
    <x v="0"/>
    <x v="1"/>
    <n v="54755"/>
    <n v="10"/>
    <n v="34322"/>
    <n v="0.05"/>
    <n v="3"/>
    <n v="17161"/>
    <n v="326059"/>
    <n v="274077.40835357801"/>
    <n v="51981.591646421992"/>
  </r>
  <r>
    <x v="1347"/>
    <x v="0"/>
    <x v="4"/>
    <x v="1"/>
    <n v="77684"/>
    <n v="4"/>
    <n v="41840"/>
    <n v="0.1"/>
    <n v="1"/>
    <n v="16736"/>
    <n v="150624"/>
    <n v="131724.15680800649"/>
    <n v="18899.843191993539"/>
  </r>
  <r>
    <x v="1348"/>
    <x v="1"/>
    <x v="0"/>
    <x v="2"/>
    <n v="43324"/>
    <n v="19"/>
    <n v="46847"/>
    <n v="0"/>
    <n v="2"/>
    <n v="0"/>
    <n v="890093"/>
    <n v="736087.48935253173"/>
    <n v="154005.5106474683"/>
  </r>
  <r>
    <x v="1349"/>
    <x v="2"/>
    <x v="0"/>
    <x v="0"/>
    <n v="88929"/>
    <n v="28"/>
    <n v="43851"/>
    <n v="0.05"/>
    <n v="3"/>
    <n v="61391.4"/>
    <n v="1166436.6000000001"/>
    <n v="987653.00491785991"/>
    <n v="178783.59508214021"/>
  </r>
  <r>
    <x v="1350"/>
    <x v="1"/>
    <x v="2"/>
    <x v="2"/>
    <n v="11552"/>
    <n v="21"/>
    <n v="41275"/>
    <n v="0.2"/>
    <n v="1"/>
    <n v="173355"/>
    <n v="693420"/>
    <n v="461087.66674610128"/>
    <n v="232332.33325389869"/>
  </r>
  <r>
    <x v="1351"/>
    <x v="1"/>
    <x v="0"/>
    <x v="5"/>
    <n v="61272"/>
    <n v="47"/>
    <n v="49171"/>
    <n v="0.2"/>
    <n v="2"/>
    <n v="462207.4"/>
    <n v="1848829.6"/>
    <n v="1255488.2020252971"/>
    <n v="593341.397974703"/>
  </r>
  <r>
    <x v="1352"/>
    <x v="0"/>
    <x v="0"/>
    <x v="4"/>
    <n v="45853"/>
    <n v="14"/>
    <n v="10284"/>
    <n v="0"/>
    <n v="2"/>
    <n v="0"/>
    <n v="143976"/>
    <n v="95392.488342634751"/>
    <n v="48583.511657365249"/>
  </r>
  <r>
    <x v="1353"/>
    <x v="3"/>
    <x v="1"/>
    <x v="4"/>
    <n v="42924"/>
    <n v="33"/>
    <n v="37529"/>
    <n v="0.2"/>
    <n v="1"/>
    <n v="247691.4"/>
    <n v="990765.6"/>
    <n v="821858.91888448864"/>
    <n v="168906.68111551131"/>
  </r>
  <r>
    <x v="1354"/>
    <x v="3"/>
    <x v="2"/>
    <x v="0"/>
    <n v="84462"/>
    <n v="48"/>
    <n v="35657"/>
    <n v="0.2"/>
    <n v="2"/>
    <n v="342307.2"/>
    <n v="1369228.8"/>
    <n v="1210911.889346696"/>
    <n v="158316.91065330381"/>
  </r>
  <r>
    <x v="1355"/>
    <x v="1"/>
    <x v="3"/>
    <x v="1"/>
    <n v="33889"/>
    <n v="10"/>
    <n v="20437"/>
    <n v="0.15"/>
    <n v="1"/>
    <n v="30655.5"/>
    <n v="173714.5"/>
    <n v="141586.20508475299"/>
    <n v="32128.294915247039"/>
  </r>
  <r>
    <x v="1356"/>
    <x v="1"/>
    <x v="4"/>
    <x v="0"/>
    <n v="64675"/>
    <n v="19"/>
    <n v="47207"/>
    <n v="0.1"/>
    <n v="4"/>
    <n v="89693.3"/>
    <n v="807239.7"/>
    <n v="697810.3100524029"/>
    <n v="109429.3899475971"/>
  </r>
  <r>
    <x v="1357"/>
    <x v="0"/>
    <x v="0"/>
    <x v="1"/>
    <n v="83591"/>
    <n v="30"/>
    <n v="11719"/>
    <n v="0.2"/>
    <n v="4"/>
    <n v="70314"/>
    <n v="281256"/>
    <n v="222644.9857891385"/>
    <n v="58611.014210861533"/>
  </r>
  <r>
    <x v="1358"/>
    <x v="1"/>
    <x v="4"/>
    <x v="1"/>
    <n v="80190"/>
    <n v="22"/>
    <n v="9899"/>
    <n v="0.15"/>
    <n v="2"/>
    <n v="32666.7"/>
    <n v="185111.3"/>
    <n v="132594.848445093"/>
    <n v="52516.451554906991"/>
  </r>
  <r>
    <x v="1359"/>
    <x v="0"/>
    <x v="3"/>
    <x v="4"/>
    <n v="32634"/>
    <n v="3"/>
    <n v="33812"/>
    <n v="0.05"/>
    <n v="2"/>
    <n v="5071.8"/>
    <n v="96364.2"/>
    <n v="70126.973224040077"/>
    <n v="26237.22677595992"/>
  </r>
  <r>
    <x v="1360"/>
    <x v="3"/>
    <x v="4"/>
    <x v="0"/>
    <n v="42363"/>
    <n v="37"/>
    <n v="28157"/>
    <n v="0.2"/>
    <n v="1"/>
    <n v="208361.8"/>
    <n v="833447.2"/>
    <n v="518901.25102197402"/>
    <n v="314545.94897802587"/>
  </r>
  <r>
    <x v="1361"/>
    <x v="3"/>
    <x v="3"/>
    <x v="2"/>
    <n v="73752"/>
    <n v="41"/>
    <n v="20547"/>
    <n v="0.05"/>
    <n v="2"/>
    <n v="42121.350000000013"/>
    <n v="800305.65"/>
    <n v="487736.00132656429"/>
    <n v="312569.64867343567"/>
  </r>
  <r>
    <x v="1362"/>
    <x v="2"/>
    <x v="1"/>
    <x v="1"/>
    <n v="87004"/>
    <n v="18"/>
    <n v="35507"/>
    <n v="0.2"/>
    <n v="5"/>
    <n v="127825.2"/>
    <n v="511300.8"/>
    <n v="413459.6498407076"/>
    <n v="97841.150159292389"/>
  </r>
  <r>
    <x v="1363"/>
    <x v="3"/>
    <x v="0"/>
    <x v="3"/>
    <n v="66398"/>
    <n v="11"/>
    <n v="11059"/>
    <n v="0"/>
    <n v="4"/>
    <n v="0"/>
    <n v="121649"/>
    <n v="88989.730885280442"/>
    <n v="32659.269114719558"/>
  </r>
  <r>
    <x v="1364"/>
    <x v="1"/>
    <x v="3"/>
    <x v="3"/>
    <n v="50718"/>
    <n v="48"/>
    <n v="20657"/>
    <n v="0.15"/>
    <n v="2"/>
    <n v="148730.4"/>
    <n v="842805.6"/>
    <n v="645306.34552824683"/>
    <n v="197499.25447175311"/>
  </r>
  <r>
    <x v="1365"/>
    <x v="3"/>
    <x v="4"/>
    <x v="2"/>
    <n v="92916"/>
    <n v="2"/>
    <n v="35895"/>
    <n v="0.15"/>
    <n v="2"/>
    <n v="10768.5"/>
    <n v="61021.5"/>
    <n v="46821.697746537378"/>
    <n v="14199.80225346262"/>
  </r>
  <r>
    <x v="1366"/>
    <x v="0"/>
    <x v="0"/>
    <x v="3"/>
    <n v="36870"/>
    <n v="12"/>
    <n v="7118"/>
    <n v="0"/>
    <n v="3"/>
    <n v="0"/>
    <n v="85416"/>
    <n v="58357.299741503193"/>
    <n v="27058.70025849681"/>
  </r>
  <r>
    <x v="1367"/>
    <x v="3"/>
    <x v="1"/>
    <x v="5"/>
    <n v="47394"/>
    <n v="6"/>
    <n v="45391"/>
    <n v="0.1"/>
    <n v="2"/>
    <n v="27234.6"/>
    <n v="245111.4"/>
    <n v="182060.84387367949"/>
    <n v="63050.556126320502"/>
  </r>
  <r>
    <x v="1368"/>
    <x v="2"/>
    <x v="0"/>
    <x v="1"/>
    <n v="62057"/>
    <n v="43"/>
    <n v="7280"/>
    <n v="0.15"/>
    <n v="5"/>
    <n v="46956"/>
    <n v="266084"/>
    <n v="197228.92884666871"/>
    <n v="68855.071153331315"/>
  </r>
  <r>
    <x v="1369"/>
    <x v="3"/>
    <x v="3"/>
    <x v="2"/>
    <n v="89795"/>
    <n v="40"/>
    <n v="27550"/>
    <n v="0.05"/>
    <n v="4"/>
    <n v="55100"/>
    <n v="1046900"/>
    <n v="750133.33737103315"/>
    <n v="296766.66262896679"/>
  </r>
  <r>
    <x v="1370"/>
    <x v="0"/>
    <x v="1"/>
    <x v="0"/>
    <n v="90409"/>
    <n v="44"/>
    <n v="8515"/>
    <n v="0.15"/>
    <n v="3"/>
    <n v="56199"/>
    <n v="318461"/>
    <n v="269482.53098198649"/>
    <n v="48978.469018013508"/>
  </r>
  <r>
    <x v="1371"/>
    <x v="0"/>
    <x v="4"/>
    <x v="1"/>
    <n v="23016"/>
    <n v="29"/>
    <n v="3630"/>
    <n v="0.1"/>
    <n v="1"/>
    <n v="10527"/>
    <n v="94743"/>
    <n v="69669.189360412172"/>
    <n v="25073.810639587831"/>
  </r>
  <r>
    <x v="1372"/>
    <x v="1"/>
    <x v="1"/>
    <x v="2"/>
    <n v="52137"/>
    <n v="30"/>
    <n v="28583"/>
    <n v="0.05"/>
    <n v="1"/>
    <n v="42874.5"/>
    <n v="814615.5"/>
    <n v="636290.75584581227"/>
    <n v="178324.74415418771"/>
  </r>
  <r>
    <x v="1373"/>
    <x v="3"/>
    <x v="1"/>
    <x v="4"/>
    <n v="10153"/>
    <n v="2"/>
    <n v="16980"/>
    <n v="0.05"/>
    <n v="4"/>
    <n v="1698"/>
    <n v="32262"/>
    <n v="28024.58103711787"/>
    <n v="4237.4189628821332"/>
  </r>
  <r>
    <x v="1374"/>
    <x v="0"/>
    <x v="2"/>
    <x v="0"/>
    <n v="17853"/>
    <n v="9"/>
    <n v="48099"/>
    <n v="0"/>
    <n v="1"/>
    <n v="0"/>
    <n v="432891"/>
    <n v="372230.02176990663"/>
    <n v="60660.978230093431"/>
  </r>
  <r>
    <x v="1375"/>
    <x v="2"/>
    <x v="1"/>
    <x v="4"/>
    <n v="22379"/>
    <n v="47"/>
    <n v="35976"/>
    <n v="0.2"/>
    <n v="5"/>
    <n v="338174.4"/>
    <n v="1352697.6"/>
    <n v="1172960.1534116359"/>
    <n v="179737.4465883637"/>
  </r>
  <r>
    <x v="1376"/>
    <x v="1"/>
    <x v="1"/>
    <x v="1"/>
    <n v="25792"/>
    <n v="2"/>
    <n v="38665"/>
    <n v="0"/>
    <n v="2"/>
    <n v="0"/>
    <n v="77330"/>
    <n v="52661.845912991863"/>
    <n v="24668.154087008141"/>
  </r>
  <r>
    <x v="1377"/>
    <x v="2"/>
    <x v="0"/>
    <x v="0"/>
    <n v="48367"/>
    <n v="29"/>
    <n v="12028"/>
    <n v="0.2"/>
    <n v="4"/>
    <n v="69762.400000000009"/>
    <n v="279049.59999999998"/>
    <n v="170358.3148108109"/>
    <n v="108691.2851891891"/>
  </r>
  <r>
    <x v="1378"/>
    <x v="3"/>
    <x v="4"/>
    <x v="3"/>
    <n v="28100"/>
    <n v="33"/>
    <n v="6414"/>
    <n v="0"/>
    <n v="3"/>
    <n v="0"/>
    <n v="211662"/>
    <n v="143574.5762998336"/>
    <n v="68087.42370016643"/>
  </r>
  <r>
    <x v="1379"/>
    <x v="3"/>
    <x v="0"/>
    <x v="2"/>
    <n v="73456"/>
    <n v="10"/>
    <n v="37636"/>
    <n v="0.2"/>
    <n v="2"/>
    <n v="75272"/>
    <n v="301088"/>
    <n v="205827.4311834744"/>
    <n v="95260.568816525629"/>
  </r>
  <r>
    <x v="1380"/>
    <x v="3"/>
    <x v="0"/>
    <x v="1"/>
    <n v="21049"/>
    <n v="34"/>
    <n v="11679"/>
    <n v="0.15"/>
    <n v="1"/>
    <n v="59562.899999999987"/>
    <n v="337523.1"/>
    <n v="294592.8949479672"/>
    <n v="42930.205052032783"/>
  </r>
  <r>
    <x v="1381"/>
    <x v="1"/>
    <x v="3"/>
    <x v="5"/>
    <n v="10786"/>
    <n v="44"/>
    <n v="20972"/>
    <n v="0.05"/>
    <n v="1"/>
    <n v="46138.400000000001"/>
    <n v="876629.6"/>
    <n v="696721.3791571972"/>
    <n v="179908.22084280281"/>
  </r>
  <r>
    <x v="1382"/>
    <x v="0"/>
    <x v="0"/>
    <x v="0"/>
    <n v="79904"/>
    <n v="8"/>
    <n v="12576"/>
    <n v="0.2"/>
    <n v="3"/>
    <n v="20121.599999999999"/>
    <n v="80486.399999999994"/>
    <n v="50264.657272238641"/>
    <n v="30221.74272776135"/>
  </r>
  <r>
    <x v="1383"/>
    <x v="1"/>
    <x v="2"/>
    <x v="0"/>
    <n v="40699"/>
    <n v="37"/>
    <n v="25283"/>
    <n v="0.15"/>
    <n v="5"/>
    <n v="140320.65"/>
    <n v="795150.35"/>
    <n v="509384.11140022072"/>
    <n v="285766.23859977932"/>
  </r>
  <r>
    <x v="1384"/>
    <x v="2"/>
    <x v="2"/>
    <x v="1"/>
    <n v="57691"/>
    <n v="33"/>
    <n v="47216"/>
    <n v="0.1"/>
    <n v="3"/>
    <n v="155812.79999999999"/>
    <n v="1402315.2"/>
    <n v="906881.21913738607"/>
    <n v="495433.98086261388"/>
  </r>
  <r>
    <x v="1385"/>
    <x v="1"/>
    <x v="3"/>
    <x v="1"/>
    <n v="47040"/>
    <n v="47"/>
    <n v="14324"/>
    <n v="0"/>
    <n v="4"/>
    <n v="0"/>
    <n v="673228"/>
    <n v="531262.07180288038"/>
    <n v="141965.92819711959"/>
  </r>
  <r>
    <x v="1386"/>
    <x v="2"/>
    <x v="4"/>
    <x v="4"/>
    <n v="67986"/>
    <n v="6"/>
    <n v="4799"/>
    <n v="0.1"/>
    <n v="3"/>
    <n v="2879.4"/>
    <n v="25914.6"/>
    <n v="21266.148091621129"/>
    <n v="4648.4519083788646"/>
  </r>
  <r>
    <x v="1387"/>
    <x v="1"/>
    <x v="4"/>
    <x v="3"/>
    <n v="48762"/>
    <n v="44"/>
    <n v="47388"/>
    <n v="0.15"/>
    <n v="1"/>
    <n v="312760.8"/>
    <n v="1772311.2"/>
    <n v="1520453.6792120549"/>
    <n v="251857.52078794499"/>
  </r>
  <r>
    <x v="1388"/>
    <x v="0"/>
    <x v="0"/>
    <x v="4"/>
    <n v="33600"/>
    <n v="40"/>
    <n v="8618"/>
    <n v="0.1"/>
    <n v="5"/>
    <n v="34472"/>
    <n v="310248"/>
    <n v="273697.98258436058"/>
    <n v="36550.017415639421"/>
  </r>
  <r>
    <x v="1389"/>
    <x v="2"/>
    <x v="0"/>
    <x v="4"/>
    <n v="29810"/>
    <n v="45"/>
    <n v="11256"/>
    <n v="0.1"/>
    <n v="5"/>
    <n v="50652"/>
    <n v="455868"/>
    <n v="301105.99594999268"/>
    <n v="154762.00405000729"/>
  </r>
  <r>
    <x v="1390"/>
    <x v="3"/>
    <x v="0"/>
    <x v="3"/>
    <n v="95703"/>
    <n v="19"/>
    <n v="8453"/>
    <n v="0.15"/>
    <n v="3"/>
    <n v="24091.05"/>
    <n v="136515.95000000001"/>
    <n v="94596.235510789222"/>
    <n v="41919.71448921079"/>
  </r>
  <r>
    <x v="1391"/>
    <x v="3"/>
    <x v="4"/>
    <x v="5"/>
    <n v="97347"/>
    <n v="32"/>
    <n v="38052"/>
    <n v="0.05"/>
    <n v="4"/>
    <n v="60883.199999999997"/>
    <n v="1156780.8"/>
    <n v="777468.74827389291"/>
    <n v="379312.05172610708"/>
  </r>
  <r>
    <x v="1392"/>
    <x v="1"/>
    <x v="1"/>
    <x v="4"/>
    <n v="67204"/>
    <n v="27"/>
    <n v="15685"/>
    <n v="0.2"/>
    <n v="1"/>
    <n v="84699"/>
    <n v="338796"/>
    <n v="239741.69520337731"/>
    <n v="99054.304796622717"/>
  </r>
  <r>
    <x v="1393"/>
    <x v="3"/>
    <x v="2"/>
    <x v="4"/>
    <n v="30085"/>
    <n v="1"/>
    <n v="42292"/>
    <n v="0"/>
    <n v="2"/>
    <n v="0"/>
    <n v="42292"/>
    <n v="36980.105016949557"/>
    <n v="5311.8949830504353"/>
  </r>
  <r>
    <x v="1394"/>
    <x v="2"/>
    <x v="1"/>
    <x v="0"/>
    <n v="56854"/>
    <n v="43"/>
    <n v="15174"/>
    <n v="0.2"/>
    <n v="5"/>
    <n v="130496.4"/>
    <n v="521985.6"/>
    <n v="403251.50349641481"/>
    <n v="118734.0965035852"/>
  </r>
  <r>
    <x v="1395"/>
    <x v="3"/>
    <x v="1"/>
    <x v="3"/>
    <n v="84797"/>
    <n v="33"/>
    <n v="44976"/>
    <n v="0"/>
    <n v="3"/>
    <n v="0"/>
    <n v="1484208"/>
    <n v="1219213.8958632599"/>
    <n v="264994.10413673992"/>
  </r>
  <r>
    <x v="1396"/>
    <x v="0"/>
    <x v="4"/>
    <x v="2"/>
    <n v="94269"/>
    <n v="40"/>
    <n v="34427"/>
    <n v="0.2"/>
    <n v="4"/>
    <n v="275416"/>
    <n v="1101664"/>
    <n v="822982.41544451262"/>
    <n v="278681.58455548738"/>
  </r>
  <r>
    <x v="1397"/>
    <x v="0"/>
    <x v="1"/>
    <x v="5"/>
    <n v="49779"/>
    <n v="32"/>
    <n v="886"/>
    <n v="0.1"/>
    <n v="4"/>
    <n v="2835.2"/>
    <n v="25516.799999999999"/>
    <n v="15530.988480904571"/>
    <n v="9985.8115190954341"/>
  </r>
  <r>
    <x v="1398"/>
    <x v="1"/>
    <x v="3"/>
    <x v="5"/>
    <n v="66207"/>
    <n v="5"/>
    <n v="27117"/>
    <n v="0.05"/>
    <n v="1"/>
    <n v="6779.25"/>
    <n v="128805.75"/>
    <n v="79764.074316168888"/>
    <n v="49041.675683831112"/>
  </r>
  <r>
    <x v="1399"/>
    <x v="2"/>
    <x v="0"/>
    <x v="3"/>
    <n v="43980"/>
    <n v="17"/>
    <n v="7692"/>
    <n v="0.1"/>
    <n v="5"/>
    <n v="13076.4"/>
    <n v="117687.6"/>
    <n v="89604.621160392737"/>
    <n v="28082.978839607269"/>
  </r>
  <r>
    <x v="1400"/>
    <x v="0"/>
    <x v="3"/>
    <x v="1"/>
    <n v="66117"/>
    <n v="8"/>
    <n v="11245"/>
    <n v="0.05"/>
    <n v="1"/>
    <n v="4498"/>
    <n v="85462"/>
    <n v="69705.944548136715"/>
    <n v="15756.055451863291"/>
  </r>
  <r>
    <x v="1401"/>
    <x v="0"/>
    <x v="2"/>
    <x v="1"/>
    <n v="24141"/>
    <n v="42"/>
    <n v="30520"/>
    <n v="0.15"/>
    <n v="2"/>
    <n v="192276"/>
    <n v="1089564"/>
    <n v="724123.31726889452"/>
    <n v="365440.68273110548"/>
  </r>
  <r>
    <x v="1402"/>
    <x v="2"/>
    <x v="0"/>
    <x v="0"/>
    <n v="19344"/>
    <n v="34"/>
    <n v="43178"/>
    <n v="0"/>
    <n v="2"/>
    <n v="0"/>
    <n v="1468052"/>
    <n v="1198771.4381755651"/>
    <n v="269280.5618244349"/>
  </r>
  <r>
    <x v="1403"/>
    <x v="3"/>
    <x v="1"/>
    <x v="0"/>
    <n v="25896"/>
    <n v="9"/>
    <n v="21659"/>
    <n v="0"/>
    <n v="2"/>
    <n v="0"/>
    <n v="194931"/>
    <n v="164365.76696727439"/>
    <n v="30565.233032725631"/>
  </r>
  <r>
    <x v="1404"/>
    <x v="3"/>
    <x v="2"/>
    <x v="3"/>
    <n v="99353"/>
    <n v="23"/>
    <n v="3909"/>
    <n v="0.15"/>
    <n v="4"/>
    <n v="13486.05"/>
    <n v="76420.95"/>
    <n v="55295.848979711103"/>
    <n v="21125.101020288901"/>
  </r>
  <r>
    <x v="1405"/>
    <x v="1"/>
    <x v="0"/>
    <x v="0"/>
    <n v="39813"/>
    <n v="35"/>
    <n v="26245"/>
    <n v="0.2"/>
    <n v="5"/>
    <n v="183715"/>
    <n v="734860"/>
    <n v="605470.09123434569"/>
    <n v="129389.9087656543"/>
  </r>
  <r>
    <x v="1406"/>
    <x v="3"/>
    <x v="1"/>
    <x v="5"/>
    <n v="94431"/>
    <n v="7"/>
    <n v="46448"/>
    <n v="0.15"/>
    <n v="1"/>
    <n v="48770.400000000001"/>
    <n v="276365.59999999998"/>
    <n v="199317.3538921485"/>
    <n v="77048.246107851504"/>
  </r>
  <r>
    <x v="1407"/>
    <x v="2"/>
    <x v="3"/>
    <x v="5"/>
    <n v="75679"/>
    <n v="15"/>
    <n v="29955"/>
    <n v="0.15"/>
    <n v="1"/>
    <n v="67398.75"/>
    <n v="381926.25"/>
    <n v="306879.72362786857"/>
    <n v="75046.526372131368"/>
  </r>
  <r>
    <x v="1408"/>
    <x v="0"/>
    <x v="0"/>
    <x v="2"/>
    <n v="20681"/>
    <n v="20"/>
    <n v="39410"/>
    <n v="0.05"/>
    <n v="2"/>
    <n v="39410"/>
    <n v="748790"/>
    <n v="620896.00516799418"/>
    <n v="127893.9948320058"/>
  </r>
  <r>
    <x v="1409"/>
    <x v="3"/>
    <x v="1"/>
    <x v="1"/>
    <n v="82903"/>
    <n v="25"/>
    <n v="39235"/>
    <n v="0.15"/>
    <n v="5"/>
    <n v="147131.25"/>
    <n v="833743.75"/>
    <n v="748350.03554190695"/>
    <n v="85393.714458093047"/>
  </r>
  <r>
    <x v="1410"/>
    <x v="1"/>
    <x v="3"/>
    <x v="3"/>
    <n v="13228"/>
    <n v="3"/>
    <n v="29666"/>
    <n v="0"/>
    <n v="5"/>
    <n v="0"/>
    <n v="88998"/>
    <n v="62620.683639100782"/>
    <n v="26377.316360899222"/>
  </r>
  <r>
    <x v="1411"/>
    <x v="3"/>
    <x v="2"/>
    <x v="4"/>
    <n v="14582"/>
    <n v="46"/>
    <n v="40473"/>
    <n v="0.1"/>
    <n v="3"/>
    <n v="186175.8"/>
    <n v="1675582.2"/>
    <n v="1211969.104621477"/>
    <n v="463613.09537852253"/>
  </r>
  <r>
    <x v="1412"/>
    <x v="2"/>
    <x v="2"/>
    <x v="1"/>
    <n v="88683"/>
    <n v="24"/>
    <n v="28572"/>
    <n v="0.05"/>
    <n v="5"/>
    <n v="34286.400000000001"/>
    <n v="651441.6"/>
    <n v="423232.49894827709"/>
    <n v="228209.10105172289"/>
  </r>
  <r>
    <x v="1413"/>
    <x v="1"/>
    <x v="2"/>
    <x v="4"/>
    <n v="21397"/>
    <n v="34"/>
    <n v="49274"/>
    <n v="0.05"/>
    <n v="5"/>
    <n v="83765.8"/>
    <n v="1591550.2"/>
    <n v="1052367.875074202"/>
    <n v="539182.32492579776"/>
  </r>
  <r>
    <x v="1414"/>
    <x v="3"/>
    <x v="2"/>
    <x v="2"/>
    <n v="48799"/>
    <n v="46"/>
    <n v="12609"/>
    <n v="0.2"/>
    <n v="1"/>
    <n v="116002.8"/>
    <n v="464011.2"/>
    <n v="374929.63416890288"/>
    <n v="89081.565831097076"/>
  </r>
  <r>
    <x v="1415"/>
    <x v="1"/>
    <x v="4"/>
    <x v="2"/>
    <n v="47011"/>
    <n v="22"/>
    <n v="46302"/>
    <n v="0.1"/>
    <n v="5"/>
    <n v="101864.4"/>
    <n v="916779.6"/>
    <n v="802286.36679707526"/>
    <n v="114493.2332029247"/>
  </r>
  <r>
    <x v="1416"/>
    <x v="2"/>
    <x v="0"/>
    <x v="0"/>
    <n v="89183"/>
    <n v="11"/>
    <n v="2984"/>
    <n v="0.05"/>
    <n v="5"/>
    <n v="1641.2"/>
    <n v="31182.799999999999"/>
    <n v="22401.146185998641"/>
    <n v="8781.6538140013618"/>
  </r>
  <r>
    <x v="1417"/>
    <x v="0"/>
    <x v="0"/>
    <x v="2"/>
    <n v="54264"/>
    <n v="48"/>
    <n v="35122"/>
    <n v="0.15"/>
    <n v="1"/>
    <n v="252878.4"/>
    <n v="1432977.6"/>
    <n v="937100.47913991648"/>
    <n v="495877.12086008361"/>
  </r>
  <r>
    <x v="1418"/>
    <x v="2"/>
    <x v="4"/>
    <x v="2"/>
    <n v="52317"/>
    <n v="8"/>
    <n v="44899"/>
    <n v="0.05"/>
    <n v="5"/>
    <n v="17959.599999999999"/>
    <n v="341232.4"/>
    <n v="233924.99592397729"/>
    <n v="107307.40407602271"/>
  </r>
  <r>
    <x v="1419"/>
    <x v="2"/>
    <x v="1"/>
    <x v="4"/>
    <n v="57914"/>
    <n v="39"/>
    <n v="3097"/>
    <n v="0.05"/>
    <n v="1"/>
    <n v="6039.1500000000005"/>
    <n v="114743.85"/>
    <n v="84510.625367624802"/>
    <n v="30233.224632375201"/>
  </r>
  <r>
    <x v="1420"/>
    <x v="2"/>
    <x v="1"/>
    <x v="0"/>
    <n v="94633"/>
    <n v="43"/>
    <n v="41097"/>
    <n v="0.05"/>
    <n v="3"/>
    <n v="88358.55"/>
    <n v="1678812.45"/>
    <n v="1153671.6874605541"/>
    <n v="525140.76253944566"/>
  </r>
  <r>
    <x v="1421"/>
    <x v="2"/>
    <x v="2"/>
    <x v="2"/>
    <n v="55254"/>
    <n v="35"/>
    <n v="41454"/>
    <n v="0.2"/>
    <n v="4"/>
    <n v="290178"/>
    <n v="1160712"/>
    <n v="777762.6134185642"/>
    <n v="382949.3865814358"/>
  </r>
  <r>
    <x v="1422"/>
    <x v="0"/>
    <x v="3"/>
    <x v="1"/>
    <n v="50096"/>
    <n v="49"/>
    <n v="4483"/>
    <n v="0.05"/>
    <n v="1"/>
    <n v="10983.35"/>
    <n v="208683.65"/>
    <n v="171286.56883716339"/>
    <n v="37397.081162836606"/>
  </r>
  <r>
    <x v="1423"/>
    <x v="0"/>
    <x v="1"/>
    <x v="2"/>
    <n v="63785"/>
    <n v="46"/>
    <n v="39952"/>
    <n v="0.05"/>
    <n v="1"/>
    <n v="91889.600000000006"/>
    <n v="1745902.4"/>
    <n v="1051650.3800465439"/>
    <n v="694252.01995345554"/>
  </r>
  <r>
    <x v="1424"/>
    <x v="1"/>
    <x v="3"/>
    <x v="0"/>
    <n v="62344"/>
    <n v="38"/>
    <n v="43651"/>
    <n v="0.2"/>
    <n v="5"/>
    <n v="331747.59999999998"/>
    <n v="1326990.3999999999"/>
    <n v="1010860.359948735"/>
    <n v="316130.0400512648"/>
  </r>
  <r>
    <x v="1425"/>
    <x v="3"/>
    <x v="0"/>
    <x v="3"/>
    <n v="92643"/>
    <n v="8"/>
    <n v="17540"/>
    <n v="0.1"/>
    <n v="1"/>
    <n v="14032"/>
    <n v="126288"/>
    <n v="105845.76675785211"/>
    <n v="20442.23324214794"/>
  </r>
  <r>
    <x v="1426"/>
    <x v="0"/>
    <x v="3"/>
    <x v="0"/>
    <n v="78546"/>
    <n v="37"/>
    <n v="45272"/>
    <n v="0"/>
    <n v="2"/>
    <n v="0"/>
    <n v="1675064"/>
    <n v="1138823.225457625"/>
    <n v="536240.774542375"/>
  </r>
  <r>
    <x v="1427"/>
    <x v="0"/>
    <x v="0"/>
    <x v="4"/>
    <n v="81091"/>
    <n v="27"/>
    <n v="31054"/>
    <n v="0.2"/>
    <n v="2"/>
    <n v="167691.6"/>
    <n v="670766.4"/>
    <n v="523860.14241713542"/>
    <n v="146906.25758286461"/>
  </r>
  <r>
    <x v="1428"/>
    <x v="3"/>
    <x v="4"/>
    <x v="3"/>
    <n v="75603"/>
    <n v="28"/>
    <n v="28416"/>
    <n v="0.2"/>
    <n v="3"/>
    <n v="159129.60000000001"/>
    <n v="636518.40000000002"/>
    <n v="509641.20749645808"/>
    <n v="126877.1925035419"/>
  </r>
  <r>
    <x v="1429"/>
    <x v="0"/>
    <x v="4"/>
    <x v="1"/>
    <n v="38412"/>
    <n v="40"/>
    <n v="45371"/>
    <n v="0.05"/>
    <n v="1"/>
    <n v="90742"/>
    <n v="1724098"/>
    <n v="1373256.8307067871"/>
    <n v="350841.16929321323"/>
  </r>
  <r>
    <x v="1430"/>
    <x v="2"/>
    <x v="2"/>
    <x v="5"/>
    <n v="61658"/>
    <n v="34"/>
    <n v="26872"/>
    <n v="0.05"/>
    <n v="5"/>
    <n v="45682.400000000001"/>
    <n v="867965.6"/>
    <n v="636874.00357712118"/>
    <n v="231091.59642287879"/>
  </r>
  <r>
    <x v="1431"/>
    <x v="2"/>
    <x v="1"/>
    <x v="0"/>
    <n v="59549"/>
    <n v="32"/>
    <n v="39580"/>
    <n v="0"/>
    <n v="5"/>
    <n v="0"/>
    <n v="1266560"/>
    <n v="891624.54489718401"/>
    <n v="374935.45510281599"/>
  </r>
  <r>
    <x v="1432"/>
    <x v="3"/>
    <x v="2"/>
    <x v="4"/>
    <n v="21549"/>
    <n v="15"/>
    <n v="41206"/>
    <n v="0.05"/>
    <n v="4"/>
    <n v="30904.5"/>
    <n v="587185.5"/>
    <n v="499564.04843486188"/>
    <n v="87621.451565138064"/>
  </r>
  <r>
    <x v="1433"/>
    <x v="1"/>
    <x v="0"/>
    <x v="1"/>
    <n v="81216"/>
    <n v="44"/>
    <n v="43222"/>
    <n v="0.15"/>
    <n v="3"/>
    <n v="285265.2"/>
    <n v="1616502.8"/>
    <n v="1337710.6839416879"/>
    <n v="278792.11605831189"/>
  </r>
  <r>
    <x v="1434"/>
    <x v="1"/>
    <x v="2"/>
    <x v="3"/>
    <n v="35739"/>
    <n v="17"/>
    <n v="29548"/>
    <n v="0.05"/>
    <n v="5"/>
    <n v="25115.8"/>
    <n v="477200.2"/>
    <n v="332311.02990124607"/>
    <n v="144889.17009875391"/>
  </r>
  <r>
    <x v="1435"/>
    <x v="3"/>
    <x v="3"/>
    <x v="1"/>
    <n v="31209"/>
    <n v="33"/>
    <n v="20169"/>
    <n v="0.05"/>
    <n v="4"/>
    <n v="33278.85"/>
    <n v="632298.15"/>
    <n v="398920.54381808918"/>
    <n v="233377.60618191081"/>
  </r>
  <r>
    <x v="1436"/>
    <x v="3"/>
    <x v="0"/>
    <x v="0"/>
    <n v="97968"/>
    <n v="47"/>
    <n v="10277"/>
    <n v="0.15"/>
    <n v="5"/>
    <n v="72452.849999999991"/>
    <n v="410566.15"/>
    <n v="255184.21424234891"/>
    <n v="155381.93575765111"/>
  </r>
  <r>
    <x v="1437"/>
    <x v="2"/>
    <x v="4"/>
    <x v="2"/>
    <n v="25116"/>
    <n v="46"/>
    <n v="36831"/>
    <n v="0"/>
    <n v="4"/>
    <n v="0"/>
    <n v="1694226"/>
    <n v="1064453.0438795411"/>
    <n v="629772.95612045913"/>
  </r>
  <r>
    <x v="1438"/>
    <x v="1"/>
    <x v="1"/>
    <x v="0"/>
    <n v="30045"/>
    <n v="16"/>
    <n v="21468"/>
    <n v="0.15"/>
    <n v="2"/>
    <n v="51523.199999999997"/>
    <n v="291964.79999999999"/>
    <n v="226232.08093996879"/>
    <n v="65732.719060031231"/>
  </r>
  <r>
    <x v="1439"/>
    <x v="0"/>
    <x v="0"/>
    <x v="5"/>
    <n v="36327"/>
    <n v="29"/>
    <n v="38309"/>
    <n v="0.2"/>
    <n v="2"/>
    <n v="222192.2"/>
    <n v="888768.8"/>
    <n v="547035.99900507601"/>
    <n v="341732.80099492398"/>
  </r>
  <r>
    <x v="1440"/>
    <x v="2"/>
    <x v="0"/>
    <x v="0"/>
    <n v="45709"/>
    <n v="9"/>
    <n v="11792"/>
    <n v="0.15"/>
    <n v="5"/>
    <n v="15919.2"/>
    <n v="90208.8"/>
    <n v="63243.41072347678"/>
    <n v="26965.389276523219"/>
  </r>
  <r>
    <x v="1441"/>
    <x v="3"/>
    <x v="3"/>
    <x v="3"/>
    <n v="53617"/>
    <n v="33"/>
    <n v="41294"/>
    <n v="0.1"/>
    <n v="3"/>
    <n v="136270.20000000001"/>
    <n v="1226431.8"/>
    <n v="1012983.49985344"/>
    <n v="213448.3001465605"/>
  </r>
  <r>
    <x v="1442"/>
    <x v="1"/>
    <x v="1"/>
    <x v="3"/>
    <n v="70139"/>
    <n v="49"/>
    <n v="14423"/>
    <n v="0.2"/>
    <n v="1"/>
    <n v="141345.4"/>
    <n v="565381.6"/>
    <n v="389154.6712024592"/>
    <n v="176226.92879754081"/>
  </r>
  <r>
    <x v="1443"/>
    <x v="0"/>
    <x v="4"/>
    <x v="0"/>
    <n v="36905"/>
    <n v="29"/>
    <n v="28203"/>
    <n v="0.05"/>
    <n v="3"/>
    <n v="40894.350000000013"/>
    <n v="776992.65"/>
    <n v="644121.01969637815"/>
    <n v="132871.6303036219"/>
  </r>
  <r>
    <x v="1444"/>
    <x v="0"/>
    <x v="0"/>
    <x v="3"/>
    <n v="74148"/>
    <n v="13"/>
    <n v="19157"/>
    <n v="0.2"/>
    <n v="3"/>
    <n v="49808.2"/>
    <n v="199232.8"/>
    <n v="164096.1255989096"/>
    <n v="35136.674401090422"/>
  </r>
  <r>
    <x v="1445"/>
    <x v="2"/>
    <x v="0"/>
    <x v="2"/>
    <n v="82603"/>
    <n v="21"/>
    <n v="4129"/>
    <n v="0"/>
    <n v="1"/>
    <n v="0"/>
    <n v="86709"/>
    <n v="58420.02745304806"/>
    <n v="28288.97254695194"/>
  </r>
  <r>
    <x v="1446"/>
    <x v="1"/>
    <x v="3"/>
    <x v="1"/>
    <n v="52919"/>
    <n v="21"/>
    <n v="2614"/>
    <n v="0"/>
    <n v="2"/>
    <n v="0"/>
    <n v="54894"/>
    <n v="44938.789426203351"/>
    <n v="9955.2105737966485"/>
  </r>
  <r>
    <x v="1447"/>
    <x v="1"/>
    <x v="2"/>
    <x v="0"/>
    <n v="93521"/>
    <n v="5"/>
    <n v="34945"/>
    <n v="0.15"/>
    <n v="2"/>
    <n v="26208.75"/>
    <n v="148516.25"/>
    <n v="122426.8446461337"/>
    <n v="26089.405353866339"/>
  </r>
  <r>
    <x v="1448"/>
    <x v="3"/>
    <x v="4"/>
    <x v="2"/>
    <n v="93400"/>
    <n v="10"/>
    <n v="36362"/>
    <n v="0.2"/>
    <n v="1"/>
    <n v="72724"/>
    <n v="290896"/>
    <n v="209222.9271482506"/>
    <n v="81673.07285174937"/>
  </r>
  <r>
    <x v="1449"/>
    <x v="1"/>
    <x v="1"/>
    <x v="1"/>
    <n v="98150"/>
    <n v="6"/>
    <n v="26074"/>
    <n v="0.05"/>
    <n v="4"/>
    <n v="7822.2000000000007"/>
    <n v="148621.79999999999"/>
    <n v="98555.001315160553"/>
    <n v="50066.798684839443"/>
  </r>
  <r>
    <x v="1450"/>
    <x v="1"/>
    <x v="0"/>
    <x v="1"/>
    <n v="68446"/>
    <n v="13"/>
    <n v="32849"/>
    <n v="0"/>
    <n v="3"/>
    <n v="0"/>
    <n v="427037"/>
    <n v="323002.77646880492"/>
    <n v="104034.22353119509"/>
  </r>
  <r>
    <x v="1451"/>
    <x v="2"/>
    <x v="0"/>
    <x v="2"/>
    <n v="62428"/>
    <n v="1"/>
    <n v="22757"/>
    <n v="0.05"/>
    <n v="5"/>
    <n v="1137.8499999999999"/>
    <n v="21619.15"/>
    <n v="18947.43979938433"/>
    <n v="2671.710200615667"/>
  </r>
  <r>
    <x v="1452"/>
    <x v="1"/>
    <x v="4"/>
    <x v="4"/>
    <n v="57894"/>
    <n v="20"/>
    <n v="35552"/>
    <n v="0.1"/>
    <n v="2"/>
    <n v="71104"/>
    <n v="639936"/>
    <n v="506755.73198569322"/>
    <n v="133180.26801430681"/>
  </r>
  <r>
    <x v="1453"/>
    <x v="0"/>
    <x v="2"/>
    <x v="0"/>
    <n v="91149"/>
    <n v="47"/>
    <n v="38320"/>
    <n v="0"/>
    <n v="5"/>
    <n v="0"/>
    <n v="1801040"/>
    <n v="1174056.1005379809"/>
    <n v="626983.89946201933"/>
  </r>
  <r>
    <x v="1454"/>
    <x v="2"/>
    <x v="0"/>
    <x v="1"/>
    <n v="16447"/>
    <n v="46"/>
    <n v="18473"/>
    <n v="0.15"/>
    <n v="1"/>
    <n v="127463.7"/>
    <n v="722294.3"/>
    <n v="581322.01050616521"/>
    <n v="140972.2894938348"/>
  </r>
  <r>
    <x v="1455"/>
    <x v="2"/>
    <x v="4"/>
    <x v="1"/>
    <n v="15499"/>
    <n v="8"/>
    <n v="26237"/>
    <n v="0.1"/>
    <n v="5"/>
    <n v="20989.599999999999"/>
    <n v="188906.4"/>
    <n v="137554.25578587389"/>
    <n v="51352.144214126049"/>
  </r>
  <r>
    <x v="1456"/>
    <x v="3"/>
    <x v="3"/>
    <x v="3"/>
    <n v="49041"/>
    <n v="10"/>
    <n v="12547"/>
    <n v="0.2"/>
    <n v="5"/>
    <n v="25094"/>
    <n v="100376"/>
    <n v="78038.188369002877"/>
    <n v="22337.811630997119"/>
  </r>
  <r>
    <x v="1457"/>
    <x v="1"/>
    <x v="2"/>
    <x v="1"/>
    <n v="41315"/>
    <n v="9"/>
    <n v="22613"/>
    <n v="0.05"/>
    <n v="3"/>
    <n v="10175.85"/>
    <n v="193341.15"/>
    <n v="158582.12541150241"/>
    <n v="34759.024588497618"/>
  </r>
  <r>
    <x v="1458"/>
    <x v="3"/>
    <x v="1"/>
    <x v="2"/>
    <n v="11299"/>
    <n v="49"/>
    <n v="1194"/>
    <n v="0"/>
    <n v="1"/>
    <n v="0"/>
    <n v="58506"/>
    <n v="44141.852924311243"/>
    <n v="14364.147075688759"/>
  </r>
  <r>
    <x v="1459"/>
    <x v="0"/>
    <x v="0"/>
    <x v="1"/>
    <n v="14994"/>
    <n v="41"/>
    <n v="16088"/>
    <n v="0.1"/>
    <n v="5"/>
    <n v="65960.800000000003"/>
    <n v="593647.19999999995"/>
    <n v="501154.11220509472"/>
    <n v="92493.087794905237"/>
  </r>
  <r>
    <x v="1460"/>
    <x v="2"/>
    <x v="4"/>
    <x v="4"/>
    <n v="91163"/>
    <n v="3"/>
    <n v="46323"/>
    <n v="0.1"/>
    <n v="2"/>
    <n v="13896.9"/>
    <n v="125072.1"/>
    <n v="102139.7144495542"/>
    <n v="22932.38555044583"/>
  </r>
  <r>
    <x v="1461"/>
    <x v="2"/>
    <x v="3"/>
    <x v="0"/>
    <n v="17489"/>
    <n v="11"/>
    <n v="49348"/>
    <n v="0"/>
    <n v="1"/>
    <n v="0"/>
    <n v="542828"/>
    <n v="425860.50930467038"/>
    <n v="116967.4906953296"/>
  </r>
  <r>
    <x v="1462"/>
    <x v="2"/>
    <x v="1"/>
    <x v="0"/>
    <n v="42355"/>
    <n v="12"/>
    <n v="20567"/>
    <n v="0.2"/>
    <n v="2"/>
    <n v="49360.800000000003"/>
    <n v="197443.20000000001"/>
    <n v="127397.8248284851"/>
    <n v="70045.375171514956"/>
  </r>
  <r>
    <x v="1463"/>
    <x v="0"/>
    <x v="4"/>
    <x v="1"/>
    <n v="83805"/>
    <n v="10"/>
    <n v="7204"/>
    <n v="0.2"/>
    <n v="4"/>
    <n v="14408"/>
    <n v="57632"/>
    <n v="49032.425748016649"/>
    <n v="8599.5742519833511"/>
  </r>
  <r>
    <x v="1464"/>
    <x v="0"/>
    <x v="4"/>
    <x v="5"/>
    <n v="78367"/>
    <n v="25"/>
    <n v="40636"/>
    <n v="0.15"/>
    <n v="5"/>
    <n v="152385"/>
    <n v="863515"/>
    <n v="760559.55345223227"/>
    <n v="102955.4465477677"/>
  </r>
  <r>
    <x v="1465"/>
    <x v="3"/>
    <x v="1"/>
    <x v="5"/>
    <n v="87355"/>
    <n v="49"/>
    <n v="2471"/>
    <n v="0.2"/>
    <n v="1"/>
    <n v="24215.8"/>
    <n v="96863.2"/>
    <n v="62097.984054169341"/>
    <n v="34765.215945830663"/>
  </r>
  <r>
    <x v="1466"/>
    <x v="3"/>
    <x v="3"/>
    <x v="2"/>
    <n v="97173"/>
    <n v="49"/>
    <n v="47861"/>
    <n v="0.15"/>
    <n v="2"/>
    <n v="351778.35"/>
    <n v="1993410.65"/>
    <n v="1488025.910154189"/>
    <n v="505384.73984581139"/>
  </r>
  <r>
    <x v="1467"/>
    <x v="3"/>
    <x v="3"/>
    <x v="5"/>
    <n v="11996"/>
    <n v="25"/>
    <n v="41323"/>
    <n v="0.1"/>
    <n v="5"/>
    <n v="103307.5"/>
    <n v="929767.5"/>
    <n v="630072.40152001823"/>
    <n v="299695.09847998183"/>
  </r>
  <r>
    <x v="1468"/>
    <x v="1"/>
    <x v="2"/>
    <x v="2"/>
    <n v="54387"/>
    <n v="11"/>
    <n v="11941"/>
    <n v="0"/>
    <n v="3"/>
    <n v="0"/>
    <n v="131351"/>
    <n v="108542.8172860966"/>
    <n v="22808.182713903381"/>
  </r>
  <r>
    <x v="1469"/>
    <x v="2"/>
    <x v="0"/>
    <x v="3"/>
    <n v="13089"/>
    <n v="36"/>
    <n v="31976"/>
    <n v="0.2"/>
    <n v="2"/>
    <n v="230227.20000000001"/>
    <n v="920908.80000000005"/>
    <n v="751911.80464125762"/>
    <n v="168996.9953587424"/>
  </r>
  <r>
    <x v="1470"/>
    <x v="2"/>
    <x v="1"/>
    <x v="2"/>
    <n v="30659"/>
    <n v="39"/>
    <n v="15177"/>
    <n v="0.15"/>
    <n v="2"/>
    <n v="88785.45"/>
    <n v="503117.55"/>
    <n v="323135.06300785008"/>
    <n v="179982.4869921499"/>
  </r>
  <r>
    <x v="1471"/>
    <x v="3"/>
    <x v="1"/>
    <x v="5"/>
    <n v="55178"/>
    <n v="26"/>
    <n v="28318"/>
    <n v="0.1"/>
    <n v="4"/>
    <n v="73626.8"/>
    <n v="662641.19999999995"/>
    <n v="571931.04103846091"/>
    <n v="90710.15896153904"/>
  </r>
  <r>
    <x v="1472"/>
    <x v="2"/>
    <x v="1"/>
    <x v="1"/>
    <n v="91268"/>
    <n v="14"/>
    <n v="2368"/>
    <n v="0.2"/>
    <n v="3"/>
    <n v="6630.4000000000005"/>
    <n v="26521.599999999999"/>
    <n v="17352.86856407969"/>
    <n v="9168.7314359203046"/>
  </r>
  <r>
    <x v="1473"/>
    <x v="3"/>
    <x v="3"/>
    <x v="3"/>
    <n v="95042"/>
    <n v="39"/>
    <n v="18555"/>
    <n v="0.05"/>
    <n v="4"/>
    <n v="36182.25"/>
    <n v="687462.75"/>
    <n v="576903.41467031057"/>
    <n v="110559.33532968941"/>
  </r>
  <r>
    <x v="1474"/>
    <x v="1"/>
    <x v="0"/>
    <x v="5"/>
    <n v="80726"/>
    <n v="40"/>
    <n v="2228"/>
    <n v="0.1"/>
    <n v="3"/>
    <n v="8912"/>
    <n v="80208"/>
    <n v="59120.844205512913"/>
    <n v="21087.155794487091"/>
  </r>
  <r>
    <x v="1475"/>
    <x v="1"/>
    <x v="2"/>
    <x v="2"/>
    <n v="80111"/>
    <n v="1"/>
    <n v="8132"/>
    <n v="0.2"/>
    <n v="2"/>
    <n v="1626.4"/>
    <n v="6505.6"/>
    <n v="4544.0424698915731"/>
    <n v="1961.557530108427"/>
  </r>
  <r>
    <x v="1476"/>
    <x v="0"/>
    <x v="4"/>
    <x v="4"/>
    <n v="44565"/>
    <n v="4"/>
    <n v="12543"/>
    <n v="0.1"/>
    <n v="4"/>
    <n v="5017.2000000000007"/>
    <n v="45154.8"/>
    <n v="29236.458677460469"/>
    <n v="15918.341322539531"/>
  </r>
  <r>
    <x v="1477"/>
    <x v="1"/>
    <x v="4"/>
    <x v="0"/>
    <n v="99242"/>
    <n v="30"/>
    <n v="6903"/>
    <n v="0"/>
    <n v="5"/>
    <n v="0"/>
    <n v="207090"/>
    <n v="134667.37089162169"/>
    <n v="72422.629108378344"/>
  </r>
  <r>
    <x v="1478"/>
    <x v="3"/>
    <x v="1"/>
    <x v="5"/>
    <n v="32884"/>
    <n v="12"/>
    <n v="16232"/>
    <n v="0"/>
    <n v="3"/>
    <n v="0"/>
    <n v="194784"/>
    <n v="155548.10694205799"/>
    <n v="39235.893057941947"/>
  </r>
  <r>
    <x v="1479"/>
    <x v="1"/>
    <x v="0"/>
    <x v="2"/>
    <n v="27199"/>
    <n v="35"/>
    <n v="19026"/>
    <n v="0"/>
    <n v="2"/>
    <n v="0"/>
    <n v="665910"/>
    <n v="509507.12989136012"/>
    <n v="156402.87010863991"/>
  </r>
  <r>
    <x v="1480"/>
    <x v="0"/>
    <x v="3"/>
    <x v="3"/>
    <n v="70038"/>
    <n v="13"/>
    <n v="9840"/>
    <n v="0.05"/>
    <n v="1"/>
    <n v="6396"/>
    <n v="121524"/>
    <n v="77365.292634223326"/>
    <n v="44158.707365776667"/>
  </r>
  <r>
    <x v="1481"/>
    <x v="2"/>
    <x v="0"/>
    <x v="5"/>
    <n v="67786"/>
    <n v="31"/>
    <n v="39452"/>
    <n v="0"/>
    <n v="3"/>
    <n v="0"/>
    <n v="1223012"/>
    <n v="775156.45070711907"/>
    <n v="447855.54929288093"/>
  </r>
  <r>
    <x v="1482"/>
    <x v="3"/>
    <x v="0"/>
    <x v="5"/>
    <n v="59294"/>
    <n v="38"/>
    <n v="22894"/>
    <n v="0.05"/>
    <n v="3"/>
    <n v="43498.600000000013"/>
    <n v="826473.4"/>
    <n v="513812.86997652688"/>
    <n v="312660.53002347308"/>
  </r>
  <r>
    <x v="1483"/>
    <x v="2"/>
    <x v="3"/>
    <x v="0"/>
    <n v="88015"/>
    <n v="43"/>
    <n v="33521"/>
    <n v="0"/>
    <n v="5"/>
    <n v="0"/>
    <n v="1441403"/>
    <n v="1186462.3457418811"/>
    <n v="254940.65425811941"/>
  </r>
  <r>
    <x v="1484"/>
    <x v="0"/>
    <x v="1"/>
    <x v="2"/>
    <n v="44178"/>
    <n v="23"/>
    <n v="4602"/>
    <n v="0.1"/>
    <n v="3"/>
    <n v="10584.6"/>
    <n v="95261.4"/>
    <n v="77501.305222158422"/>
    <n v="17760.094777841568"/>
  </r>
  <r>
    <x v="1485"/>
    <x v="0"/>
    <x v="0"/>
    <x v="4"/>
    <n v="22665"/>
    <n v="4"/>
    <n v="36810"/>
    <n v="0.2"/>
    <n v="3"/>
    <n v="29448"/>
    <n v="117792"/>
    <n v="72740.010982422624"/>
    <n v="45051.989017577383"/>
  </r>
  <r>
    <x v="1486"/>
    <x v="0"/>
    <x v="4"/>
    <x v="3"/>
    <n v="10534"/>
    <n v="16"/>
    <n v="19659"/>
    <n v="0.2"/>
    <n v="5"/>
    <n v="62908.800000000003"/>
    <n v="251635.20000000001"/>
    <n v="193276.22175805789"/>
    <n v="58358.978241942154"/>
  </r>
  <r>
    <x v="1487"/>
    <x v="2"/>
    <x v="3"/>
    <x v="2"/>
    <n v="46132"/>
    <n v="7"/>
    <n v="6712"/>
    <n v="0"/>
    <n v="5"/>
    <n v="0"/>
    <n v="46984"/>
    <n v="29383.927343376759"/>
    <n v="17600.072656623241"/>
  </r>
  <r>
    <x v="1488"/>
    <x v="2"/>
    <x v="2"/>
    <x v="3"/>
    <n v="46110"/>
    <n v="22"/>
    <n v="32324"/>
    <n v="0.2"/>
    <n v="4"/>
    <n v="142225.60000000001"/>
    <n v="568902.40000000002"/>
    <n v="495584.38136678288"/>
    <n v="73318.018633217085"/>
  </r>
  <r>
    <x v="1489"/>
    <x v="2"/>
    <x v="1"/>
    <x v="5"/>
    <n v="68754"/>
    <n v="29"/>
    <n v="37905"/>
    <n v="0"/>
    <n v="2"/>
    <n v="0"/>
    <n v="1099245"/>
    <n v="958690.28623399942"/>
    <n v="140554.71376600061"/>
  </r>
  <r>
    <x v="1490"/>
    <x v="2"/>
    <x v="3"/>
    <x v="0"/>
    <n v="73580"/>
    <n v="11"/>
    <n v="12025"/>
    <n v="0"/>
    <n v="2"/>
    <n v="0"/>
    <n v="132275"/>
    <n v="107072.6306182595"/>
    <n v="25202.369381740471"/>
  </r>
  <r>
    <x v="1491"/>
    <x v="0"/>
    <x v="2"/>
    <x v="0"/>
    <n v="32469"/>
    <n v="33"/>
    <n v="29260"/>
    <n v="0.15"/>
    <n v="4"/>
    <n v="144837"/>
    <n v="820743"/>
    <n v="720494.72218469356"/>
    <n v="100248.2778153064"/>
  </r>
  <r>
    <x v="1492"/>
    <x v="0"/>
    <x v="2"/>
    <x v="1"/>
    <n v="74016"/>
    <n v="29"/>
    <n v="44739"/>
    <n v="0.15"/>
    <n v="2"/>
    <n v="194614.65"/>
    <n v="1102816.3500000001"/>
    <n v="930154.91075917962"/>
    <n v="172661.4392408205"/>
  </r>
  <r>
    <x v="1493"/>
    <x v="3"/>
    <x v="0"/>
    <x v="4"/>
    <n v="56233"/>
    <n v="39"/>
    <n v="45768"/>
    <n v="0.15"/>
    <n v="3"/>
    <n v="267742.8"/>
    <n v="1517209.2"/>
    <n v="1287445.4249854251"/>
    <n v="229763.77501457461"/>
  </r>
  <r>
    <x v="1494"/>
    <x v="3"/>
    <x v="0"/>
    <x v="0"/>
    <n v="76708"/>
    <n v="12"/>
    <n v="27957"/>
    <n v="0.05"/>
    <n v="4"/>
    <n v="16774.2"/>
    <n v="318709.8"/>
    <n v="245697.32253407201"/>
    <n v="73012.477465928008"/>
  </r>
  <r>
    <x v="1495"/>
    <x v="2"/>
    <x v="0"/>
    <x v="5"/>
    <n v="68232"/>
    <n v="7"/>
    <n v="48515"/>
    <n v="0.15"/>
    <n v="4"/>
    <n v="50940.75"/>
    <n v="288664.25"/>
    <n v="199703.0546726021"/>
    <n v="88961.195327397872"/>
  </r>
  <r>
    <x v="1496"/>
    <x v="1"/>
    <x v="3"/>
    <x v="4"/>
    <n v="96437"/>
    <n v="39"/>
    <n v="11032"/>
    <n v="0"/>
    <n v="2"/>
    <n v="0"/>
    <n v="430248"/>
    <n v="286261.09010418301"/>
    <n v="143986.90989581699"/>
  </r>
  <r>
    <x v="1497"/>
    <x v="1"/>
    <x v="3"/>
    <x v="2"/>
    <n v="44409"/>
    <n v="42"/>
    <n v="14018"/>
    <n v="0.1"/>
    <n v="1"/>
    <n v="58875.600000000013"/>
    <n v="529880.4"/>
    <n v="369941.30356739898"/>
    <n v="159939.09643260101"/>
  </r>
  <r>
    <x v="1498"/>
    <x v="0"/>
    <x v="1"/>
    <x v="0"/>
    <n v="29324"/>
    <n v="48"/>
    <n v="6976"/>
    <n v="0.15"/>
    <n v="2"/>
    <n v="50227.199999999997"/>
    <n v="284620.79999999999"/>
    <n v="224437.34163248789"/>
    <n v="60183.458367512118"/>
  </r>
  <r>
    <x v="1499"/>
    <x v="0"/>
    <x v="0"/>
    <x v="4"/>
    <n v="18738"/>
    <n v="26"/>
    <n v="20243"/>
    <n v="0.15"/>
    <n v="1"/>
    <n v="78947.7"/>
    <n v="447370.3"/>
    <n v="291594.60186969029"/>
    <n v="155775.69813030961"/>
  </r>
  <r>
    <x v="1500"/>
    <x v="0"/>
    <x v="2"/>
    <x v="5"/>
    <n v="34054"/>
    <n v="40"/>
    <n v="1504"/>
    <n v="0.1"/>
    <n v="4"/>
    <n v="6016"/>
    <n v="54144"/>
    <n v="36687.545091747343"/>
    <n v="17456.454908252661"/>
  </r>
  <r>
    <x v="1501"/>
    <x v="3"/>
    <x v="4"/>
    <x v="1"/>
    <n v="39709"/>
    <n v="9"/>
    <n v="43554"/>
    <n v="0"/>
    <n v="1"/>
    <n v="0"/>
    <n v="391986"/>
    <n v="290233.59160912287"/>
    <n v="101752.4083908771"/>
  </r>
  <r>
    <x v="1502"/>
    <x v="3"/>
    <x v="1"/>
    <x v="3"/>
    <n v="95643"/>
    <n v="41"/>
    <n v="37985"/>
    <n v="0.05"/>
    <n v="3"/>
    <n v="77869.25"/>
    <n v="1479515.75"/>
    <n v="991149.83739186614"/>
    <n v="488365.91260813392"/>
  </r>
  <r>
    <x v="1503"/>
    <x v="0"/>
    <x v="3"/>
    <x v="3"/>
    <n v="10363"/>
    <n v="34"/>
    <n v="3771"/>
    <n v="0.15"/>
    <n v="5"/>
    <n v="19232.099999999999"/>
    <n v="108981.9"/>
    <n v="84634.591664588646"/>
    <n v="24347.308335411351"/>
  </r>
  <r>
    <x v="1504"/>
    <x v="0"/>
    <x v="1"/>
    <x v="5"/>
    <n v="20358"/>
    <n v="45"/>
    <n v="45982"/>
    <n v="0.1"/>
    <n v="1"/>
    <n v="206919"/>
    <n v="1862271"/>
    <n v="1633123.7837068189"/>
    <n v="229147.21629318059"/>
  </r>
  <r>
    <x v="1505"/>
    <x v="0"/>
    <x v="1"/>
    <x v="5"/>
    <n v="13240"/>
    <n v="13"/>
    <n v="709"/>
    <n v="0"/>
    <n v="5"/>
    <n v="0"/>
    <n v="9217"/>
    <n v="7598.741905105715"/>
    <n v="1618.258094894285"/>
  </r>
  <r>
    <x v="1506"/>
    <x v="1"/>
    <x v="1"/>
    <x v="3"/>
    <n v="82201"/>
    <n v="36"/>
    <n v="25963"/>
    <n v="0.2"/>
    <n v="3"/>
    <n v="186933.6"/>
    <n v="747734.4"/>
    <n v="598133.67134240072"/>
    <n v="149600.72865759931"/>
  </r>
  <r>
    <x v="1507"/>
    <x v="3"/>
    <x v="1"/>
    <x v="1"/>
    <n v="55689"/>
    <n v="25"/>
    <n v="6039"/>
    <n v="0.05"/>
    <n v="5"/>
    <n v="7548.75"/>
    <n v="143426.25"/>
    <n v="111129.0168284455"/>
    <n v="32297.233171554471"/>
  </r>
  <r>
    <x v="1508"/>
    <x v="1"/>
    <x v="4"/>
    <x v="4"/>
    <n v="11936"/>
    <n v="24"/>
    <n v="49805"/>
    <n v="0.1"/>
    <n v="3"/>
    <n v="119532"/>
    <n v="1075788"/>
    <n v="802951.35162115179"/>
    <n v="272836.64837884821"/>
  </r>
  <r>
    <x v="1509"/>
    <x v="1"/>
    <x v="0"/>
    <x v="3"/>
    <n v="53965"/>
    <n v="44"/>
    <n v="20477"/>
    <n v="0.1"/>
    <n v="5"/>
    <n v="90098.8"/>
    <n v="810889.2"/>
    <n v="531918.3056664184"/>
    <n v="278970.89433358161"/>
  </r>
  <r>
    <x v="1510"/>
    <x v="0"/>
    <x v="2"/>
    <x v="5"/>
    <n v="87534"/>
    <n v="17"/>
    <n v="9106"/>
    <n v="0.1"/>
    <n v="5"/>
    <n v="15480.2"/>
    <n v="139321.79999999999"/>
    <n v="120988.8813386672"/>
    <n v="18332.918661332809"/>
  </r>
  <r>
    <x v="1511"/>
    <x v="0"/>
    <x v="1"/>
    <x v="0"/>
    <n v="10882"/>
    <n v="2"/>
    <n v="44884"/>
    <n v="0.15"/>
    <n v="2"/>
    <n v="13465.2"/>
    <n v="76302.8"/>
    <n v="51470.877856315521"/>
    <n v="24831.922143684478"/>
  </r>
  <r>
    <x v="1512"/>
    <x v="2"/>
    <x v="1"/>
    <x v="2"/>
    <n v="30224"/>
    <n v="13"/>
    <n v="34552"/>
    <n v="0.2"/>
    <n v="1"/>
    <n v="89835.200000000012"/>
    <n v="359340.79999999999"/>
    <n v="225447.78153481151"/>
    <n v="133893.01846518851"/>
  </r>
  <r>
    <x v="1513"/>
    <x v="2"/>
    <x v="1"/>
    <x v="1"/>
    <n v="40825"/>
    <n v="31"/>
    <n v="3648"/>
    <n v="0.05"/>
    <n v="5"/>
    <n v="5654.4000000000005"/>
    <n v="107433.60000000001"/>
    <n v="88633.2092277552"/>
    <n v="18800.390772244809"/>
  </r>
  <r>
    <x v="1514"/>
    <x v="1"/>
    <x v="0"/>
    <x v="1"/>
    <n v="80740"/>
    <n v="29"/>
    <n v="34036"/>
    <n v="0"/>
    <n v="4"/>
    <n v="0"/>
    <n v="987044"/>
    <n v="644228.47784051148"/>
    <n v="342815.52215948852"/>
  </r>
  <r>
    <x v="1515"/>
    <x v="3"/>
    <x v="3"/>
    <x v="0"/>
    <n v="38885"/>
    <n v="28"/>
    <n v="6107"/>
    <n v="0"/>
    <n v="2"/>
    <n v="0"/>
    <n v="170996"/>
    <n v="121675.4185012629"/>
    <n v="49320.581498737127"/>
  </r>
  <r>
    <x v="1516"/>
    <x v="0"/>
    <x v="3"/>
    <x v="0"/>
    <n v="50056"/>
    <n v="27"/>
    <n v="20086"/>
    <n v="0.2"/>
    <n v="1"/>
    <n v="108464.4"/>
    <n v="433857.6"/>
    <n v="263996.04933134897"/>
    <n v="169861.55066865101"/>
  </r>
  <r>
    <x v="1517"/>
    <x v="0"/>
    <x v="4"/>
    <x v="5"/>
    <n v="13203"/>
    <n v="15"/>
    <n v="29750"/>
    <n v="0.1"/>
    <n v="2"/>
    <n v="44625"/>
    <n v="401625"/>
    <n v="257489.97372684229"/>
    <n v="144135.02627315771"/>
  </r>
  <r>
    <x v="1518"/>
    <x v="1"/>
    <x v="3"/>
    <x v="3"/>
    <n v="70241"/>
    <n v="31"/>
    <n v="19094"/>
    <n v="0.1"/>
    <n v="1"/>
    <n v="59191.4"/>
    <n v="532722.6"/>
    <n v="347314.40655235812"/>
    <n v="185408.19344764191"/>
  </r>
  <r>
    <x v="1519"/>
    <x v="2"/>
    <x v="1"/>
    <x v="4"/>
    <n v="12244"/>
    <n v="40"/>
    <n v="7899"/>
    <n v="0.1"/>
    <n v="3"/>
    <n v="31596"/>
    <n v="284364"/>
    <n v="175260.08447026549"/>
    <n v="109103.9155297345"/>
  </r>
  <r>
    <x v="1520"/>
    <x v="3"/>
    <x v="1"/>
    <x v="1"/>
    <n v="78619"/>
    <n v="15"/>
    <n v="25617"/>
    <n v="0.1"/>
    <n v="5"/>
    <n v="38425.5"/>
    <n v="345829.5"/>
    <n v="275625.10409412009"/>
    <n v="70204.395905879908"/>
  </r>
  <r>
    <x v="1521"/>
    <x v="2"/>
    <x v="1"/>
    <x v="1"/>
    <n v="31584"/>
    <n v="33"/>
    <n v="33626"/>
    <n v="0.1"/>
    <n v="4"/>
    <n v="110965.8"/>
    <n v="998692.2"/>
    <n v="849989.26710232964"/>
    <n v="148702.93289767031"/>
  </r>
  <r>
    <x v="1522"/>
    <x v="2"/>
    <x v="4"/>
    <x v="0"/>
    <n v="18521"/>
    <n v="20"/>
    <n v="34117"/>
    <n v="0.2"/>
    <n v="2"/>
    <n v="136468"/>
    <n v="545872"/>
    <n v="388657.92825113668"/>
    <n v="157214.07174886329"/>
  </r>
  <r>
    <x v="1523"/>
    <x v="2"/>
    <x v="1"/>
    <x v="3"/>
    <n v="60017"/>
    <n v="42"/>
    <n v="7998"/>
    <n v="0.15"/>
    <n v="2"/>
    <n v="50387.4"/>
    <n v="285528.59999999998"/>
    <n v="246232.13909708409"/>
    <n v="39296.460902915831"/>
  </r>
  <r>
    <x v="1524"/>
    <x v="2"/>
    <x v="3"/>
    <x v="1"/>
    <n v="43541"/>
    <n v="12"/>
    <n v="37790"/>
    <n v="0.05"/>
    <n v="2"/>
    <n v="22674"/>
    <n v="430806"/>
    <n v="286056.89531998499"/>
    <n v="144749.10468001501"/>
  </r>
  <r>
    <x v="1525"/>
    <x v="0"/>
    <x v="0"/>
    <x v="4"/>
    <n v="39063"/>
    <n v="37"/>
    <n v="46041"/>
    <n v="0.1"/>
    <n v="2"/>
    <n v="170351.7"/>
    <n v="1533165.3"/>
    <n v="1069562.371906918"/>
    <n v="463602.92809308157"/>
  </r>
  <r>
    <x v="1526"/>
    <x v="0"/>
    <x v="0"/>
    <x v="0"/>
    <n v="80268"/>
    <n v="9"/>
    <n v="10128"/>
    <n v="0.15"/>
    <n v="5"/>
    <n v="13672.8"/>
    <n v="77479.199999999997"/>
    <n v="49991.214489138147"/>
    <n v="27487.98551086185"/>
  </r>
  <r>
    <x v="1527"/>
    <x v="2"/>
    <x v="2"/>
    <x v="4"/>
    <n v="74952"/>
    <n v="23"/>
    <n v="829"/>
    <n v="0"/>
    <n v="1"/>
    <n v="0"/>
    <n v="19067"/>
    <n v="14989.86065371622"/>
    <n v="4077.1393462837841"/>
  </r>
  <r>
    <x v="1528"/>
    <x v="3"/>
    <x v="3"/>
    <x v="3"/>
    <n v="49563"/>
    <n v="8"/>
    <n v="39119"/>
    <n v="0.2"/>
    <n v="5"/>
    <n v="62590.400000000001"/>
    <n v="250361.60000000001"/>
    <n v="181752.7267684906"/>
    <n v="68608.87323150938"/>
  </r>
  <r>
    <x v="1529"/>
    <x v="1"/>
    <x v="1"/>
    <x v="1"/>
    <n v="49752"/>
    <n v="32"/>
    <n v="7532"/>
    <n v="0.15"/>
    <n v="3"/>
    <n v="36153.599999999999"/>
    <n v="204870.39999999999"/>
    <n v="160615.32137425151"/>
    <n v="44255.078625748458"/>
  </r>
  <r>
    <x v="1530"/>
    <x v="3"/>
    <x v="0"/>
    <x v="2"/>
    <n v="12567"/>
    <n v="48"/>
    <n v="48594"/>
    <n v="0.1"/>
    <n v="5"/>
    <n v="233251.20000000001"/>
    <n v="2099260.7999999998"/>
    <n v="1739242.761371315"/>
    <n v="360018.03862868459"/>
  </r>
  <r>
    <x v="1531"/>
    <x v="3"/>
    <x v="3"/>
    <x v="1"/>
    <n v="26121"/>
    <n v="14"/>
    <n v="38534"/>
    <n v="0.1"/>
    <n v="5"/>
    <n v="53947.600000000013"/>
    <n v="485528.4"/>
    <n v="370803.33367489558"/>
    <n v="114725.0663251044"/>
  </r>
  <r>
    <x v="1532"/>
    <x v="3"/>
    <x v="0"/>
    <x v="3"/>
    <n v="11674"/>
    <n v="27"/>
    <n v="37622"/>
    <n v="0.1"/>
    <n v="3"/>
    <n v="101579.4"/>
    <n v="914214.6"/>
    <n v="720665.4101563188"/>
    <n v="193549.1898436812"/>
  </r>
  <r>
    <x v="1533"/>
    <x v="2"/>
    <x v="1"/>
    <x v="1"/>
    <n v="86411"/>
    <n v="25"/>
    <n v="21122"/>
    <n v="0.15"/>
    <n v="5"/>
    <n v="79207.5"/>
    <n v="448842.5"/>
    <n v="395239.52677156148"/>
    <n v="53602.973228438474"/>
  </r>
  <r>
    <x v="1534"/>
    <x v="0"/>
    <x v="0"/>
    <x v="1"/>
    <n v="76275"/>
    <n v="13"/>
    <n v="29084"/>
    <n v="0.1"/>
    <n v="1"/>
    <n v="37809.199999999997"/>
    <n v="340282.8"/>
    <n v="234699.61219612919"/>
    <n v="105583.18780387079"/>
  </r>
  <r>
    <x v="1535"/>
    <x v="3"/>
    <x v="2"/>
    <x v="5"/>
    <n v="77081"/>
    <n v="21"/>
    <n v="48350"/>
    <n v="0.15"/>
    <n v="4"/>
    <n v="152302.5"/>
    <n v="863047.5"/>
    <n v="610821.16179845599"/>
    <n v="252226.33820154399"/>
  </r>
  <r>
    <x v="1536"/>
    <x v="2"/>
    <x v="2"/>
    <x v="1"/>
    <n v="39140"/>
    <n v="45"/>
    <n v="5222"/>
    <n v="0.1"/>
    <n v="3"/>
    <n v="23499"/>
    <n v="211491"/>
    <n v="172430.9405013808"/>
    <n v="39060.059498619201"/>
  </r>
  <r>
    <x v="1537"/>
    <x v="3"/>
    <x v="0"/>
    <x v="1"/>
    <n v="19327"/>
    <n v="31"/>
    <n v="18272"/>
    <n v="0"/>
    <n v="2"/>
    <n v="0"/>
    <n v="566432"/>
    <n v="443738.10199101502"/>
    <n v="122693.89800898499"/>
  </r>
  <r>
    <x v="1538"/>
    <x v="3"/>
    <x v="3"/>
    <x v="4"/>
    <n v="80663"/>
    <n v="37"/>
    <n v="21069"/>
    <n v="0"/>
    <n v="1"/>
    <n v="0"/>
    <n v="779553"/>
    <n v="509484.55839979439"/>
    <n v="270068.44160020561"/>
  </r>
  <r>
    <x v="1539"/>
    <x v="2"/>
    <x v="3"/>
    <x v="2"/>
    <n v="33331"/>
    <n v="48"/>
    <n v="42179"/>
    <n v="0.05"/>
    <n v="4"/>
    <n v="101229.6"/>
    <n v="1923362.4"/>
    <n v="1371057.7178805959"/>
    <n v="552304.68211940397"/>
  </r>
  <r>
    <x v="1540"/>
    <x v="0"/>
    <x v="3"/>
    <x v="4"/>
    <n v="33004"/>
    <n v="43"/>
    <n v="3735"/>
    <n v="0.1"/>
    <n v="1"/>
    <n v="16060.5"/>
    <n v="144544.5"/>
    <n v="107013.7235064316"/>
    <n v="37530.776493568403"/>
  </r>
  <r>
    <x v="1541"/>
    <x v="0"/>
    <x v="0"/>
    <x v="4"/>
    <n v="20492"/>
    <n v="5"/>
    <n v="5076"/>
    <n v="0.1"/>
    <n v="1"/>
    <n v="2538"/>
    <n v="22842"/>
    <n v="16579.110803662181"/>
    <n v="6262.8891963378164"/>
  </r>
  <r>
    <x v="1542"/>
    <x v="1"/>
    <x v="3"/>
    <x v="0"/>
    <n v="64797"/>
    <n v="13"/>
    <n v="27207"/>
    <n v="0.15"/>
    <n v="2"/>
    <n v="53053.65"/>
    <n v="300637.34999999998"/>
    <n v="196461.2297837089"/>
    <n v="104176.12021629111"/>
  </r>
  <r>
    <x v="1543"/>
    <x v="2"/>
    <x v="1"/>
    <x v="5"/>
    <n v="68095"/>
    <n v="28"/>
    <n v="34368"/>
    <n v="0.15"/>
    <n v="4"/>
    <n v="144345.60000000001"/>
    <n v="817958.40000000002"/>
    <n v="717618.64763631253"/>
    <n v="100339.7523636875"/>
  </r>
  <r>
    <x v="1544"/>
    <x v="1"/>
    <x v="2"/>
    <x v="4"/>
    <n v="23749"/>
    <n v="43"/>
    <n v="42132"/>
    <n v="0.1"/>
    <n v="1"/>
    <n v="181167.6"/>
    <n v="1630508.4"/>
    <n v="1351195.1833258879"/>
    <n v="279313.21667411219"/>
  </r>
  <r>
    <x v="1545"/>
    <x v="1"/>
    <x v="1"/>
    <x v="3"/>
    <n v="73217"/>
    <n v="25"/>
    <n v="41976"/>
    <n v="0.05"/>
    <n v="2"/>
    <n v="52470"/>
    <n v="996930"/>
    <n v="742121.42091098428"/>
    <n v="254808.57908901569"/>
  </r>
  <r>
    <x v="1546"/>
    <x v="1"/>
    <x v="3"/>
    <x v="3"/>
    <n v="99044"/>
    <n v="35"/>
    <n v="30785"/>
    <n v="0.1"/>
    <n v="3"/>
    <n v="107747.5"/>
    <n v="969727.5"/>
    <n v="779678.66424822528"/>
    <n v="190048.83575177469"/>
  </r>
  <r>
    <x v="1547"/>
    <x v="0"/>
    <x v="1"/>
    <x v="1"/>
    <n v="19045"/>
    <n v="47"/>
    <n v="24654"/>
    <n v="0.15"/>
    <n v="2"/>
    <n v="173810.7"/>
    <n v="984927.3"/>
    <n v="856083.83988096751"/>
    <n v="128843.4601190325"/>
  </r>
  <r>
    <x v="1548"/>
    <x v="2"/>
    <x v="3"/>
    <x v="0"/>
    <n v="30116"/>
    <n v="39"/>
    <n v="20554"/>
    <n v="0.1"/>
    <n v="5"/>
    <n v="80160.600000000006"/>
    <n v="721445.4"/>
    <n v="462339.90258171019"/>
    <n v="259105.4974182898"/>
  </r>
  <r>
    <x v="1549"/>
    <x v="1"/>
    <x v="0"/>
    <x v="5"/>
    <n v="28667"/>
    <n v="7"/>
    <n v="17665"/>
    <n v="0.15"/>
    <n v="2"/>
    <n v="18548.25"/>
    <n v="105106.75"/>
    <n v="70958.819294218687"/>
    <n v="34147.930705781313"/>
  </r>
  <r>
    <x v="1550"/>
    <x v="2"/>
    <x v="1"/>
    <x v="5"/>
    <n v="85057"/>
    <n v="38"/>
    <n v="14939"/>
    <n v="0.1"/>
    <n v="2"/>
    <n v="56768.2"/>
    <n v="510913.8"/>
    <n v="389730.34695018962"/>
    <n v="121183.4530498104"/>
  </r>
  <r>
    <x v="1551"/>
    <x v="2"/>
    <x v="0"/>
    <x v="1"/>
    <n v="84205"/>
    <n v="32"/>
    <n v="45018"/>
    <n v="0.2"/>
    <n v="2"/>
    <n v="288115.20000000001"/>
    <n v="1152460.8"/>
    <n v="967724.91953311104"/>
    <n v="184735.88046688901"/>
  </r>
  <r>
    <x v="1552"/>
    <x v="0"/>
    <x v="0"/>
    <x v="3"/>
    <n v="37302"/>
    <n v="3"/>
    <n v="23015"/>
    <n v="0.15"/>
    <n v="1"/>
    <n v="10356.75"/>
    <n v="58688.25"/>
    <n v="35851.27091021886"/>
    <n v="22836.97908978114"/>
  </r>
  <r>
    <x v="1553"/>
    <x v="1"/>
    <x v="4"/>
    <x v="2"/>
    <n v="21283"/>
    <n v="45"/>
    <n v="27462"/>
    <n v="0.05"/>
    <n v="4"/>
    <n v="61789.5"/>
    <n v="1174000.5"/>
    <n v="1050971.640101881"/>
    <n v="123028.8598981192"/>
  </r>
  <r>
    <x v="1554"/>
    <x v="1"/>
    <x v="3"/>
    <x v="0"/>
    <n v="40935"/>
    <n v="39"/>
    <n v="43049"/>
    <n v="0.2"/>
    <n v="2"/>
    <n v="335782.2"/>
    <n v="1343128.8"/>
    <n v="989176.7278924532"/>
    <n v="353952.07210754679"/>
  </r>
  <r>
    <x v="1555"/>
    <x v="2"/>
    <x v="2"/>
    <x v="1"/>
    <n v="82534"/>
    <n v="37"/>
    <n v="38263"/>
    <n v="0.1"/>
    <n v="2"/>
    <n v="141573.1"/>
    <n v="1274157.8999999999"/>
    <n v="901809.89872475364"/>
    <n v="372348.00127524632"/>
  </r>
  <r>
    <x v="1556"/>
    <x v="3"/>
    <x v="3"/>
    <x v="0"/>
    <n v="41624"/>
    <n v="22"/>
    <n v="45254"/>
    <n v="0.15"/>
    <n v="5"/>
    <n v="149338.20000000001"/>
    <n v="846249.8"/>
    <n v="582065.27909310581"/>
    <n v="264184.52090689418"/>
  </r>
  <r>
    <x v="1557"/>
    <x v="0"/>
    <x v="2"/>
    <x v="3"/>
    <n v="23440"/>
    <n v="8"/>
    <n v="45778"/>
    <n v="0.2"/>
    <n v="5"/>
    <n v="73244.800000000003"/>
    <n v="292979.20000000001"/>
    <n v="191112.38661665589"/>
    <n v="101866.8133833442"/>
  </r>
  <r>
    <x v="1558"/>
    <x v="0"/>
    <x v="3"/>
    <x v="3"/>
    <n v="56501"/>
    <n v="17"/>
    <n v="19964"/>
    <n v="0.05"/>
    <n v="3"/>
    <n v="16969.400000000001"/>
    <n v="322418.59999999998"/>
    <n v="270016.6054541241"/>
    <n v="52401.994545875867"/>
  </r>
  <r>
    <x v="1559"/>
    <x v="0"/>
    <x v="0"/>
    <x v="2"/>
    <n v="97333"/>
    <n v="27"/>
    <n v="42536"/>
    <n v="0.15"/>
    <n v="3"/>
    <n v="172270.8"/>
    <n v="976201.2"/>
    <n v="865523.65623664111"/>
    <n v="110677.5437633588"/>
  </r>
  <r>
    <x v="1560"/>
    <x v="0"/>
    <x v="1"/>
    <x v="2"/>
    <n v="11269"/>
    <n v="33"/>
    <n v="30913"/>
    <n v="0.2"/>
    <n v="5"/>
    <n v="204025.8"/>
    <n v="816103.2"/>
    <n v="590934.96242776338"/>
    <n v="225168.2375722366"/>
  </r>
  <r>
    <x v="1561"/>
    <x v="1"/>
    <x v="1"/>
    <x v="5"/>
    <n v="17868"/>
    <n v="46"/>
    <n v="33770"/>
    <n v="0.2"/>
    <n v="4"/>
    <n v="310684"/>
    <n v="1242736"/>
    <n v="1100723.8453545391"/>
    <n v="142012.15464546069"/>
  </r>
  <r>
    <x v="1562"/>
    <x v="1"/>
    <x v="4"/>
    <x v="0"/>
    <n v="40251"/>
    <n v="17"/>
    <n v="42799"/>
    <n v="0.2"/>
    <n v="3"/>
    <n v="145516.6"/>
    <n v="582066.4"/>
    <n v="493091.31370345643"/>
    <n v="88975.086296543595"/>
  </r>
  <r>
    <x v="1563"/>
    <x v="3"/>
    <x v="2"/>
    <x v="0"/>
    <n v="87909"/>
    <n v="42"/>
    <n v="20769"/>
    <n v="0"/>
    <n v="4"/>
    <n v="0"/>
    <n v="872298"/>
    <n v="649264.78091860132"/>
    <n v="223033.21908139871"/>
  </r>
  <r>
    <x v="1564"/>
    <x v="0"/>
    <x v="2"/>
    <x v="3"/>
    <n v="94523"/>
    <n v="12"/>
    <n v="32041"/>
    <n v="0.1"/>
    <n v="5"/>
    <n v="38449.199999999997"/>
    <n v="346042.8"/>
    <n v="277598.25188943249"/>
    <n v="68444.548110567441"/>
  </r>
  <r>
    <x v="1565"/>
    <x v="0"/>
    <x v="2"/>
    <x v="5"/>
    <n v="48729"/>
    <n v="48"/>
    <n v="8509"/>
    <n v="0.15"/>
    <n v="3"/>
    <n v="61264.800000000003"/>
    <n v="347167.2"/>
    <n v="253603.9918580724"/>
    <n v="93563.208141927607"/>
  </r>
  <r>
    <x v="1566"/>
    <x v="2"/>
    <x v="0"/>
    <x v="1"/>
    <n v="25734"/>
    <n v="46"/>
    <n v="17507"/>
    <n v="0.15"/>
    <n v="2"/>
    <n v="120798.3"/>
    <n v="684523.7"/>
    <n v="525452.04439987999"/>
    <n v="159071.65560011999"/>
  </r>
  <r>
    <x v="1567"/>
    <x v="1"/>
    <x v="2"/>
    <x v="0"/>
    <n v="52429"/>
    <n v="27"/>
    <n v="26962"/>
    <n v="0.15"/>
    <n v="5"/>
    <n v="109196.1"/>
    <n v="618777.9"/>
    <n v="382042.07715690072"/>
    <n v="236735.82284309939"/>
  </r>
  <r>
    <x v="1568"/>
    <x v="0"/>
    <x v="1"/>
    <x v="5"/>
    <n v="51337"/>
    <n v="48"/>
    <n v="12042"/>
    <n v="0.2"/>
    <n v="3"/>
    <n v="115603.2"/>
    <n v="462412.79999999999"/>
    <n v="374036.02294543508"/>
    <n v="88376.777054564853"/>
  </r>
  <r>
    <x v="1569"/>
    <x v="3"/>
    <x v="0"/>
    <x v="5"/>
    <n v="50325"/>
    <n v="8"/>
    <n v="17934"/>
    <n v="0.1"/>
    <n v="4"/>
    <n v="14347.2"/>
    <n v="129124.8"/>
    <n v="79521.171496225579"/>
    <n v="49603.628503774416"/>
  </r>
  <r>
    <x v="1570"/>
    <x v="3"/>
    <x v="3"/>
    <x v="3"/>
    <n v="93600"/>
    <n v="23"/>
    <n v="30265"/>
    <n v="0.05"/>
    <n v="4"/>
    <n v="34804.75"/>
    <n v="661290.25"/>
    <n v="558873.24264591956"/>
    <n v="102417.0073540804"/>
  </r>
  <r>
    <x v="1571"/>
    <x v="1"/>
    <x v="2"/>
    <x v="5"/>
    <n v="72514"/>
    <n v="42"/>
    <n v="24269"/>
    <n v="0.15"/>
    <n v="3"/>
    <n v="152894.70000000001"/>
    <n v="866403.3"/>
    <n v="734263.00260284834"/>
    <n v="132140.29739715171"/>
  </r>
  <r>
    <x v="1572"/>
    <x v="3"/>
    <x v="2"/>
    <x v="2"/>
    <n v="18433"/>
    <n v="49"/>
    <n v="22965"/>
    <n v="0.1"/>
    <n v="4"/>
    <n v="112528.5"/>
    <n v="1012756.5"/>
    <n v="679684.36919247766"/>
    <n v="333072.13080752228"/>
  </r>
  <r>
    <x v="1573"/>
    <x v="3"/>
    <x v="3"/>
    <x v="2"/>
    <n v="19111"/>
    <n v="29"/>
    <n v="22368"/>
    <n v="0.1"/>
    <n v="3"/>
    <n v="64867.199999999997"/>
    <n v="583804.80000000005"/>
    <n v="406969.64554501482"/>
    <n v="176835.15445498531"/>
  </r>
  <r>
    <x v="1574"/>
    <x v="1"/>
    <x v="2"/>
    <x v="4"/>
    <n v="73753"/>
    <n v="20"/>
    <n v="20656"/>
    <n v="0"/>
    <n v="3"/>
    <n v="0"/>
    <n v="413120"/>
    <n v="307523.68307700061"/>
    <n v="105596.31692299939"/>
  </r>
  <r>
    <x v="1575"/>
    <x v="0"/>
    <x v="3"/>
    <x v="3"/>
    <n v="90583"/>
    <n v="16"/>
    <n v="20800"/>
    <n v="0.15"/>
    <n v="4"/>
    <n v="49920"/>
    <n v="282880"/>
    <n v="220363.20093391809"/>
    <n v="62516.799066081883"/>
  </r>
  <r>
    <x v="1576"/>
    <x v="0"/>
    <x v="0"/>
    <x v="1"/>
    <n v="83620"/>
    <n v="17"/>
    <n v="13935"/>
    <n v="0.2"/>
    <n v="1"/>
    <n v="47379"/>
    <n v="189516"/>
    <n v="130047.0349676089"/>
    <n v="59468.965032391119"/>
  </r>
  <r>
    <x v="1577"/>
    <x v="3"/>
    <x v="1"/>
    <x v="4"/>
    <n v="31751"/>
    <n v="16"/>
    <n v="4614"/>
    <n v="0.1"/>
    <n v="2"/>
    <n v="7382.4000000000005"/>
    <n v="66441.600000000006"/>
    <n v="51674.683410597761"/>
    <n v="14766.916589402241"/>
  </r>
  <r>
    <x v="1578"/>
    <x v="3"/>
    <x v="3"/>
    <x v="2"/>
    <n v="26453"/>
    <n v="19"/>
    <n v="46836"/>
    <n v="0.1"/>
    <n v="5"/>
    <n v="88988.400000000009"/>
    <n v="800895.6"/>
    <n v="552086.26700586698"/>
    <n v="248809.332994133"/>
  </r>
  <r>
    <x v="1579"/>
    <x v="0"/>
    <x v="4"/>
    <x v="4"/>
    <n v="95844"/>
    <n v="8"/>
    <n v="36635"/>
    <n v="0.05"/>
    <n v="2"/>
    <n v="14654"/>
    <n v="278426"/>
    <n v="171690.6178514793"/>
    <n v="106735.3821485207"/>
  </r>
  <r>
    <x v="1580"/>
    <x v="1"/>
    <x v="3"/>
    <x v="3"/>
    <n v="48968"/>
    <n v="38"/>
    <n v="8595"/>
    <n v="0"/>
    <n v="5"/>
    <n v="0"/>
    <n v="326610"/>
    <n v="196213.65691517989"/>
    <n v="130396.3430848201"/>
  </r>
  <r>
    <x v="1581"/>
    <x v="3"/>
    <x v="2"/>
    <x v="3"/>
    <n v="40077"/>
    <n v="38"/>
    <n v="38409"/>
    <n v="0.1"/>
    <n v="5"/>
    <n v="145954.20000000001"/>
    <n v="1313587.8"/>
    <n v="828013.91869162233"/>
    <n v="485573.88130837772"/>
  </r>
  <r>
    <x v="1582"/>
    <x v="2"/>
    <x v="0"/>
    <x v="5"/>
    <n v="44775"/>
    <n v="29"/>
    <n v="4451"/>
    <n v="0.1"/>
    <n v="2"/>
    <n v="12907.9"/>
    <n v="116171.1"/>
    <n v="97313.650594147271"/>
    <n v="18857.449405852731"/>
  </r>
  <r>
    <x v="1583"/>
    <x v="1"/>
    <x v="0"/>
    <x v="0"/>
    <n v="68144"/>
    <n v="41"/>
    <n v="21968"/>
    <n v="0.2"/>
    <n v="3"/>
    <n v="180137.60000000001"/>
    <n v="720550.40000000002"/>
    <n v="640158.15501310164"/>
    <n v="80392.244986898382"/>
  </r>
  <r>
    <x v="1584"/>
    <x v="3"/>
    <x v="3"/>
    <x v="5"/>
    <n v="58570"/>
    <n v="36"/>
    <n v="27573"/>
    <n v="0.2"/>
    <n v="4"/>
    <n v="198525.6"/>
    <n v="794102.4"/>
    <n v="578177.90507042839"/>
    <n v="215924.49492957161"/>
  </r>
  <r>
    <x v="1585"/>
    <x v="3"/>
    <x v="1"/>
    <x v="3"/>
    <n v="56097"/>
    <n v="26"/>
    <n v="48155"/>
    <n v="0.05"/>
    <n v="1"/>
    <n v="62601.5"/>
    <n v="1189428.5"/>
    <n v="896597.37171781051"/>
    <n v="292831.12828218949"/>
  </r>
  <r>
    <x v="1586"/>
    <x v="2"/>
    <x v="4"/>
    <x v="2"/>
    <n v="34503"/>
    <n v="31"/>
    <n v="34841"/>
    <n v="0.05"/>
    <n v="1"/>
    <n v="54003.55"/>
    <n v="1026067.45"/>
    <n v="660843.30791350175"/>
    <n v="365224.14208649821"/>
  </r>
  <r>
    <x v="1587"/>
    <x v="2"/>
    <x v="0"/>
    <x v="1"/>
    <n v="12779"/>
    <n v="44"/>
    <n v="46627"/>
    <n v="0.05"/>
    <n v="1"/>
    <n v="102579.4"/>
    <n v="1949008.6"/>
    <n v="1491594.6135729779"/>
    <n v="457413.98642702238"/>
  </r>
  <r>
    <x v="1588"/>
    <x v="0"/>
    <x v="2"/>
    <x v="2"/>
    <n v="96840"/>
    <n v="12"/>
    <n v="3268"/>
    <n v="0.2"/>
    <n v="2"/>
    <n v="7843.2000000000007"/>
    <n v="31372.799999999999"/>
    <n v="20185.14879290534"/>
    <n v="11187.651207094659"/>
  </r>
  <r>
    <x v="1589"/>
    <x v="1"/>
    <x v="2"/>
    <x v="5"/>
    <n v="10755"/>
    <n v="17"/>
    <n v="38570"/>
    <n v="0.2"/>
    <n v="2"/>
    <n v="131138"/>
    <n v="524552"/>
    <n v="410915.30995770259"/>
    <n v="113636.6900422974"/>
  </r>
  <r>
    <x v="1590"/>
    <x v="1"/>
    <x v="1"/>
    <x v="1"/>
    <n v="49263"/>
    <n v="15"/>
    <n v="47014"/>
    <n v="0"/>
    <n v="3"/>
    <n v="0"/>
    <n v="705210"/>
    <n v="620569.00348940818"/>
    <n v="84640.996510591824"/>
  </r>
  <r>
    <x v="1591"/>
    <x v="0"/>
    <x v="0"/>
    <x v="3"/>
    <n v="65087"/>
    <n v="9"/>
    <n v="34479"/>
    <n v="0.15"/>
    <n v="1"/>
    <n v="46546.65"/>
    <n v="263764.34999999998"/>
    <n v="173744.09940456471"/>
    <n v="90020.250595435267"/>
  </r>
  <r>
    <x v="1592"/>
    <x v="1"/>
    <x v="3"/>
    <x v="2"/>
    <n v="52281"/>
    <n v="39"/>
    <n v="25851"/>
    <n v="0.15"/>
    <n v="3"/>
    <n v="151228.35"/>
    <n v="856960.65"/>
    <n v="710736.69623778923"/>
    <n v="146223.95376221079"/>
  </r>
  <r>
    <x v="1593"/>
    <x v="1"/>
    <x v="2"/>
    <x v="3"/>
    <n v="61482"/>
    <n v="42"/>
    <n v="15945"/>
    <n v="0"/>
    <n v="1"/>
    <n v="0"/>
    <n v="669690"/>
    <n v="406535.80126116099"/>
    <n v="263154.19873883901"/>
  </r>
  <r>
    <x v="1594"/>
    <x v="1"/>
    <x v="1"/>
    <x v="1"/>
    <n v="64857"/>
    <n v="48"/>
    <n v="49083"/>
    <n v="0.15"/>
    <n v="2"/>
    <n v="353397.6"/>
    <n v="2002586.4"/>
    <n v="1427141.5406124589"/>
    <n v="575444.85938754119"/>
  </r>
  <r>
    <x v="1595"/>
    <x v="1"/>
    <x v="0"/>
    <x v="1"/>
    <n v="27400"/>
    <n v="12"/>
    <n v="1660"/>
    <n v="0.2"/>
    <n v="4"/>
    <n v="3984"/>
    <n v="15936"/>
    <n v="10091.0664662361"/>
    <n v="5844.9335337639041"/>
  </r>
  <r>
    <x v="1596"/>
    <x v="1"/>
    <x v="0"/>
    <x v="2"/>
    <n v="50115"/>
    <n v="32"/>
    <n v="22861"/>
    <n v="0.15"/>
    <n v="4"/>
    <n v="109732.8"/>
    <n v="621819.19999999995"/>
    <n v="438844.31913380529"/>
    <n v="182974.88086619461"/>
  </r>
  <r>
    <x v="1597"/>
    <x v="2"/>
    <x v="0"/>
    <x v="3"/>
    <n v="24249"/>
    <n v="25"/>
    <n v="7541"/>
    <n v="0.2"/>
    <n v="4"/>
    <n v="37705"/>
    <n v="150820"/>
    <n v="98343.85146598093"/>
    <n v="52476.14853401907"/>
  </r>
  <r>
    <x v="1598"/>
    <x v="1"/>
    <x v="0"/>
    <x v="4"/>
    <n v="56825"/>
    <n v="39"/>
    <n v="19267"/>
    <n v="0"/>
    <n v="4"/>
    <n v="0"/>
    <n v="751413"/>
    <n v="534999.66676296282"/>
    <n v="216413.33323703721"/>
  </r>
  <r>
    <x v="1599"/>
    <x v="2"/>
    <x v="0"/>
    <x v="3"/>
    <n v="34600"/>
    <n v="18"/>
    <n v="11346"/>
    <n v="0.05"/>
    <n v="5"/>
    <n v="10211.4"/>
    <n v="194016.6"/>
    <n v="140711.86657903271"/>
    <n v="53304.733420967328"/>
  </r>
  <r>
    <x v="1600"/>
    <x v="1"/>
    <x v="2"/>
    <x v="1"/>
    <n v="47706"/>
    <n v="15"/>
    <n v="39144"/>
    <n v="0"/>
    <n v="1"/>
    <n v="0"/>
    <n v="587160"/>
    <n v="405244.52509561321"/>
    <n v="181915.47490438679"/>
  </r>
  <r>
    <x v="1601"/>
    <x v="0"/>
    <x v="1"/>
    <x v="3"/>
    <n v="29222"/>
    <n v="32"/>
    <n v="20424"/>
    <n v="0.15"/>
    <n v="4"/>
    <n v="98035.199999999997"/>
    <n v="555532.80000000005"/>
    <n v="442752.18903967983"/>
    <n v="112780.61096032021"/>
  </r>
  <r>
    <x v="1602"/>
    <x v="3"/>
    <x v="0"/>
    <x v="5"/>
    <n v="51139"/>
    <n v="6"/>
    <n v="46157"/>
    <n v="0.2"/>
    <n v="5"/>
    <n v="55388.4"/>
    <n v="221553.6"/>
    <n v="194004.65394713881"/>
    <n v="27548.946052861229"/>
  </r>
  <r>
    <x v="1603"/>
    <x v="2"/>
    <x v="4"/>
    <x v="4"/>
    <n v="51302"/>
    <n v="44"/>
    <n v="14382"/>
    <n v="0.15"/>
    <n v="5"/>
    <n v="94921.2"/>
    <n v="537886.80000000005"/>
    <n v="387374.56916168629"/>
    <n v="150512.2308383137"/>
  </r>
  <r>
    <x v="1604"/>
    <x v="1"/>
    <x v="4"/>
    <x v="0"/>
    <n v="97838"/>
    <n v="43"/>
    <n v="15238"/>
    <n v="0.15"/>
    <n v="5"/>
    <n v="98285.099999999991"/>
    <n v="556948.9"/>
    <n v="366306.93282638729"/>
    <n v="190641.96717361271"/>
  </r>
  <r>
    <x v="1605"/>
    <x v="0"/>
    <x v="1"/>
    <x v="5"/>
    <n v="78159"/>
    <n v="35"/>
    <n v="21519"/>
    <n v="0.05"/>
    <n v="3"/>
    <n v="37658.25"/>
    <n v="715506.75"/>
    <n v="487415.23826035322"/>
    <n v="228091.51173964681"/>
  </r>
  <r>
    <x v="1606"/>
    <x v="3"/>
    <x v="3"/>
    <x v="0"/>
    <n v="18646"/>
    <n v="34"/>
    <n v="1595"/>
    <n v="0.15"/>
    <n v="3"/>
    <n v="8134.5"/>
    <n v="46095.5"/>
    <n v="39466.978487843073"/>
    <n v="6628.5215121569336"/>
  </r>
  <r>
    <x v="1607"/>
    <x v="2"/>
    <x v="3"/>
    <x v="2"/>
    <n v="23543"/>
    <n v="38"/>
    <n v="39169"/>
    <n v="0.05"/>
    <n v="5"/>
    <n v="74421.100000000006"/>
    <n v="1414000.9"/>
    <n v="1090890.264953922"/>
    <n v="323110.63504607789"/>
  </r>
  <r>
    <x v="1608"/>
    <x v="3"/>
    <x v="3"/>
    <x v="0"/>
    <n v="32785"/>
    <n v="5"/>
    <n v="41483"/>
    <n v="0.2"/>
    <n v="4"/>
    <n v="41483"/>
    <n v="165932"/>
    <n v="122209.46718382739"/>
    <n v="43722.532816172577"/>
  </r>
  <r>
    <x v="1609"/>
    <x v="0"/>
    <x v="4"/>
    <x v="3"/>
    <n v="88353"/>
    <n v="18"/>
    <n v="46179"/>
    <n v="0.2"/>
    <n v="1"/>
    <n v="166244.4"/>
    <n v="664977.6"/>
    <n v="428838.0803822623"/>
    <n v="236139.51961773771"/>
  </r>
  <r>
    <x v="1610"/>
    <x v="2"/>
    <x v="3"/>
    <x v="0"/>
    <n v="41406"/>
    <n v="16"/>
    <n v="14623"/>
    <n v="0.05"/>
    <n v="2"/>
    <n v="11698.4"/>
    <n v="222269.6"/>
    <n v="163349.97267906109"/>
    <n v="58919.627320938889"/>
  </r>
  <r>
    <x v="1611"/>
    <x v="3"/>
    <x v="2"/>
    <x v="1"/>
    <n v="98992"/>
    <n v="8"/>
    <n v="28632"/>
    <n v="0"/>
    <n v="3"/>
    <n v="0"/>
    <n v="229056"/>
    <n v="156570.6792963089"/>
    <n v="72485.320703691134"/>
  </r>
  <r>
    <x v="1612"/>
    <x v="1"/>
    <x v="0"/>
    <x v="5"/>
    <n v="61428"/>
    <n v="25"/>
    <n v="1579"/>
    <n v="0.2"/>
    <n v="4"/>
    <n v="7895"/>
    <n v="31580"/>
    <n v="27883.527473282629"/>
    <n v="3696.4725267173708"/>
  </r>
  <r>
    <x v="1613"/>
    <x v="2"/>
    <x v="4"/>
    <x v="5"/>
    <n v="33777"/>
    <n v="32"/>
    <n v="30157"/>
    <n v="0"/>
    <n v="4"/>
    <n v="0"/>
    <n v="965024"/>
    <n v="834959.06198064203"/>
    <n v="130064.938019358"/>
  </r>
  <r>
    <x v="1614"/>
    <x v="3"/>
    <x v="1"/>
    <x v="0"/>
    <n v="67939"/>
    <n v="26"/>
    <n v="45778"/>
    <n v="0.2"/>
    <n v="2"/>
    <n v="238045.6"/>
    <n v="952182.4"/>
    <n v="595276.5970932222"/>
    <n v="356905.80290677783"/>
  </r>
  <r>
    <x v="1615"/>
    <x v="0"/>
    <x v="1"/>
    <x v="5"/>
    <n v="63026"/>
    <n v="22"/>
    <n v="32875"/>
    <n v="0.2"/>
    <n v="2"/>
    <n v="144650"/>
    <n v="578600"/>
    <n v="436840.71266596648"/>
    <n v="141759.28733403349"/>
  </r>
  <r>
    <x v="1616"/>
    <x v="0"/>
    <x v="0"/>
    <x v="1"/>
    <n v="96450"/>
    <n v="31"/>
    <n v="25254"/>
    <n v="0.1"/>
    <n v="4"/>
    <n v="78287.400000000009"/>
    <n v="704586.6"/>
    <n v="470323.88834034238"/>
    <n v="234262.71165965751"/>
  </r>
  <r>
    <x v="1617"/>
    <x v="2"/>
    <x v="4"/>
    <x v="5"/>
    <n v="39553"/>
    <n v="43"/>
    <n v="31653"/>
    <n v="0.15"/>
    <n v="2"/>
    <n v="204161.85"/>
    <n v="1156917.1499999999"/>
    <n v="836720.80790932104"/>
    <n v="320196.34209067893"/>
  </r>
  <r>
    <x v="1618"/>
    <x v="3"/>
    <x v="3"/>
    <x v="0"/>
    <n v="33548"/>
    <n v="10"/>
    <n v="18844"/>
    <n v="0.15"/>
    <n v="4"/>
    <n v="28266"/>
    <n v="160174"/>
    <n v="138238.8753815786"/>
    <n v="21935.124618421371"/>
  </r>
  <r>
    <x v="1619"/>
    <x v="2"/>
    <x v="3"/>
    <x v="4"/>
    <n v="73221"/>
    <n v="12"/>
    <n v="34741"/>
    <n v="0"/>
    <n v="2"/>
    <n v="0"/>
    <n v="416892"/>
    <n v="316110.17496761249"/>
    <n v="100781.8250323875"/>
  </r>
  <r>
    <x v="1620"/>
    <x v="2"/>
    <x v="2"/>
    <x v="4"/>
    <n v="47265"/>
    <n v="28"/>
    <n v="38156"/>
    <n v="0.15"/>
    <n v="2"/>
    <n v="160255.20000000001"/>
    <n v="908112.8"/>
    <n v="635919.23575972265"/>
    <n v="272193.5642402774"/>
  </r>
  <r>
    <x v="1621"/>
    <x v="3"/>
    <x v="2"/>
    <x v="2"/>
    <n v="50701"/>
    <n v="6"/>
    <n v="5479"/>
    <n v="0"/>
    <n v="4"/>
    <n v="0"/>
    <n v="32874"/>
    <n v="21774.636525854301"/>
    <n v="11099.363474145701"/>
  </r>
  <r>
    <x v="1622"/>
    <x v="3"/>
    <x v="3"/>
    <x v="5"/>
    <n v="61287"/>
    <n v="20"/>
    <n v="1712"/>
    <n v="0.2"/>
    <n v="5"/>
    <n v="6848"/>
    <n v="27392"/>
    <n v="23011.949564658771"/>
    <n v="4380.0504353412334"/>
  </r>
  <r>
    <x v="1623"/>
    <x v="1"/>
    <x v="1"/>
    <x v="0"/>
    <n v="16727"/>
    <n v="5"/>
    <n v="9501"/>
    <n v="0.1"/>
    <n v="4"/>
    <n v="4750.5"/>
    <n v="42754.5"/>
    <n v="33662.986646368488"/>
    <n v="9091.5133536315116"/>
  </r>
  <r>
    <x v="1624"/>
    <x v="3"/>
    <x v="1"/>
    <x v="5"/>
    <n v="60717"/>
    <n v="23"/>
    <n v="13748"/>
    <n v="0.1"/>
    <n v="1"/>
    <n v="31620.400000000001"/>
    <n v="284583.59999999998"/>
    <n v="210711.2861291263"/>
    <n v="73872.313870873681"/>
  </r>
  <r>
    <x v="1625"/>
    <x v="0"/>
    <x v="2"/>
    <x v="3"/>
    <n v="42427"/>
    <n v="9"/>
    <n v="33687"/>
    <n v="0.2"/>
    <n v="2"/>
    <n v="60636.600000000013"/>
    <n v="242546.4"/>
    <n v="161352.85412573739"/>
    <n v="81193.545874262578"/>
  </r>
  <r>
    <x v="1626"/>
    <x v="2"/>
    <x v="0"/>
    <x v="1"/>
    <n v="26692"/>
    <n v="29"/>
    <n v="16108"/>
    <n v="0.05"/>
    <n v="3"/>
    <n v="23356.6"/>
    <n v="443775.4"/>
    <n v="310764.33551703917"/>
    <n v="133011.06448296079"/>
  </r>
  <r>
    <x v="1627"/>
    <x v="2"/>
    <x v="3"/>
    <x v="5"/>
    <n v="41625"/>
    <n v="16"/>
    <n v="36927"/>
    <n v="0.05"/>
    <n v="2"/>
    <n v="29541.599999999999"/>
    <n v="561290.4"/>
    <n v="498399.51027943008"/>
    <n v="62890.889720569889"/>
  </r>
  <r>
    <x v="1628"/>
    <x v="0"/>
    <x v="2"/>
    <x v="5"/>
    <n v="34918"/>
    <n v="46"/>
    <n v="31868"/>
    <n v="0.15"/>
    <n v="1"/>
    <n v="219889.2"/>
    <n v="1246038.8"/>
    <n v="942038.95252393465"/>
    <n v="303999.84747606539"/>
  </r>
  <r>
    <x v="1629"/>
    <x v="3"/>
    <x v="2"/>
    <x v="4"/>
    <n v="51136"/>
    <n v="22"/>
    <n v="5783"/>
    <n v="0"/>
    <n v="3"/>
    <n v="0"/>
    <n v="127226"/>
    <n v="91629.410026636237"/>
    <n v="35596.589973363763"/>
  </r>
  <r>
    <x v="1630"/>
    <x v="0"/>
    <x v="3"/>
    <x v="1"/>
    <n v="62409"/>
    <n v="8"/>
    <n v="26354"/>
    <n v="0.1"/>
    <n v="3"/>
    <n v="21083.200000000001"/>
    <n v="189748.8"/>
    <n v="143531.04204874311"/>
    <n v="46217.757951256906"/>
  </r>
  <r>
    <x v="1631"/>
    <x v="0"/>
    <x v="3"/>
    <x v="0"/>
    <n v="25577"/>
    <n v="20"/>
    <n v="11215"/>
    <n v="0.15"/>
    <n v="4"/>
    <n v="33645"/>
    <n v="190655"/>
    <n v="158948.416077687"/>
    <n v="31706.583922313032"/>
  </r>
  <r>
    <x v="1632"/>
    <x v="1"/>
    <x v="1"/>
    <x v="5"/>
    <n v="95155"/>
    <n v="14"/>
    <n v="16665"/>
    <n v="0.2"/>
    <n v="5"/>
    <n v="46662"/>
    <n v="186648"/>
    <n v="131032.9958341162"/>
    <n v="55615.004165883773"/>
  </r>
  <r>
    <x v="1633"/>
    <x v="0"/>
    <x v="0"/>
    <x v="4"/>
    <n v="91731"/>
    <n v="39"/>
    <n v="34608"/>
    <n v="0.1"/>
    <n v="4"/>
    <n v="134971.20000000001"/>
    <n v="1214740.8"/>
    <n v="793968.96489197225"/>
    <n v="420771.83510802779"/>
  </r>
  <r>
    <x v="1634"/>
    <x v="2"/>
    <x v="0"/>
    <x v="2"/>
    <n v="37689"/>
    <n v="37"/>
    <n v="27297"/>
    <n v="0"/>
    <n v="3"/>
    <n v="0"/>
    <n v="1009989"/>
    <n v="783227.11356754089"/>
    <n v="226761.88643245911"/>
  </r>
  <r>
    <x v="1635"/>
    <x v="0"/>
    <x v="3"/>
    <x v="1"/>
    <n v="21154"/>
    <n v="34"/>
    <n v="48073"/>
    <n v="0"/>
    <n v="3"/>
    <n v="0"/>
    <n v="1634482"/>
    <n v="1306868.440039783"/>
    <n v="327613.55996021739"/>
  </r>
  <r>
    <x v="1636"/>
    <x v="2"/>
    <x v="4"/>
    <x v="4"/>
    <n v="31341"/>
    <n v="11"/>
    <n v="11084"/>
    <n v="0.05"/>
    <n v="5"/>
    <n v="6096.2000000000007"/>
    <n v="115827.8"/>
    <n v="94262.447490924693"/>
    <n v="21565.35250907531"/>
  </r>
  <r>
    <x v="1637"/>
    <x v="2"/>
    <x v="2"/>
    <x v="4"/>
    <n v="84681"/>
    <n v="40"/>
    <n v="15280"/>
    <n v="0.15"/>
    <n v="2"/>
    <n v="91680"/>
    <n v="519520"/>
    <n v="449175.05794644589"/>
    <n v="70344.942053554114"/>
  </r>
  <r>
    <x v="1638"/>
    <x v="2"/>
    <x v="2"/>
    <x v="4"/>
    <n v="56330"/>
    <n v="33"/>
    <n v="38405"/>
    <n v="0.2"/>
    <n v="5"/>
    <n v="253473"/>
    <n v="1013892"/>
    <n v="721234.34147211793"/>
    <n v="292657.65852788207"/>
  </r>
  <r>
    <x v="1639"/>
    <x v="3"/>
    <x v="3"/>
    <x v="5"/>
    <n v="97759"/>
    <n v="31"/>
    <n v="22073"/>
    <n v="0.1"/>
    <n v="4"/>
    <n v="68426.3"/>
    <n v="615836.69999999995"/>
    <n v="383423.91318673291"/>
    <n v="232412.78681326701"/>
  </r>
  <r>
    <x v="1640"/>
    <x v="1"/>
    <x v="4"/>
    <x v="5"/>
    <n v="78416"/>
    <n v="44"/>
    <n v="33859"/>
    <n v="0"/>
    <n v="2"/>
    <n v="0"/>
    <n v="1489796"/>
    <n v="1322200.7659497131"/>
    <n v="167595.2340502869"/>
  </r>
  <r>
    <x v="1641"/>
    <x v="2"/>
    <x v="1"/>
    <x v="2"/>
    <n v="96807"/>
    <n v="34"/>
    <n v="1026"/>
    <n v="0.1"/>
    <n v="4"/>
    <n v="3488.4"/>
    <n v="31395.599999999999"/>
    <n v="22934.5981407168"/>
    <n v="8461.0018592832021"/>
  </r>
  <r>
    <x v="1642"/>
    <x v="2"/>
    <x v="3"/>
    <x v="3"/>
    <n v="43313"/>
    <n v="7"/>
    <n v="8355"/>
    <n v="0.2"/>
    <n v="5"/>
    <n v="11697"/>
    <n v="46788"/>
    <n v="36821.091708775937"/>
    <n v="9966.9082912240556"/>
  </r>
  <r>
    <x v="1643"/>
    <x v="3"/>
    <x v="3"/>
    <x v="3"/>
    <n v="56900"/>
    <n v="49"/>
    <n v="43963"/>
    <n v="0.1"/>
    <n v="2"/>
    <n v="215418.7"/>
    <n v="1938768.3"/>
    <n v="1550804.471580717"/>
    <n v="387963.82841928297"/>
  </r>
  <r>
    <x v="1644"/>
    <x v="2"/>
    <x v="2"/>
    <x v="3"/>
    <n v="88840"/>
    <n v="23"/>
    <n v="34560"/>
    <n v="0.15"/>
    <n v="5"/>
    <n v="119232"/>
    <n v="675648"/>
    <n v="516164.06827696518"/>
    <n v="159483.9317230348"/>
  </r>
  <r>
    <x v="1645"/>
    <x v="0"/>
    <x v="3"/>
    <x v="1"/>
    <n v="44695"/>
    <n v="46"/>
    <n v="29982"/>
    <n v="0.05"/>
    <n v="1"/>
    <n v="68958.600000000006"/>
    <n v="1310213.3999999999"/>
    <n v="866807.38977340783"/>
    <n v="443406.01022659207"/>
  </r>
  <r>
    <x v="1646"/>
    <x v="0"/>
    <x v="3"/>
    <x v="1"/>
    <n v="40225"/>
    <n v="7"/>
    <n v="17071"/>
    <n v="0.1"/>
    <n v="3"/>
    <n v="11949.7"/>
    <n v="107547.3"/>
    <n v="88892.458846126712"/>
    <n v="18654.841153873291"/>
  </r>
  <r>
    <x v="1647"/>
    <x v="1"/>
    <x v="3"/>
    <x v="2"/>
    <n v="96072"/>
    <n v="25"/>
    <n v="32240"/>
    <n v="0.05"/>
    <n v="2"/>
    <n v="40300"/>
    <n v="765700"/>
    <n v="644049.86601739062"/>
    <n v="121650.1339826094"/>
  </r>
  <r>
    <x v="1648"/>
    <x v="2"/>
    <x v="2"/>
    <x v="1"/>
    <n v="59156"/>
    <n v="3"/>
    <n v="19642"/>
    <n v="0.2"/>
    <n v="3"/>
    <n v="11785.2"/>
    <n v="47140.800000000003"/>
    <n v="36104.793451599282"/>
    <n v="11036.006548400719"/>
  </r>
  <r>
    <x v="1649"/>
    <x v="3"/>
    <x v="1"/>
    <x v="3"/>
    <n v="87209"/>
    <n v="38"/>
    <n v="25604"/>
    <n v="0.05"/>
    <n v="1"/>
    <n v="48647.600000000013"/>
    <n v="924304.4"/>
    <n v="690056.40911930276"/>
    <n v="234247.9908806973"/>
  </r>
  <r>
    <x v="1650"/>
    <x v="0"/>
    <x v="1"/>
    <x v="3"/>
    <n v="97453"/>
    <n v="20"/>
    <n v="9125"/>
    <n v="0.1"/>
    <n v="2"/>
    <n v="18250"/>
    <n v="164250"/>
    <n v="104164.3039736315"/>
    <n v="60085.696026368518"/>
  </r>
  <r>
    <x v="1651"/>
    <x v="3"/>
    <x v="3"/>
    <x v="4"/>
    <n v="37829"/>
    <n v="34"/>
    <n v="39699"/>
    <n v="0.1"/>
    <n v="3"/>
    <n v="134976.6"/>
    <n v="1214789.3999999999"/>
    <n v="759468.71655069757"/>
    <n v="455320.68344930228"/>
  </r>
  <r>
    <x v="1652"/>
    <x v="3"/>
    <x v="2"/>
    <x v="1"/>
    <n v="90908"/>
    <n v="49"/>
    <n v="16426"/>
    <n v="0"/>
    <n v="3"/>
    <n v="0"/>
    <n v="804874"/>
    <n v="564916.47465242993"/>
    <n v="239957.5253475701"/>
  </r>
  <r>
    <x v="1653"/>
    <x v="0"/>
    <x v="1"/>
    <x v="5"/>
    <n v="35938"/>
    <n v="44"/>
    <n v="31718"/>
    <n v="0.1"/>
    <n v="2"/>
    <n v="139559.20000000001"/>
    <n v="1256032.8"/>
    <n v="870749.57012512407"/>
    <n v="385283.22987487598"/>
  </r>
  <r>
    <x v="1654"/>
    <x v="3"/>
    <x v="1"/>
    <x v="5"/>
    <n v="69164"/>
    <n v="44"/>
    <n v="44972"/>
    <n v="0.05"/>
    <n v="3"/>
    <n v="98938.400000000009"/>
    <n v="1879829.6"/>
    <n v="1665711.2474255119"/>
    <n v="214118.35257448841"/>
  </r>
  <r>
    <x v="1655"/>
    <x v="0"/>
    <x v="1"/>
    <x v="4"/>
    <n v="64530"/>
    <n v="30"/>
    <n v="26880"/>
    <n v="0"/>
    <n v="3"/>
    <n v="0"/>
    <n v="806400"/>
    <n v="673414.01385191455"/>
    <n v="132985.98614808539"/>
  </r>
  <r>
    <x v="1656"/>
    <x v="3"/>
    <x v="2"/>
    <x v="4"/>
    <n v="78199"/>
    <n v="17"/>
    <n v="21066"/>
    <n v="0.1"/>
    <n v="2"/>
    <n v="35812.199999999997"/>
    <n v="322309.8"/>
    <n v="257195.90028602659"/>
    <n v="65113.899713973427"/>
  </r>
  <r>
    <x v="1657"/>
    <x v="0"/>
    <x v="2"/>
    <x v="4"/>
    <n v="70282"/>
    <n v="10"/>
    <n v="33705"/>
    <n v="0.1"/>
    <n v="3"/>
    <n v="33705"/>
    <n v="303345"/>
    <n v="229114.78786891361"/>
    <n v="74230.212131086388"/>
  </r>
  <r>
    <x v="1658"/>
    <x v="2"/>
    <x v="3"/>
    <x v="5"/>
    <n v="57801"/>
    <n v="35"/>
    <n v="44048"/>
    <n v="0.2"/>
    <n v="3"/>
    <n v="308336"/>
    <n v="1233344"/>
    <n v="801932.92194495932"/>
    <n v="431411.07805504068"/>
  </r>
  <r>
    <x v="1659"/>
    <x v="1"/>
    <x v="0"/>
    <x v="3"/>
    <n v="19465"/>
    <n v="20"/>
    <n v="30217"/>
    <n v="0"/>
    <n v="4"/>
    <n v="0"/>
    <n v="604340"/>
    <n v="540000.15158035513"/>
    <n v="64339.84841964487"/>
  </r>
  <r>
    <x v="1660"/>
    <x v="0"/>
    <x v="1"/>
    <x v="4"/>
    <n v="13326"/>
    <n v="18"/>
    <n v="42256"/>
    <n v="0.2"/>
    <n v="4"/>
    <n v="152121.60000000001"/>
    <n v="608486.40000000002"/>
    <n v="433553.98929770163"/>
    <n v="174932.41070229851"/>
  </r>
  <r>
    <x v="1661"/>
    <x v="0"/>
    <x v="0"/>
    <x v="2"/>
    <n v="13659"/>
    <n v="45"/>
    <n v="25635"/>
    <n v="0.2"/>
    <n v="1"/>
    <n v="230715"/>
    <n v="922860"/>
    <n v="583319.20844233932"/>
    <n v="339540.79155766068"/>
  </r>
  <r>
    <x v="1662"/>
    <x v="1"/>
    <x v="2"/>
    <x v="4"/>
    <n v="70289"/>
    <n v="44"/>
    <n v="28664"/>
    <n v="0.2"/>
    <n v="4"/>
    <n v="252243.20000000001"/>
    <n v="1008972.8"/>
    <n v="754852.57633416727"/>
    <n v="254120.2236658328"/>
  </r>
  <r>
    <x v="1663"/>
    <x v="0"/>
    <x v="2"/>
    <x v="0"/>
    <n v="37594"/>
    <n v="27"/>
    <n v="9453"/>
    <n v="0.15"/>
    <n v="4"/>
    <n v="38284.65"/>
    <n v="216946.35"/>
    <n v="187051.01355801479"/>
    <n v="29895.33644198519"/>
  </r>
  <r>
    <x v="1664"/>
    <x v="0"/>
    <x v="2"/>
    <x v="4"/>
    <n v="14763"/>
    <n v="49"/>
    <n v="39062"/>
    <n v="0.2"/>
    <n v="1"/>
    <n v="382807.6"/>
    <n v="1531230.4"/>
    <n v="1326332.3266703701"/>
    <n v="204898.07332962981"/>
  </r>
  <r>
    <x v="1665"/>
    <x v="3"/>
    <x v="0"/>
    <x v="5"/>
    <n v="98657"/>
    <n v="36"/>
    <n v="4074"/>
    <n v="0.05"/>
    <n v="3"/>
    <n v="7333.2000000000007"/>
    <n v="139330.79999999999"/>
    <n v="84056.846957063273"/>
    <n v="55273.953042936722"/>
  </r>
  <r>
    <x v="1666"/>
    <x v="1"/>
    <x v="2"/>
    <x v="1"/>
    <n v="20828"/>
    <n v="23"/>
    <n v="20669"/>
    <n v="0.1"/>
    <n v="3"/>
    <n v="47538.7"/>
    <n v="427848.3"/>
    <n v="370469.01830673608"/>
    <n v="57379.281693263853"/>
  </r>
  <r>
    <x v="1667"/>
    <x v="2"/>
    <x v="3"/>
    <x v="4"/>
    <n v="57588"/>
    <n v="32"/>
    <n v="22104"/>
    <n v="0.15"/>
    <n v="4"/>
    <n v="106099.2"/>
    <n v="601228.80000000005"/>
    <n v="409704.51909191371"/>
    <n v="191524.28090808631"/>
  </r>
  <r>
    <x v="1668"/>
    <x v="0"/>
    <x v="2"/>
    <x v="1"/>
    <n v="21221"/>
    <n v="10"/>
    <n v="24634"/>
    <n v="0.2"/>
    <n v="1"/>
    <n v="49268"/>
    <n v="197072"/>
    <n v="120547.3085135955"/>
    <n v="76524.691486404467"/>
  </r>
  <r>
    <x v="1669"/>
    <x v="1"/>
    <x v="4"/>
    <x v="0"/>
    <n v="21211"/>
    <n v="11"/>
    <n v="49569"/>
    <n v="0.1"/>
    <n v="3"/>
    <n v="54525.9"/>
    <n v="490733.1"/>
    <n v="419251.48425750341"/>
    <n v="71481.615742496564"/>
  </r>
  <r>
    <x v="1670"/>
    <x v="3"/>
    <x v="0"/>
    <x v="2"/>
    <n v="23569"/>
    <n v="38"/>
    <n v="23702"/>
    <n v="0"/>
    <n v="5"/>
    <n v="0"/>
    <n v="900676"/>
    <n v="773824.81629493064"/>
    <n v="126851.1837050694"/>
  </r>
  <r>
    <x v="1671"/>
    <x v="2"/>
    <x v="4"/>
    <x v="1"/>
    <n v="47860"/>
    <n v="6"/>
    <n v="1184"/>
    <n v="0"/>
    <n v="2"/>
    <n v="0"/>
    <n v="7104"/>
    <n v="5533.0876773600166"/>
    <n v="1570.9123226399829"/>
  </r>
  <r>
    <x v="1672"/>
    <x v="1"/>
    <x v="2"/>
    <x v="3"/>
    <n v="81558"/>
    <n v="41"/>
    <n v="37501"/>
    <n v="0.1"/>
    <n v="2"/>
    <n v="153754.1"/>
    <n v="1383786.9"/>
    <n v="1068740.312479344"/>
    <n v="315046.58752065588"/>
  </r>
  <r>
    <x v="1673"/>
    <x v="2"/>
    <x v="3"/>
    <x v="4"/>
    <n v="55337"/>
    <n v="47"/>
    <n v="46265"/>
    <n v="0.05"/>
    <n v="2"/>
    <n v="108722.75"/>
    <n v="2065732.25"/>
    <n v="1743345.9810848581"/>
    <n v="322386.2689151424"/>
  </r>
  <r>
    <x v="1674"/>
    <x v="2"/>
    <x v="1"/>
    <x v="0"/>
    <n v="62311"/>
    <n v="34"/>
    <n v="8507"/>
    <n v="0.1"/>
    <n v="4"/>
    <n v="28923.8"/>
    <n v="260314.2"/>
    <n v="217594.78264984029"/>
    <n v="42719.417350159703"/>
  </r>
  <r>
    <x v="1675"/>
    <x v="2"/>
    <x v="2"/>
    <x v="0"/>
    <n v="23515"/>
    <n v="36"/>
    <n v="49879"/>
    <n v="0.1"/>
    <n v="2"/>
    <n v="179564.4"/>
    <n v="1616079.6"/>
    <n v="1401192.149243729"/>
    <n v="214887.45075627111"/>
  </r>
  <r>
    <x v="1676"/>
    <x v="0"/>
    <x v="3"/>
    <x v="1"/>
    <n v="81695"/>
    <n v="37"/>
    <n v="35596"/>
    <n v="0.15"/>
    <n v="2"/>
    <n v="197557.8"/>
    <n v="1119494.2"/>
    <n v="857335.78849479405"/>
    <n v="262158.41150520591"/>
  </r>
  <r>
    <x v="1677"/>
    <x v="0"/>
    <x v="0"/>
    <x v="2"/>
    <n v="97227"/>
    <n v="17"/>
    <n v="42287"/>
    <n v="0"/>
    <n v="5"/>
    <n v="0"/>
    <n v="718879"/>
    <n v="640013.75231300062"/>
    <n v="78865.247686999384"/>
  </r>
  <r>
    <x v="1678"/>
    <x v="3"/>
    <x v="4"/>
    <x v="5"/>
    <n v="34904"/>
    <n v="40"/>
    <n v="9755"/>
    <n v="0"/>
    <n v="3"/>
    <n v="0"/>
    <n v="390200"/>
    <n v="350728.94802905672"/>
    <n v="39471.051970943343"/>
  </r>
  <r>
    <x v="1679"/>
    <x v="3"/>
    <x v="4"/>
    <x v="4"/>
    <n v="69935"/>
    <n v="40"/>
    <n v="32762"/>
    <n v="0.2"/>
    <n v="5"/>
    <n v="262096"/>
    <n v="1048384"/>
    <n v="665685.45132264192"/>
    <n v="382698.54867735808"/>
  </r>
  <r>
    <x v="1680"/>
    <x v="1"/>
    <x v="4"/>
    <x v="0"/>
    <n v="53790"/>
    <n v="12"/>
    <n v="18593"/>
    <n v="0.1"/>
    <n v="4"/>
    <n v="22311.599999999999"/>
    <n v="200804.4"/>
    <n v="171660.27747330291"/>
    <n v="29144.122526697061"/>
  </r>
  <r>
    <x v="1681"/>
    <x v="3"/>
    <x v="0"/>
    <x v="2"/>
    <n v="78580"/>
    <n v="21"/>
    <n v="6282"/>
    <n v="0.1"/>
    <n v="2"/>
    <n v="13192.2"/>
    <n v="118729.8"/>
    <n v="89041.019009411524"/>
    <n v="29688.780990588479"/>
  </r>
  <r>
    <x v="1682"/>
    <x v="2"/>
    <x v="3"/>
    <x v="3"/>
    <n v="85148"/>
    <n v="40"/>
    <n v="1734"/>
    <n v="0.05"/>
    <n v="3"/>
    <n v="3468"/>
    <n v="65892"/>
    <n v="47196.456348975757"/>
    <n v="18695.54365102424"/>
  </r>
  <r>
    <x v="1683"/>
    <x v="2"/>
    <x v="0"/>
    <x v="0"/>
    <n v="15636"/>
    <n v="19"/>
    <n v="38473"/>
    <n v="0"/>
    <n v="2"/>
    <n v="0"/>
    <n v="730987"/>
    <n v="573036.56657527084"/>
    <n v="157950.43342472921"/>
  </r>
  <r>
    <x v="1684"/>
    <x v="0"/>
    <x v="4"/>
    <x v="2"/>
    <n v="87129"/>
    <n v="3"/>
    <n v="34688"/>
    <n v="0.05"/>
    <n v="2"/>
    <n v="5203.2000000000007"/>
    <n v="98860.800000000003"/>
    <n v="60976.319929010337"/>
    <n v="37884.480070989659"/>
  </r>
  <r>
    <x v="1685"/>
    <x v="2"/>
    <x v="2"/>
    <x v="5"/>
    <n v="12892"/>
    <n v="18"/>
    <n v="32496"/>
    <n v="0.15"/>
    <n v="4"/>
    <n v="87739.199999999997"/>
    <n v="497188.8"/>
    <n v="373855.31876593851"/>
    <n v="123333.4812340615"/>
  </r>
  <r>
    <x v="1686"/>
    <x v="1"/>
    <x v="1"/>
    <x v="5"/>
    <n v="31672"/>
    <n v="19"/>
    <n v="29704"/>
    <n v="0.2"/>
    <n v="2"/>
    <n v="112875.2"/>
    <n v="451500.79999999999"/>
    <n v="388862.81672384881"/>
    <n v="62637.983276151179"/>
  </r>
  <r>
    <x v="1687"/>
    <x v="2"/>
    <x v="0"/>
    <x v="0"/>
    <n v="15812"/>
    <n v="47"/>
    <n v="17652"/>
    <n v="0.05"/>
    <n v="1"/>
    <n v="41482.199999999997"/>
    <n v="788161.8"/>
    <n v="523369.74383724568"/>
    <n v="264792.05616275442"/>
  </r>
  <r>
    <x v="1688"/>
    <x v="2"/>
    <x v="0"/>
    <x v="0"/>
    <n v="10654"/>
    <n v="6"/>
    <n v="42864"/>
    <n v="0"/>
    <n v="3"/>
    <n v="0"/>
    <n v="257184"/>
    <n v="187208.59760891399"/>
    <n v="69975.402391086041"/>
  </r>
  <r>
    <x v="1689"/>
    <x v="1"/>
    <x v="3"/>
    <x v="1"/>
    <n v="64633"/>
    <n v="16"/>
    <n v="25519"/>
    <n v="0.15"/>
    <n v="3"/>
    <n v="61245.599999999999"/>
    <n v="347058.4"/>
    <n v="306051.46011627128"/>
    <n v="41006.939883728694"/>
  </r>
  <r>
    <x v="1690"/>
    <x v="3"/>
    <x v="3"/>
    <x v="4"/>
    <n v="27143"/>
    <n v="8"/>
    <n v="19988"/>
    <n v="0.1"/>
    <n v="1"/>
    <n v="15990.4"/>
    <n v="143913.60000000001"/>
    <n v="104851.0094185302"/>
    <n v="39062.590581469813"/>
  </r>
  <r>
    <x v="1691"/>
    <x v="3"/>
    <x v="0"/>
    <x v="2"/>
    <n v="65934"/>
    <n v="48"/>
    <n v="37623"/>
    <n v="0.15"/>
    <n v="4"/>
    <n v="270885.59999999998"/>
    <n v="1535018.4"/>
    <n v="1086041.3128784001"/>
    <n v="448977.08712160011"/>
  </r>
  <r>
    <x v="1692"/>
    <x v="1"/>
    <x v="4"/>
    <x v="0"/>
    <n v="77334"/>
    <n v="18"/>
    <n v="20189"/>
    <n v="0.05"/>
    <n v="2"/>
    <n v="18170.099999999999"/>
    <n v="345231.9"/>
    <n v="252765.33121537961"/>
    <n v="92466.568784620438"/>
  </r>
  <r>
    <x v="1693"/>
    <x v="0"/>
    <x v="1"/>
    <x v="4"/>
    <n v="39087"/>
    <n v="48"/>
    <n v="29006"/>
    <n v="0"/>
    <n v="2"/>
    <n v="0"/>
    <n v="1392288"/>
    <n v="1052341.1560167591"/>
    <n v="339946.84398324142"/>
  </r>
  <r>
    <x v="1694"/>
    <x v="2"/>
    <x v="3"/>
    <x v="1"/>
    <n v="21618"/>
    <n v="43"/>
    <n v="18215"/>
    <n v="0.05"/>
    <n v="3"/>
    <n v="39162.25"/>
    <n v="744082.75"/>
    <n v="587525.80719526182"/>
    <n v="156556.94280473821"/>
  </r>
  <r>
    <x v="1695"/>
    <x v="1"/>
    <x v="4"/>
    <x v="4"/>
    <n v="18446"/>
    <n v="39"/>
    <n v="41529"/>
    <n v="0.1"/>
    <n v="4"/>
    <n v="161963.1"/>
    <n v="1457667.9"/>
    <n v="1224743.998097223"/>
    <n v="232923.90190277711"/>
  </r>
  <r>
    <x v="1696"/>
    <x v="2"/>
    <x v="2"/>
    <x v="0"/>
    <n v="97182"/>
    <n v="49"/>
    <n v="14265"/>
    <n v="0.1"/>
    <n v="4"/>
    <n v="69898.5"/>
    <n v="629086.5"/>
    <n v="462775.31827996572"/>
    <n v="166311.18172003431"/>
  </r>
  <r>
    <x v="1697"/>
    <x v="0"/>
    <x v="3"/>
    <x v="5"/>
    <n v="58867"/>
    <n v="49"/>
    <n v="22442"/>
    <n v="0"/>
    <n v="4"/>
    <n v="0"/>
    <n v="1099658"/>
    <n v="929479.6350358061"/>
    <n v="170178.3649641939"/>
  </r>
  <r>
    <x v="1698"/>
    <x v="2"/>
    <x v="4"/>
    <x v="2"/>
    <n v="61028"/>
    <n v="12"/>
    <n v="39212"/>
    <n v="0.2"/>
    <n v="2"/>
    <n v="94108.800000000003"/>
    <n v="376435.20000000001"/>
    <n v="286134.4931700608"/>
    <n v="90300.706829939212"/>
  </r>
  <r>
    <x v="1699"/>
    <x v="1"/>
    <x v="4"/>
    <x v="2"/>
    <n v="70101"/>
    <n v="45"/>
    <n v="40394"/>
    <n v="0.15"/>
    <n v="4"/>
    <n v="272659.5"/>
    <n v="1545070.5"/>
    <n v="1083935.175418352"/>
    <n v="461135.32458164799"/>
  </r>
  <r>
    <x v="1700"/>
    <x v="2"/>
    <x v="1"/>
    <x v="5"/>
    <n v="37200"/>
    <n v="10"/>
    <n v="38531"/>
    <n v="0.15"/>
    <n v="1"/>
    <n v="57796.5"/>
    <n v="327513.5"/>
    <n v="261154.4335635863"/>
    <n v="66359.066436413676"/>
  </r>
  <r>
    <x v="1701"/>
    <x v="3"/>
    <x v="1"/>
    <x v="0"/>
    <n v="98074"/>
    <n v="7"/>
    <n v="20978"/>
    <n v="0.1"/>
    <n v="5"/>
    <n v="14684.6"/>
    <n v="132161.4"/>
    <n v="107753.39339941691"/>
    <n v="24408.006600583059"/>
  </r>
  <r>
    <x v="1702"/>
    <x v="0"/>
    <x v="2"/>
    <x v="2"/>
    <n v="71465"/>
    <n v="46"/>
    <n v="23051"/>
    <n v="0.05"/>
    <n v="4"/>
    <n v="53017.3"/>
    <n v="1007328.7"/>
    <n v="773038.84474715509"/>
    <n v="234289.85525284489"/>
  </r>
  <r>
    <x v="1703"/>
    <x v="0"/>
    <x v="4"/>
    <x v="0"/>
    <n v="96436"/>
    <n v="1"/>
    <n v="48568"/>
    <n v="0.05"/>
    <n v="5"/>
    <n v="2428.4"/>
    <n v="46139.6"/>
    <n v="28467.417664334069"/>
    <n v="17672.18233566593"/>
  </r>
  <r>
    <x v="1704"/>
    <x v="0"/>
    <x v="4"/>
    <x v="1"/>
    <n v="97892"/>
    <n v="49"/>
    <n v="28572"/>
    <n v="0.2"/>
    <n v="2"/>
    <n v="280005.59999999998"/>
    <n v="1120022.3999999999"/>
    <n v="729095.22766695824"/>
    <n v="390927.17233304167"/>
  </r>
  <r>
    <x v="1705"/>
    <x v="1"/>
    <x v="1"/>
    <x v="0"/>
    <n v="98559"/>
    <n v="36"/>
    <n v="36061"/>
    <n v="0.05"/>
    <n v="4"/>
    <n v="64909.8"/>
    <n v="1233286.2"/>
    <n v="845527.84261961095"/>
    <n v="387758.357380389"/>
  </r>
  <r>
    <x v="1706"/>
    <x v="0"/>
    <x v="3"/>
    <x v="4"/>
    <n v="49148"/>
    <n v="21"/>
    <n v="3392"/>
    <n v="0.15"/>
    <n v="3"/>
    <n v="10684.8"/>
    <n v="60547.199999999997"/>
    <n v="41461.976726599867"/>
    <n v="19085.22327340013"/>
  </r>
  <r>
    <x v="1707"/>
    <x v="3"/>
    <x v="3"/>
    <x v="5"/>
    <n v="92928"/>
    <n v="37"/>
    <n v="34466"/>
    <n v="0.05"/>
    <n v="2"/>
    <n v="63762.100000000013"/>
    <n v="1211479.8999999999"/>
    <n v="971638.66912229953"/>
    <n v="239841.23087770041"/>
  </r>
  <r>
    <x v="1708"/>
    <x v="1"/>
    <x v="0"/>
    <x v="0"/>
    <n v="30698"/>
    <n v="24"/>
    <n v="24895"/>
    <n v="0.2"/>
    <n v="1"/>
    <n v="119496"/>
    <n v="477984"/>
    <n v="289421.51001042279"/>
    <n v="188562.48998957721"/>
  </r>
  <r>
    <x v="1709"/>
    <x v="3"/>
    <x v="1"/>
    <x v="1"/>
    <n v="52470"/>
    <n v="25"/>
    <n v="19256"/>
    <n v="0.15"/>
    <n v="1"/>
    <n v="72210"/>
    <n v="409190"/>
    <n v="338279.22790526791"/>
    <n v="70910.772094732092"/>
  </r>
  <r>
    <x v="1710"/>
    <x v="2"/>
    <x v="0"/>
    <x v="3"/>
    <n v="61660"/>
    <n v="7"/>
    <n v="22674"/>
    <n v="0.05"/>
    <n v="5"/>
    <n v="7935.9000000000005"/>
    <n v="150782.1"/>
    <n v="102471.92867117591"/>
    <n v="48310.171328824057"/>
  </r>
  <r>
    <x v="1711"/>
    <x v="2"/>
    <x v="1"/>
    <x v="5"/>
    <n v="63910"/>
    <n v="42"/>
    <n v="35151"/>
    <n v="0.15"/>
    <n v="5"/>
    <n v="221451.3"/>
    <n v="1254890.7"/>
    <n v="869647.47948402504"/>
    <n v="385243.22051597491"/>
  </r>
  <r>
    <x v="1712"/>
    <x v="2"/>
    <x v="2"/>
    <x v="2"/>
    <n v="45450"/>
    <n v="17"/>
    <n v="1297"/>
    <n v="0.1"/>
    <n v="3"/>
    <n v="2204.9"/>
    <n v="19844.099999999999"/>
    <n v="15049.22862501061"/>
    <n v="4794.8713749893923"/>
  </r>
  <r>
    <x v="1713"/>
    <x v="2"/>
    <x v="4"/>
    <x v="4"/>
    <n v="66463"/>
    <n v="29"/>
    <n v="8709"/>
    <n v="0.1"/>
    <n v="3"/>
    <n v="25256.1"/>
    <n v="227304.9"/>
    <n v="151107.22413866091"/>
    <n v="76197.675861339114"/>
  </r>
  <r>
    <x v="1714"/>
    <x v="3"/>
    <x v="2"/>
    <x v="2"/>
    <n v="43757"/>
    <n v="30"/>
    <n v="41503"/>
    <n v="0.1"/>
    <n v="1"/>
    <n v="124509"/>
    <n v="1120581"/>
    <n v="969685.12471133354"/>
    <n v="150895.87528866649"/>
  </r>
  <r>
    <x v="1715"/>
    <x v="1"/>
    <x v="1"/>
    <x v="1"/>
    <n v="88012"/>
    <n v="7"/>
    <n v="49806"/>
    <n v="0.05"/>
    <n v="4"/>
    <n v="17432.099999999999"/>
    <n v="331209.90000000002"/>
    <n v="207208.43545916211"/>
    <n v="124001.4645408379"/>
  </r>
  <r>
    <x v="1716"/>
    <x v="1"/>
    <x v="4"/>
    <x v="1"/>
    <n v="80247"/>
    <n v="33"/>
    <n v="21846"/>
    <n v="0.2"/>
    <n v="1"/>
    <n v="144183.6"/>
    <n v="576734.4"/>
    <n v="422927.81852768618"/>
    <n v="153806.58147231379"/>
  </r>
  <r>
    <x v="1717"/>
    <x v="0"/>
    <x v="3"/>
    <x v="2"/>
    <n v="82015"/>
    <n v="7"/>
    <n v="48525"/>
    <n v="0.15"/>
    <n v="1"/>
    <n v="50951.25"/>
    <n v="288723.75"/>
    <n v="246808.76489115789"/>
    <n v="41914.985108842076"/>
  </r>
  <r>
    <x v="1718"/>
    <x v="3"/>
    <x v="3"/>
    <x v="5"/>
    <n v="41390"/>
    <n v="24"/>
    <n v="28524"/>
    <n v="0"/>
    <n v="3"/>
    <n v="0"/>
    <n v="684576"/>
    <n v="537223.18496019358"/>
    <n v="147352.81503980639"/>
  </r>
  <r>
    <x v="1719"/>
    <x v="2"/>
    <x v="0"/>
    <x v="2"/>
    <n v="66116"/>
    <n v="11"/>
    <n v="29914"/>
    <n v="0.1"/>
    <n v="5"/>
    <n v="32905.4"/>
    <n v="296148.59999999998"/>
    <n v="203661.05305664209"/>
    <n v="92487.546943357884"/>
  </r>
  <r>
    <x v="1720"/>
    <x v="3"/>
    <x v="1"/>
    <x v="0"/>
    <n v="23161"/>
    <n v="9"/>
    <n v="41318"/>
    <n v="0.1"/>
    <n v="3"/>
    <n v="37186.199999999997"/>
    <n v="334675.8"/>
    <n v="243050.957743726"/>
    <n v="91624.842256274016"/>
  </r>
  <r>
    <x v="1721"/>
    <x v="0"/>
    <x v="1"/>
    <x v="2"/>
    <n v="42152"/>
    <n v="12"/>
    <n v="6447"/>
    <n v="0"/>
    <n v="3"/>
    <n v="0"/>
    <n v="77364"/>
    <n v="62820.211212245493"/>
    <n v="14543.788787754511"/>
  </r>
  <r>
    <x v="1722"/>
    <x v="0"/>
    <x v="3"/>
    <x v="4"/>
    <n v="90171"/>
    <n v="35"/>
    <n v="10117"/>
    <n v="0"/>
    <n v="3"/>
    <n v="0"/>
    <n v="354095"/>
    <n v="315845.02887643198"/>
    <n v="38249.971123568022"/>
  </r>
  <r>
    <x v="1723"/>
    <x v="3"/>
    <x v="2"/>
    <x v="4"/>
    <n v="30836"/>
    <n v="4"/>
    <n v="21204"/>
    <n v="0.05"/>
    <n v="1"/>
    <n v="4240.8"/>
    <n v="80575.199999999997"/>
    <n v="69934.569258349962"/>
    <n v="10640.630741650029"/>
  </r>
  <r>
    <x v="1724"/>
    <x v="3"/>
    <x v="4"/>
    <x v="3"/>
    <n v="76543"/>
    <n v="36"/>
    <n v="29202"/>
    <n v="0.15"/>
    <n v="4"/>
    <n v="157690.79999999999"/>
    <n v="893581.2"/>
    <n v="627946.17595010821"/>
    <n v="265635.02404989168"/>
  </r>
  <r>
    <x v="1725"/>
    <x v="3"/>
    <x v="2"/>
    <x v="4"/>
    <n v="65648"/>
    <n v="28"/>
    <n v="2392"/>
    <n v="0.1"/>
    <n v="1"/>
    <n v="6697.6"/>
    <n v="60278.400000000001"/>
    <n v="54217.971314059563"/>
    <n v="6060.4286859404456"/>
  </r>
  <r>
    <x v="1726"/>
    <x v="1"/>
    <x v="2"/>
    <x v="2"/>
    <n v="36331"/>
    <n v="13"/>
    <n v="30254"/>
    <n v="0.2"/>
    <n v="2"/>
    <n v="78660.400000000009"/>
    <n v="314641.59999999998"/>
    <n v="189115.77388226209"/>
    <n v="125525.8261177378"/>
  </r>
  <r>
    <x v="1727"/>
    <x v="2"/>
    <x v="3"/>
    <x v="4"/>
    <n v="20763"/>
    <n v="23"/>
    <n v="3924"/>
    <n v="0.05"/>
    <n v="3"/>
    <n v="4512.6000000000004"/>
    <n v="85739.4"/>
    <n v="52154.327605548009"/>
    <n v="33585.072394451992"/>
  </r>
  <r>
    <x v="1728"/>
    <x v="3"/>
    <x v="3"/>
    <x v="5"/>
    <n v="79444"/>
    <n v="19"/>
    <n v="42718"/>
    <n v="0.05"/>
    <n v="3"/>
    <n v="40582.100000000013"/>
    <n v="771059.9"/>
    <n v="653205.05557315482"/>
    <n v="117854.8444268452"/>
  </r>
  <r>
    <x v="1729"/>
    <x v="3"/>
    <x v="3"/>
    <x v="4"/>
    <n v="29187"/>
    <n v="42"/>
    <n v="13918"/>
    <n v="0.2"/>
    <n v="2"/>
    <n v="116911.2"/>
    <n v="467644.8"/>
    <n v="308570.1864874516"/>
    <n v="159074.61351254841"/>
  </r>
  <r>
    <x v="1730"/>
    <x v="3"/>
    <x v="0"/>
    <x v="0"/>
    <n v="21957"/>
    <n v="37"/>
    <n v="30386"/>
    <n v="0.2"/>
    <n v="3"/>
    <n v="224856.4"/>
    <n v="899425.6"/>
    <n v="556052.59070665494"/>
    <n v="343373.00929334498"/>
  </r>
  <r>
    <x v="1731"/>
    <x v="0"/>
    <x v="2"/>
    <x v="5"/>
    <n v="14379"/>
    <n v="39"/>
    <n v="35283"/>
    <n v="0.2"/>
    <n v="3"/>
    <n v="275207.40000000002"/>
    <n v="1100829.6000000001"/>
    <n v="738815.64558051294"/>
    <n v="362013.95441948721"/>
  </r>
  <r>
    <x v="1732"/>
    <x v="0"/>
    <x v="1"/>
    <x v="3"/>
    <n v="37959"/>
    <n v="24"/>
    <n v="23557"/>
    <n v="0"/>
    <n v="3"/>
    <n v="0"/>
    <n v="565368"/>
    <n v="411491.81755675533"/>
    <n v="153876.1824432447"/>
  </r>
  <r>
    <x v="1733"/>
    <x v="1"/>
    <x v="4"/>
    <x v="0"/>
    <n v="92018"/>
    <n v="16"/>
    <n v="5333"/>
    <n v="0.1"/>
    <n v="2"/>
    <n v="8532.8000000000011"/>
    <n v="76795.199999999997"/>
    <n v="62908.314855356221"/>
    <n v="13886.88514464378"/>
  </r>
  <r>
    <x v="1734"/>
    <x v="2"/>
    <x v="0"/>
    <x v="2"/>
    <n v="37105"/>
    <n v="33"/>
    <n v="10394"/>
    <n v="0"/>
    <n v="1"/>
    <n v="0"/>
    <n v="343002"/>
    <n v="270045.700283435"/>
    <n v="72956.299716565001"/>
  </r>
  <r>
    <x v="1735"/>
    <x v="1"/>
    <x v="1"/>
    <x v="2"/>
    <n v="10877"/>
    <n v="12"/>
    <n v="49210"/>
    <n v="0.1"/>
    <n v="3"/>
    <n v="59052"/>
    <n v="531468"/>
    <n v="356767.22197632038"/>
    <n v="174700.7780236796"/>
  </r>
  <r>
    <x v="1736"/>
    <x v="2"/>
    <x v="2"/>
    <x v="2"/>
    <n v="58353"/>
    <n v="34"/>
    <n v="42333"/>
    <n v="0"/>
    <n v="4"/>
    <n v="0"/>
    <n v="1439322"/>
    <n v="1080903.6683703091"/>
    <n v="358418.33162969118"/>
  </r>
  <r>
    <x v="1737"/>
    <x v="0"/>
    <x v="3"/>
    <x v="0"/>
    <n v="93788"/>
    <n v="7"/>
    <n v="1065"/>
    <n v="0.15"/>
    <n v="2"/>
    <n v="1118.25"/>
    <n v="6336.75"/>
    <n v="5562.8061697153144"/>
    <n v="773.94383028468565"/>
  </r>
  <r>
    <x v="1738"/>
    <x v="0"/>
    <x v="2"/>
    <x v="0"/>
    <n v="94585"/>
    <n v="11"/>
    <n v="40680"/>
    <n v="0.1"/>
    <n v="5"/>
    <n v="44748"/>
    <n v="402732"/>
    <n v="340108.11361206678"/>
    <n v="62623.886387933162"/>
  </r>
  <r>
    <x v="1739"/>
    <x v="0"/>
    <x v="4"/>
    <x v="0"/>
    <n v="93308"/>
    <n v="31"/>
    <n v="18902"/>
    <n v="0.05"/>
    <n v="2"/>
    <n v="29298.1"/>
    <n v="556663.9"/>
    <n v="387970.76581938809"/>
    <n v="168693.1341806119"/>
  </r>
  <r>
    <x v="1740"/>
    <x v="1"/>
    <x v="0"/>
    <x v="5"/>
    <n v="61567"/>
    <n v="29"/>
    <n v="43345"/>
    <n v="0.1"/>
    <n v="1"/>
    <n v="125700.5"/>
    <n v="1131304.5"/>
    <n v="1012154.795535668"/>
    <n v="119149.7044643323"/>
  </r>
  <r>
    <x v="1741"/>
    <x v="3"/>
    <x v="0"/>
    <x v="1"/>
    <n v="67913"/>
    <n v="13"/>
    <n v="10815"/>
    <n v="0.1"/>
    <n v="2"/>
    <n v="14059.5"/>
    <n v="126535.5"/>
    <n v="102820.9910037779"/>
    <n v="23714.508996222139"/>
  </r>
  <r>
    <x v="1742"/>
    <x v="3"/>
    <x v="4"/>
    <x v="5"/>
    <n v="12637"/>
    <n v="31"/>
    <n v="13334"/>
    <n v="0.1"/>
    <n v="5"/>
    <n v="41335.4"/>
    <n v="372018.6"/>
    <n v="230180.8565598175"/>
    <n v="141837.7434401825"/>
  </r>
  <r>
    <x v="1743"/>
    <x v="0"/>
    <x v="1"/>
    <x v="2"/>
    <n v="82778"/>
    <n v="2"/>
    <n v="2814"/>
    <n v="0.15"/>
    <n v="4"/>
    <n v="844.19999999999993"/>
    <n v="4783.8"/>
    <n v="2920.740546069057"/>
    <n v="1863.0594539309441"/>
  </r>
  <r>
    <x v="1744"/>
    <x v="3"/>
    <x v="1"/>
    <x v="1"/>
    <n v="52025"/>
    <n v="39"/>
    <n v="37680"/>
    <n v="0"/>
    <n v="5"/>
    <n v="0"/>
    <n v="1469520"/>
    <n v="955955.65476876567"/>
    <n v="513564.34523123433"/>
  </r>
  <r>
    <x v="1745"/>
    <x v="3"/>
    <x v="0"/>
    <x v="4"/>
    <n v="92464"/>
    <n v="15"/>
    <n v="4383"/>
    <n v="0.05"/>
    <n v="2"/>
    <n v="3287.25"/>
    <n v="62457.75"/>
    <n v="51112.721952812717"/>
    <n v="11345.028047187279"/>
  </r>
  <r>
    <x v="1746"/>
    <x v="1"/>
    <x v="0"/>
    <x v="2"/>
    <n v="38742"/>
    <n v="11"/>
    <n v="44652"/>
    <n v="0"/>
    <n v="5"/>
    <n v="0"/>
    <n v="491172"/>
    <n v="321777.42470516311"/>
    <n v="169394.57529483689"/>
  </r>
  <r>
    <x v="1747"/>
    <x v="2"/>
    <x v="3"/>
    <x v="3"/>
    <n v="21831"/>
    <n v="34"/>
    <n v="10551"/>
    <n v="0"/>
    <n v="2"/>
    <n v="0"/>
    <n v="358734"/>
    <n v="270286.7083996085"/>
    <n v="88447.291600391502"/>
  </r>
  <r>
    <x v="1748"/>
    <x v="0"/>
    <x v="1"/>
    <x v="5"/>
    <n v="95092"/>
    <n v="39"/>
    <n v="41484"/>
    <n v="0.2"/>
    <n v="4"/>
    <n v="323575.2"/>
    <n v="1294300.8"/>
    <n v="812792.47444744396"/>
    <n v="481508.32555255608"/>
  </r>
  <r>
    <x v="1749"/>
    <x v="0"/>
    <x v="4"/>
    <x v="0"/>
    <n v="98370"/>
    <n v="4"/>
    <n v="12195"/>
    <n v="0.15"/>
    <n v="4"/>
    <n v="7317"/>
    <n v="41463"/>
    <n v="36332.610828634017"/>
    <n v="5130.3891713659832"/>
  </r>
  <r>
    <x v="1750"/>
    <x v="1"/>
    <x v="1"/>
    <x v="5"/>
    <n v="56762"/>
    <n v="11"/>
    <n v="23623"/>
    <n v="0.2"/>
    <n v="1"/>
    <n v="51970.600000000013"/>
    <n v="207882.4"/>
    <n v="146180.4473571674"/>
    <n v="61701.952642832621"/>
  </r>
  <r>
    <x v="1751"/>
    <x v="1"/>
    <x v="3"/>
    <x v="0"/>
    <n v="98741"/>
    <n v="29"/>
    <n v="8402"/>
    <n v="0.15"/>
    <n v="4"/>
    <n v="36548.699999999997"/>
    <n v="207109.3"/>
    <n v="180690.3583625498"/>
    <n v="26418.941637450189"/>
  </r>
  <r>
    <x v="1752"/>
    <x v="3"/>
    <x v="0"/>
    <x v="1"/>
    <n v="28830"/>
    <n v="2"/>
    <n v="46455"/>
    <n v="0"/>
    <n v="3"/>
    <n v="0"/>
    <n v="92910"/>
    <n v="82082.5187669726"/>
    <n v="10827.4812330274"/>
  </r>
  <r>
    <x v="1753"/>
    <x v="0"/>
    <x v="0"/>
    <x v="3"/>
    <n v="65044"/>
    <n v="16"/>
    <n v="18073"/>
    <n v="0"/>
    <n v="5"/>
    <n v="0"/>
    <n v="289168"/>
    <n v="174032.46260592071"/>
    <n v="115135.53739407931"/>
  </r>
  <r>
    <x v="1754"/>
    <x v="2"/>
    <x v="3"/>
    <x v="1"/>
    <n v="83948"/>
    <n v="39"/>
    <n v="29874"/>
    <n v="0.15"/>
    <n v="5"/>
    <n v="174762.9"/>
    <n v="990323.1"/>
    <n v="732086.99922171852"/>
    <n v="258236.10077828151"/>
  </r>
  <r>
    <x v="1755"/>
    <x v="1"/>
    <x v="4"/>
    <x v="3"/>
    <n v="79202"/>
    <n v="13"/>
    <n v="12788"/>
    <n v="0"/>
    <n v="2"/>
    <n v="0"/>
    <n v="166244"/>
    <n v="100976.076397481"/>
    <n v="65267.923602518997"/>
  </r>
  <r>
    <x v="1756"/>
    <x v="2"/>
    <x v="0"/>
    <x v="5"/>
    <n v="47045"/>
    <n v="37"/>
    <n v="47478"/>
    <n v="0"/>
    <n v="4"/>
    <n v="0"/>
    <n v="1756686"/>
    <n v="1532897.9582596759"/>
    <n v="223788.04174032409"/>
  </r>
  <r>
    <x v="1757"/>
    <x v="2"/>
    <x v="2"/>
    <x v="0"/>
    <n v="96322"/>
    <n v="17"/>
    <n v="7384"/>
    <n v="0.05"/>
    <n v="1"/>
    <n v="6276.4000000000005"/>
    <n v="119251.6"/>
    <n v="90097.238748500924"/>
    <n v="29154.361251499078"/>
  </r>
  <r>
    <x v="1758"/>
    <x v="0"/>
    <x v="0"/>
    <x v="1"/>
    <n v="81051"/>
    <n v="21"/>
    <n v="11059"/>
    <n v="0.2"/>
    <n v="1"/>
    <n v="46447.8"/>
    <n v="185791.2"/>
    <n v="115651.9014156207"/>
    <n v="70139.298584379314"/>
  </r>
  <r>
    <x v="1759"/>
    <x v="0"/>
    <x v="2"/>
    <x v="3"/>
    <n v="36627"/>
    <n v="44"/>
    <n v="18625"/>
    <n v="0.2"/>
    <n v="1"/>
    <n v="163900"/>
    <n v="655600"/>
    <n v="415049.22691743512"/>
    <n v="240550.77308256491"/>
  </r>
  <r>
    <x v="1760"/>
    <x v="1"/>
    <x v="3"/>
    <x v="2"/>
    <n v="25198"/>
    <n v="19"/>
    <n v="4188"/>
    <n v="0.2"/>
    <n v="3"/>
    <n v="15914.4"/>
    <n v="63657.599999999999"/>
    <n v="45518.539223264692"/>
    <n v="18139.06077673531"/>
  </r>
  <r>
    <x v="1761"/>
    <x v="0"/>
    <x v="3"/>
    <x v="2"/>
    <n v="79521"/>
    <n v="7"/>
    <n v="24369"/>
    <n v="0.1"/>
    <n v="4"/>
    <n v="17058.3"/>
    <n v="153524.70000000001"/>
    <n v="135419.57171716579"/>
    <n v="18105.128282834248"/>
  </r>
  <r>
    <x v="1762"/>
    <x v="0"/>
    <x v="0"/>
    <x v="1"/>
    <n v="39475"/>
    <n v="38"/>
    <n v="47382"/>
    <n v="0.05"/>
    <n v="1"/>
    <n v="90025.8"/>
    <n v="1710490.2"/>
    <n v="1381858.4139742551"/>
    <n v="328631.7860257451"/>
  </r>
  <r>
    <x v="1763"/>
    <x v="0"/>
    <x v="1"/>
    <x v="0"/>
    <n v="29403"/>
    <n v="8"/>
    <n v="38637"/>
    <n v="0.2"/>
    <n v="3"/>
    <n v="61819.199999999997"/>
    <n v="247276.79999999999"/>
    <n v="212728.68505526299"/>
    <n v="34548.114944736968"/>
  </r>
  <r>
    <x v="1764"/>
    <x v="2"/>
    <x v="2"/>
    <x v="1"/>
    <n v="13681"/>
    <n v="13"/>
    <n v="45206"/>
    <n v="0.2"/>
    <n v="5"/>
    <n v="117535.6"/>
    <n v="470142.4"/>
    <n v="333771.48216186877"/>
    <n v="136370.91783813119"/>
  </r>
  <r>
    <x v="1765"/>
    <x v="1"/>
    <x v="4"/>
    <x v="5"/>
    <n v="52292"/>
    <n v="37"/>
    <n v="4523"/>
    <n v="0.05"/>
    <n v="2"/>
    <n v="8367.5500000000011"/>
    <n v="158983.45000000001"/>
    <n v="97451.148912516655"/>
    <n v="61532.301087483364"/>
  </r>
  <r>
    <x v="1766"/>
    <x v="3"/>
    <x v="0"/>
    <x v="3"/>
    <n v="15629"/>
    <n v="2"/>
    <n v="49250"/>
    <n v="0"/>
    <n v="4"/>
    <n v="0"/>
    <n v="98500"/>
    <n v="87891.086179390433"/>
    <n v="10608.91382060957"/>
  </r>
  <r>
    <x v="1767"/>
    <x v="2"/>
    <x v="4"/>
    <x v="5"/>
    <n v="87814"/>
    <n v="41"/>
    <n v="17600"/>
    <n v="0.2"/>
    <n v="4"/>
    <n v="144320"/>
    <n v="577280"/>
    <n v="349342.08721487178"/>
    <n v="227937.9127851282"/>
  </r>
  <r>
    <x v="1768"/>
    <x v="0"/>
    <x v="0"/>
    <x v="2"/>
    <n v="18417"/>
    <n v="11"/>
    <n v="37235"/>
    <n v="0"/>
    <n v="5"/>
    <n v="0"/>
    <n v="409585"/>
    <n v="362194.17069816543"/>
    <n v="47390.82930183463"/>
  </r>
  <r>
    <x v="1769"/>
    <x v="2"/>
    <x v="1"/>
    <x v="3"/>
    <n v="44765"/>
    <n v="24"/>
    <n v="7923"/>
    <n v="0.2"/>
    <n v="4"/>
    <n v="38030.400000000001"/>
    <n v="152121.60000000001"/>
    <n v="108098.09987994299"/>
    <n v="44023.500120056982"/>
  </r>
  <r>
    <x v="1770"/>
    <x v="0"/>
    <x v="1"/>
    <x v="1"/>
    <n v="84499"/>
    <n v="6"/>
    <n v="39718"/>
    <n v="0.15"/>
    <n v="4"/>
    <n v="35746.199999999997"/>
    <n v="202561.8"/>
    <n v="122150.2591811884"/>
    <n v="80411.540818811583"/>
  </r>
  <r>
    <x v="1771"/>
    <x v="0"/>
    <x v="1"/>
    <x v="5"/>
    <n v="66574"/>
    <n v="26"/>
    <n v="12713"/>
    <n v="0.1"/>
    <n v="4"/>
    <n v="33053.800000000003"/>
    <n v="297484.2"/>
    <n v="239994.536326134"/>
    <n v="57489.663673866024"/>
  </r>
  <r>
    <x v="1772"/>
    <x v="2"/>
    <x v="1"/>
    <x v="4"/>
    <n v="37675"/>
    <n v="7"/>
    <n v="36483"/>
    <n v="0.2"/>
    <n v="4"/>
    <n v="51076.2"/>
    <n v="204304.8"/>
    <n v="182681.6072121195"/>
    <n v="21623.192787880489"/>
  </r>
  <r>
    <x v="1773"/>
    <x v="1"/>
    <x v="3"/>
    <x v="0"/>
    <n v="82267"/>
    <n v="39"/>
    <n v="33658"/>
    <n v="0.15"/>
    <n v="3"/>
    <n v="196899.3"/>
    <n v="1115762.7"/>
    <n v="992680.36911081721"/>
    <n v="123082.3308891827"/>
  </r>
  <r>
    <x v="1774"/>
    <x v="0"/>
    <x v="3"/>
    <x v="0"/>
    <n v="50563"/>
    <n v="19"/>
    <n v="28960"/>
    <n v="0.05"/>
    <n v="3"/>
    <n v="27512"/>
    <n v="522728"/>
    <n v="338874.68459754542"/>
    <n v="183853.31540245461"/>
  </r>
  <r>
    <x v="1775"/>
    <x v="1"/>
    <x v="2"/>
    <x v="4"/>
    <n v="21332"/>
    <n v="6"/>
    <n v="31517"/>
    <n v="0.15"/>
    <n v="2"/>
    <n v="28365.3"/>
    <n v="160736.70000000001"/>
    <n v="105181.9722687941"/>
    <n v="55554.727731205887"/>
  </r>
  <r>
    <x v="1776"/>
    <x v="3"/>
    <x v="4"/>
    <x v="2"/>
    <n v="29177"/>
    <n v="43"/>
    <n v="33500"/>
    <n v="0.05"/>
    <n v="4"/>
    <n v="72025"/>
    <n v="1368475"/>
    <n v="1053262.759855242"/>
    <n v="315212.24014475831"/>
  </r>
  <r>
    <x v="1777"/>
    <x v="0"/>
    <x v="0"/>
    <x v="3"/>
    <n v="99254"/>
    <n v="29"/>
    <n v="27002"/>
    <n v="0.2"/>
    <n v="5"/>
    <n v="156611.6"/>
    <n v="626446.4"/>
    <n v="495639.03426559467"/>
    <n v="130807.36573440531"/>
  </r>
  <r>
    <x v="1778"/>
    <x v="1"/>
    <x v="0"/>
    <x v="0"/>
    <n v="78447"/>
    <n v="43"/>
    <n v="31490"/>
    <n v="0.05"/>
    <n v="1"/>
    <n v="67703.5"/>
    <n v="1286366.5"/>
    <n v="1057168.6300918979"/>
    <n v="229197.86990810159"/>
  </r>
  <r>
    <x v="1779"/>
    <x v="1"/>
    <x v="3"/>
    <x v="4"/>
    <n v="67104"/>
    <n v="39"/>
    <n v="20015"/>
    <n v="0.15"/>
    <n v="2"/>
    <n v="117087.75"/>
    <n v="663497.25"/>
    <n v="434136.27488543361"/>
    <n v="229360.97511456639"/>
  </r>
  <r>
    <x v="1780"/>
    <x v="3"/>
    <x v="0"/>
    <x v="1"/>
    <n v="94335"/>
    <n v="2"/>
    <n v="30491"/>
    <n v="0.1"/>
    <n v="1"/>
    <n v="6098.2000000000007"/>
    <n v="54883.8"/>
    <n v="48720.465944568561"/>
    <n v="6163.3340554314418"/>
  </r>
  <r>
    <x v="1781"/>
    <x v="1"/>
    <x v="3"/>
    <x v="4"/>
    <n v="90730"/>
    <n v="19"/>
    <n v="8134"/>
    <n v="0"/>
    <n v="1"/>
    <n v="0"/>
    <n v="154546"/>
    <n v="122341.979130743"/>
    <n v="32204.02086925703"/>
  </r>
  <r>
    <x v="1782"/>
    <x v="1"/>
    <x v="2"/>
    <x v="2"/>
    <n v="14951"/>
    <n v="4"/>
    <n v="11998"/>
    <n v="0"/>
    <n v="4"/>
    <n v="0"/>
    <n v="47992"/>
    <n v="40990.642719130701"/>
    <n v="7001.3572808692988"/>
  </r>
  <r>
    <x v="1783"/>
    <x v="3"/>
    <x v="4"/>
    <x v="2"/>
    <n v="38333"/>
    <n v="6"/>
    <n v="11416"/>
    <n v="0.1"/>
    <n v="5"/>
    <n v="6849.6"/>
    <n v="61646.400000000001"/>
    <n v="46975.772133208251"/>
    <n v="14670.62786679175"/>
  </r>
  <r>
    <x v="1784"/>
    <x v="0"/>
    <x v="2"/>
    <x v="5"/>
    <n v="31673"/>
    <n v="49"/>
    <n v="29877"/>
    <n v="0"/>
    <n v="1"/>
    <n v="0"/>
    <n v="1463973"/>
    <n v="1060330.8358190111"/>
    <n v="403642.16418098891"/>
  </r>
  <r>
    <x v="1785"/>
    <x v="1"/>
    <x v="1"/>
    <x v="0"/>
    <n v="50870"/>
    <n v="37"/>
    <n v="33501"/>
    <n v="0.2"/>
    <n v="1"/>
    <n v="247907.4"/>
    <n v="991629.6"/>
    <n v="885678.80843808991"/>
    <n v="105950.7915619101"/>
  </r>
  <r>
    <x v="1786"/>
    <x v="1"/>
    <x v="1"/>
    <x v="5"/>
    <n v="81101"/>
    <n v="28"/>
    <n v="1891"/>
    <n v="0.2"/>
    <n v="2"/>
    <n v="10589.6"/>
    <n v="42358.400000000001"/>
    <n v="32812.358962120488"/>
    <n v="9546.0410378795132"/>
  </r>
  <r>
    <x v="1787"/>
    <x v="1"/>
    <x v="1"/>
    <x v="4"/>
    <n v="32821"/>
    <n v="30"/>
    <n v="44352"/>
    <n v="0.15"/>
    <n v="5"/>
    <n v="199584"/>
    <n v="1130976"/>
    <n v="972709.56515396514"/>
    <n v="158266.43484603491"/>
  </r>
  <r>
    <x v="1788"/>
    <x v="2"/>
    <x v="2"/>
    <x v="3"/>
    <n v="35494"/>
    <n v="7"/>
    <n v="42715"/>
    <n v="0.15"/>
    <n v="5"/>
    <n v="44850.75"/>
    <n v="254154.25"/>
    <n v="225177.54420875321"/>
    <n v="28976.705791246841"/>
  </r>
  <r>
    <x v="1789"/>
    <x v="3"/>
    <x v="0"/>
    <x v="3"/>
    <n v="84160"/>
    <n v="9"/>
    <n v="14684"/>
    <n v="0.05"/>
    <n v="1"/>
    <n v="6607.8"/>
    <n v="125548.2"/>
    <n v="100765.7873347826"/>
    <n v="24782.412665217431"/>
  </r>
  <r>
    <x v="1790"/>
    <x v="2"/>
    <x v="4"/>
    <x v="2"/>
    <n v="10835"/>
    <n v="25"/>
    <n v="27614"/>
    <n v="0.15"/>
    <n v="5"/>
    <n v="103552.5"/>
    <n v="586797.5"/>
    <n v="448713.25326241867"/>
    <n v="138084.2467375813"/>
  </r>
  <r>
    <x v="1791"/>
    <x v="3"/>
    <x v="1"/>
    <x v="3"/>
    <n v="28646"/>
    <n v="33"/>
    <n v="12382"/>
    <n v="0.2"/>
    <n v="2"/>
    <n v="81721.200000000012"/>
    <n v="326884.8"/>
    <n v="196475.17313932741"/>
    <n v="130409.62686067259"/>
  </r>
  <r>
    <x v="1792"/>
    <x v="0"/>
    <x v="1"/>
    <x v="3"/>
    <n v="87360"/>
    <n v="1"/>
    <n v="48106"/>
    <n v="0.15"/>
    <n v="2"/>
    <n v="7215.9"/>
    <n v="40890.1"/>
    <n v="25024.98213353461"/>
    <n v="15865.117866465391"/>
  </r>
  <r>
    <x v="1793"/>
    <x v="0"/>
    <x v="1"/>
    <x v="3"/>
    <n v="47335"/>
    <n v="6"/>
    <n v="17773"/>
    <n v="0"/>
    <n v="2"/>
    <n v="0"/>
    <n v="106638"/>
    <n v="70408.311593177685"/>
    <n v="36229.688406822323"/>
  </r>
  <r>
    <x v="1794"/>
    <x v="1"/>
    <x v="4"/>
    <x v="4"/>
    <n v="79351"/>
    <n v="18"/>
    <n v="41170"/>
    <n v="0.05"/>
    <n v="4"/>
    <n v="37053"/>
    <n v="704007"/>
    <n v="461689.57142569311"/>
    <n v="242317.42857430689"/>
  </r>
  <r>
    <x v="1795"/>
    <x v="3"/>
    <x v="1"/>
    <x v="3"/>
    <n v="12429"/>
    <n v="10"/>
    <n v="46147"/>
    <n v="0.05"/>
    <n v="1"/>
    <n v="23073.5"/>
    <n v="438396.5"/>
    <n v="296543.50924794871"/>
    <n v="141852.99075205129"/>
  </r>
  <r>
    <x v="1796"/>
    <x v="0"/>
    <x v="4"/>
    <x v="1"/>
    <n v="51950"/>
    <n v="28"/>
    <n v="17629"/>
    <n v="0.2"/>
    <n v="5"/>
    <n v="98722.400000000009"/>
    <n v="394889.6"/>
    <n v="273058.41513197217"/>
    <n v="121831.1848680277"/>
  </r>
  <r>
    <x v="1797"/>
    <x v="3"/>
    <x v="1"/>
    <x v="3"/>
    <n v="70654"/>
    <n v="11"/>
    <n v="43179"/>
    <n v="0.15"/>
    <n v="2"/>
    <n v="71245.349999999991"/>
    <n v="403723.65"/>
    <n v="285844.27658860543"/>
    <n v="117879.3734113946"/>
  </r>
  <r>
    <x v="1798"/>
    <x v="0"/>
    <x v="2"/>
    <x v="3"/>
    <n v="78143"/>
    <n v="33"/>
    <n v="927"/>
    <n v="0"/>
    <n v="1"/>
    <n v="0"/>
    <n v="30591"/>
    <n v="22214.000543069102"/>
    <n v="8376.9994569308983"/>
  </r>
  <r>
    <x v="1799"/>
    <x v="2"/>
    <x v="2"/>
    <x v="5"/>
    <n v="87527"/>
    <n v="1"/>
    <n v="31916"/>
    <n v="0.15"/>
    <n v="1"/>
    <n v="4787.3999999999996"/>
    <n v="27128.6"/>
    <n v="17081.791604831349"/>
    <n v="10046.808395168649"/>
  </r>
  <r>
    <x v="1800"/>
    <x v="0"/>
    <x v="4"/>
    <x v="4"/>
    <n v="96704"/>
    <n v="13"/>
    <n v="1231"/>
    <n v="0.1"/>
    <n v="4"/>
    <n v="1600.3"/>
    <n v="14402.7"/>
    <n v="8824.6578592009009"/>
    <n v="5578.0421407990998"/>
  </r>
  <r>
    <x v="1801"/>
    <x v="2"/>
    <x v="2"/>
    <x v="2"/>
    <n v="41099"/>
    <n v="37"/>
    <n v="1299"/>
    <n v="0.15"/>
    <n v="5"/>
    <n v="7209.45"/>
    <n v="40853.550000000003"/>
    <n v="32772.036974228169"/>
    <n v="8081.5130257718338"/>
  </r>
  <r>
    <x v="1802"/>
    <x v="0"/>
    <x v="4"/>
    <x v="5"/>
    <n v="49385"/>
    <n v="20"/>
    <n v="29373"/>
    <n v="0.2"/>
    <n v="5"/>
    <n v="117492"/>
    <n v="469968"/>
    <n v="357739.85188855551"/>
    <n v="112228.14811144451"/>
  </r>
  <r>
    <x v="1803"/>
    <x v="1"/>
    <x v="2"/>
    <x v="0"/>
    <n v="45919"/>
    <n v="1"/>
    <n v="7525"/>
    <n v="0.15"/>
    <n v="2"/>
    <n v="1128.75"/>
    <n v="6396.25"/>
    <n v="4690.0072060351322"/>
    <n v="1706.242793964868"/>
  </r>
  <r>
    <x v="1804"/>
    <x v="2"/>
    <x v="2"/>
    <x v="4"/>
    <n v="70782"/>
    <n v="3"/>
    <n v="14981"/>
    <n v="0.05"/>
    <n v="2"/>
    <n v="2247.15"/>
    <n v="42695.85"/>
    <n v="33743.895768639843"/>
    <n v="8951.9542313601632"/>
  </r>
  <r>
    <x v="1805"/>
    <x v="0"/>
    <x v="4"/>
    <x v="1"/>
    <n v="81116"/>
    <n v="18"/>
    <n v="25911"/>
    <n v="0"/>
    <n v="1"/>
    <n v="0"/>
    <n v="466398"/>
    <n v="395647.20604827511"/>
    <n v="70750.793951724947"/>
  </r>
  <r>
    <x v="1806"/>
    <x v="1"/>
    <x v="0"/>
    <x v="4"/>
    <n v="82590"/>
    <n v="41"/>
    <n v="31858"/>
    <n v="0.2"/>
    <n v="5"/>
    <n v="261235.6"/>
    <n v="1044942.4"/>
    <n v="761039.77647446073"/>
    <n v="283902.6235255393"/>
  </r>
  <r>
    <x v="1807"/>
    <x v="2"/>
    <x v="2"/>
    <x v="0"/>
    <n v="99626"/>
    <n v="14"/>
    <n v="40892"/>
    <n v="0.1"/>
    <n v="5"/>
    <n v="57248.800000000003"/>
    <n v="515239.2"/>
    <n v="408242.48408334289"/>
    <n v="106996.71591665709"/>
  </r>
  <r>
    <x v="1808"/>
    <x v="1"/>
    <x v="1"/>
    <x v="0"/>
    <n v="50387"/>
    <n v="31"/>
    <n v="15461"/>
    <n v="0"/>
    <n v="2"/>
    <n v="0"/>
    <n v="479291"/>
    <n v="424686.17542025307"/>
    <n v="54604.82457974687"/>
  </r>
  <r>
    <x v="1809"/>
    <x v="3"/>
    <x v="0"/>
    <x v="0"/>
    <n v="25823"/>
    <n v="27"/>
    <n v="22267"/>
    <n v="0"/>
    <n v="3"/>
    <n v="0"/>
    <n v="601209"/>
    <n v="512162.34105972992"/>
    <n v="89046.658940270136"/>
  </r>
  <r>
    <x v="1810"/>
    <x v="3"/>
    <x v="4"/>
    <x v="2"/>
    <n v="56015"/>
    <n v="17"/>
    <n v="41500"/>
    <n v="0.05"/>
    <n v="1"/>
    <n v="35275"/>
    <n v="670225"/>
    <n v="487789.91796569322"/>
    <n v="182435.0820343068"/>
  </r>
  <r>
    <x v="1811"/>
    <x v="2"/>
    <x v="0"/>
    <x v="3"/>
    <n v="25339"/>
    <n v="46"/>
    <n v="36635"/>
    <n v="0.05"/>
    <n v="5"/>
    <n v="84260.5"/>
    <n v="1600949.5"/>
    <n v="1270217.4297423279"/>
    <n v="330732.07025767188"/>
  </r>
  <r>
    <x v="1812"/>
    <x v="0"/>
    <x v="3"/>
    <x v="4"/>
    <n v="13491"/>
    <n v="29"/>
    <n v="21892"/>
    <n v="0.05"/>
    <n v="4"/>
    <n v="31743.4"/>
    <n v="603124.6"/>
    <n v="393913.50868565473"/>
    <n v="209211.09131434519"/>
  </r>
  <r>
    <x v="1813"/>
    <x v="2"/>
    <x v="3"/>
    <x v="3"/>
    <n v="10706"/>
    <n v="36"/>
    <n v="13762"/>
    <n v="0.2"/>
    <n v="4"/>
    <n v="99086.400000000009"/>
    <n v="396345.59999999998"/>
    <n v="304455.51050566661"/>
    <n v="91890.08949433337"/>
  </r>
  <r>
    <x v="1814"/>
    <x v="1"/>
    <x v="2"/>
    <x v="3"/>
    <n v="25728"/>
    <n v="37"/>
    <n v="5729"/>
    <n v="0.15"/>
    <n v="3"/>
    <n v="31795.95"/>
    <n v="180177.05"/>
    <n v="161150.0809736597"/>
    <n v="19026.969026340259"/>
  </r>
  <r>
    <x v="1815"/>
    <x v="0"/>
    <x v="2"/>
    <x v="1"/>
    <n v="16997"/>
    <n v="26"/>
    <n v="24272"/>
    <n v="0"/>
    <n v="2"/>
    <n v="0"/>
    <n v="631072"/>
    <n v="476771.44691432582"/>
    <n v="154300.55308567421"/>
  </r>
  <r>
    <x v="1816"/>
    <x v="3"/>
    <x v="1"/>
    <x v="0"/>
    <n v="70408"/>
    <n v="17"/>
    <n v="19299"/>
    <n v="0.15"/>
    <n v="2"/>
    <n v="49212.45"/>
    <n v="278870.55"/>
    <n v="244929.63080886629"/>
    <n v="33940.919191133733"/>
  </r>
  <r>
    <x v="1817"/>
    <x v="0"/>
    <x v="0"/>
    <x v="2"/>
    <n v="68097"/>
    <n v="22"/>
    <n v="47015"/>
    <n v="0.15"/>
    <n v="2"/>
    <n v="155149.5"/>
    <n v="879180.5"/>
    <n v="634944.57572265505"/>
    <n v="244235.92427734501"/>
  </r>
  <r>
    <x v="1818"/>
    <x v="3"/>
    <x v="3"/>
    <x v="1"/>
    <n v="48523"/>
    <n v="25"/>
    <n v="24055"/>
    <n v="0.05"/>
    <n v="4"/>
    <n v="30068.75"/>
    <n v="571306.25"/>
    <n v="513977.63776522491"/>
    <n v="57328.612234775093"/>
  </r>
  <r>
    <x v="1819"/>
    <x v="0"/>
    <x v="2"/>
    <x v="5"/>
    <n v="35163"/>
    <n v="2"/>
    <n v="27116"/>
    <n v="0.15"/>
    <n v="2"/>
    <n v="8134.7999999999993"/>
    <n v="46097.2"/>
    <n v="35668.446542367528"/>
    <n v="10428.753457632471"/>
  </r>
  <r>
    <x v="1820"/>
    <x v="0"/>
    <x v="0"/>
    <x v="2"/>
    <n v="27718"/>
    <n v="22"/>
    <n v="19833"/>
    <n v="0"/>
    <n v="4"/>
    <n v="0"/>
    <n v="436326"/>
    <n v="267328.51835369651"/>
    <n v="168997.48164630349"/>
  </r>
  <r>
    <x v="1821"/>
    <x v="0"/>
    <x v="2"/>
    <x v="3"/>
    <n v="97508"/>
    <n v="5"/>
    <n v="4761"/>
    <n v="0"/>
    <n v="3"/>
    <n v="0"/>
    <n v="23805"/>
    <n v="18473.309380571551"/>
    <n v="5331.6906194284529"/>
  </r>
  <r>
    <x v="1822"/>
    <x v="1"/>
    <x v="2"/>
    <x v="2"/>
    <n v="93767"/>
    <n v="4"/>
    <n v="3966"/>
    <n v="0.1"/>
    <n v="1"/>
    <n v="1586.4"/>
    <n v="14277.6"/>
    <n v="9742.6317359505028"/>
    <n v="4534.9682640494984"/>
  </r>
  <r>
    <x v="1823"/>
    <x v="1"/>
    <x v="3"/>
    <x v="0"/>
    <n v="49619"/>
    <n v="36"/>
    <n v="47053"/>
    <n v="0.2"/>
    <n v="5"/>
    <n v="338781.6"/>
    <n v="1355126.4"/>
    <n v="826280.72909932269"/>
    <n v="528845.67090067721"/>
  </r>
  <r>
    <x v="1824"/>
    <x v="2"/>
    <x v="3"/>
    <x v="5"/>
    <n v="22126"/>
    <n v="6"/>
    <n v="3588"/>
    <n v="0.15"/>
    <n v="3"/>
    <n v="3229.2"/>
    <n v="18298.8"/>
    <n v="15485.46913558401"/>
    <n v="2813.3308644159879"/>
  </r>
  <r>
    <x v="1825"/>
    <x v="2"/>
    <x v="2"/>
    <x v="0"/>
    <n v="99131"/>
    <n v="21"/>
    <n v="46283"/>
    <n v="0.2"/>
    <n v="4"/>
    <n v="194388.6"/>
    <n v="777554.4"/>
    <n v="530851.07773343683"/>
    <n v="246703.32226656319"/>
  </r>
  <r>
    <x v="1826"/>
    <x v="3"/>
    <x v="4"/>
    <x v="5"/>
    <n v="74926"/>
    <n v="13"/>
    <n v="1615"/>
    <n v="0.2"/>
    <n v="3"/>
    <n v="4199"/>
    <n v="16796"/>
    <n v="14091.248854129501"/>
    <n v="2704.751145870503"/>
  </r>
  <r>
    <x v="1827"/>
    <x v="1"/>
    <x v="2"/>
    <x v="1"/>
    <n v="50633"/>
    <n v="37"/>
    <n v="5078"/>
    <n v="0.2"/>
    <n v="5"/>
    <n v="37577.199999999997"/>
    <n v="150308.79999999999"/>
    <n v="103181.771709899"/>
    <n v="47127.028290100949"/>
  </r>
  <r>
    <x v="1828"/>
    <x v="3"/>
    <x v="2"/>
    <x v="3"/>
    <n v="87654"/>
    <n v="25"/>
    <n v="3090"/>
    <n v="0.2"/>
    <n v="1"/>
    <n v="15450"/>
    <n v="61800"/>
    <n v="40682.810600819772"/>
    <n v="21117.189399180232"/>
  </r>
  <r>
    <x v="1829"/>
    <x v="2"/>
    <x v="1"/>
    <x v="5"/>
    <n v="13317"/>
    <n v="26"/>
    <n v="7872"/>
    <n v="0"/>
    <n v="5"/>
    <n v="0"/>
    <n v="204672"/>
    <n v="182604.40254693039"/>
    <n v="22067.597453069578"/>
  </r>
  <r>
    <x v="1830"/>
    <x v="3"/>
    <x v="1"/>
    <x v="5"/>
    <n v="54980"/>
    <n v="39"/>
    <n v="4073"/>
    <n v="0.15"/>
    <n v="4"/>
    <n v="23827.05"/>
    <n v="135019.95000000001"/>
    <n v="95660.770221364903"/>
    <n v="39359.179778635109"/>
  </r>
  <r>
    <x v="1831"/>
    <x v="2"/>
    <x v="1"/>
    <x v="5"/>
    <n v="54115"/>
    <n v="20"/>
    <n v="3478"/>
    <n v="0.1"/>
    <n v="5"/>
    <n v="6956"/>
    <n v="62604"/>
    <n v="48856.966902356282"/>
    <n v="13747.03309764372"/>
  </r>
  <r>
    <x v="1832"/>
    <x v="1"/>
    <x v="4"/>
    <x v="2"/>
    <n v="71646"/>
    <n v="33"/>
    <n v="43907"/>
    <n v="0.2"/>
    <n v="3"/>
    <n v="289786.2"/>
    <n v="1159144.8"/>
    <n v="907603.94264763966"/>
    <n v="251540.85735236041"/>
  </r>
  <r>
    <x v="1833"/>
    <x v="0"/>
    <x v="4"/>
    <x v="1"/>
    <n v="53158"/>
    <n v="14"/>
    <n v="9922"/>
    <n v="0.1"/>
    <n v="2"/>
    <n v="13890.8"/>
    <n v="125017.2"/>
    <n v="96030.967624674333"/>
    <n v="28986.232375325661"/>
  </r>
  <r>
    <x v="1834"/>
    <x v="1"/>
    <x v="2"/>
    <x v="2"/>
    <n v="65963"/>
    <n v="36"/>
    <n v="44126"/>
    <n v="0"/>
    <n v="3"/>
    <n v="0"/>
    <n v="1588536"/>
    <n v="1389029.7352890649"/>
    <n v="199506.26471093509"/>
  </r>
  <r>
    <x v="1835"/>
    <x v="3"/>
    <x v="1"/>
    <x v="3"/>
    <n v="57631"/>
    <n v="17"/>
    <n v="24197"/>
    <n v="0"/>
    <n v="4"/>
    <n v="0"/>
    <n v="411349"/>
    <n v="330038.59807970701"/>
    <n v="81310.401920292992"/>
  </r>
  <r>
    <x v="1836"/>
    <x v="3"/>
    <x v="4"/>
    <x v="5"/>
    <n v="59316"/>
    <n v="21"/>
    <n v="31320"/>
    <n v="0.05"/>
    <n v="1"/>
    <n v="32886"/>
    <n v="624834"/>
    <n v="450580.23236606998"/>
    <n v="174253.76763392999"/>
  </r>
  <r>
    <x v="1837"/>
    <x v="1"/>
    <x v="3"/>
    <x v="1"/>
    <n v="69342"/>
    <n v="46"/>
    <n v="38243"/>
    <n v="0.2"/>
    <n v="5"/>
    <n v="351835.6"/>
    <n v="1407342.4"/>
    <n v="1208504.7840207941"/>
    <n v="198837.61597920561"/>
  </r>
  <r>
    <x v="1838"/>
    <x v="1"/>
    <x v="2"/>
    <x v="1"/>
    <n v="25504"/>
    <n v="16"/>
    <n v="5425"/>
    <n v="0.05"/>
    <n v="1"/>
    <n v="4340"/>
    <n v="82460"/>
    <n v="53955.133998330719"/>
    <n v="28504.866001669281"/>
  </r>
  <r>
    <x v="1839"/>
    <x v="2"/>
    <x v="0"/>
    <x v="4"/>
    <n v="78593"/>
    <n v="46"/>
    <n v="29930"/>
    <n v="0.1"/>
    <n v="4"/>
    <n v="137678"/>
    <n v="1239102"/>
    <n v="945770.65644857509"/>
    <n v="293331.34355142491"/>
  </r>
  <r>
    <x v="1840"/>
    <x v="3"/>
    <x v="2"/>
    <x v="3"/>
    <n v="36660"/>
    <n v="16"/>
    <n v="29334"/>
    <n v="0.15"/>
    <n v="5"/>
    <n v="70401.599999999991"/>
    <n v="398942.4"/>
    <n v="353129.89401124051"/>
    <n v="45812.505988759571"/>
  </r>
  <r>
    <x v="1841"/>
    <x v="3"/>
    <x v="0"/>
    <x v="1"/>
    <n v="47196"/>
    <n v="20"/>
    <n v="24935"/>
    <n v="0.05"/>
    <n v="3"/>
    <n v="24935"/>
    <n v="473765"/>
    <n v="373146.45243608812"/>
    <n v="100618.5475639119"/>
  </r>
  <r>
    <x v="1842"/>
    <x v="1"/>
    <x v="1"/>
    <x v="5"/>
    <n v="75938"/>
    <n v="29"/>
    <n v="22176"/>
    <n v="0"/>
    <n v="3"/>
    <n v="0"/>
    <n v="643104"/>
    <n v="543481.1035122585"/>
    <n v="99622.896487741498"/>
  </r>
  <r>
    <x v="1843"/>
    <x v="0"/>
    <x v="0"/>
    <x v="5"/>
    <n v="18605"/>
    <n v="28"/>
    <n v="44054"/>
    <n v="0.2"/>
    <n v="4"/>
    <n v="246702.4"/>
    <n v="986809.6"/>
    <n v="785567.75944528845"/>
    <n v="201241.8405547115"/>
  </r>
  <r>
    <x v="1844"/>
    <x v="3"/>
    <x v="1"/>
    <x v="1"/>
    <n v="67388"/>
    <n v="8"/>
    <n v="20314"/>
    <n v="0.1"/>
    <n v="5"/>
    <n v="16251.2"/>
    <n v="146260.79999999999"/>
    <n v="124586.5961993228"/>
    <n v="21674.203800677191"/>
  </r>
  <r>
    <x v="1845"/>
    <x v="0"/>
    <x v="3"/>
    <x v="2"/>
    <n v="91297"/>
    <n v="24"/>
    <n v="15216"/>
    <n v="0"/>
    <n v="3"/>
    <n v="0"/>
    <n v="365184"/>
    <n v="322583.95857402158"/>
    <n v="42600.041425978357"/>
  </r>
  <r>
    <x v="1846"/>
    <x v="1"/>
    <x v="0"/>
    <x v="3"/>
    <n v="65501"/>
    <n v="3"/>
    <n v="28028"/>
    <n v="0.15"/>
    <n v="4"/>
    <n v="12612.6"/>
    <n v="71471.399999999994"/>
    <n v="48734.669387154972"/>
    <n v="22736.730612845029"/>
  </r>
  <r>
    <x v="1847"/>
    <x v="1"/>
    <x v="2"/>
    <x v="5"/>
    <n v="63309"/>
    <n v="25"/>
    <n v="2495"/>
    <n v="0.2"/>
    <n v="4"/>
    <n v="12475"/>
    <n v="49900"/>
    <n v="32479.826386413079"/>
    <n v="17420.173613586921"/>
  </r>
  <r>
    <x v="1848"/>
    <x v="2"/>
    <x v="1"/>
    <x v="1"/>
    <n v="37043"/>
    <n v="19"/>
    <n v="22914"/>
    <n v="0.15"/>
    <n v="1"/>
    <n v="65304.899999999987"/>
    <n v="370061.1"/>
    <n v="275768.50483736547"/>
    <n v="94292.595162634505"/>
  </r>
  <r>
    <x v="1849"/>
    <x v="3"/>
    <x v="2"/>
    <x v="5"/>
    <n v="43635"/>
    <n v="33"/>
    <n v="14344"/>
    <n v="0.15"/>
    <n v="3"/>
    <n v="71002.8"/>
    <n v="402349.2"/>
    <n v="326127.65578283463"/>
    <n v="76221.544217165443"/>
  </r>
  <r>
    <x v="1850"/>
    <x v="0"/>
    <x v="4"/>
    <x v="1"/>
    <n v="89315"/>
    <n v="2"/>
    <n v="37159"/>
    <n v="0.2"/>
    <n v="5"/>
    <n v="14863.6"/>
    <n v="59454.400000000001"/>
    <n v="39724.89589295903"/>
    <n v="19729.504107040972"/>
  </r>
  <r>
    <x v="1851"/>
    <x v="2"/>
    <x v="1"/>
    <x v="3"/>
    <n v="90691"/>
    <n v="15"/>
    <n v="16022"/>
    <n v="0.2"/>
    <n v="3"/>
    <n v="48066"/>
    <n v="192264"/>
    <n v="115594.96837965171"/>
    <n v="76669.031620348323"/>
  </r>
  <r>
    <x v="1852"/>
    <x v="3"/>
    <x v="0"/>
    <x v="1"/>
    <n v="43132"/>
    <n v="22"/>
    <n v="40413"/>
    <n v="0.15"/>
    <n v="3"/>
    <n v="133362.9"/>
    <n v="755723.1"/>
    <n v="531183.05665169226"/>
    <n v="224540.04334830769"/>
  </r>
  <r>
    <x v="1853"/>
    <x v="2"/>
    <x v="1"/>
    <x v="4"/>
    <n v="99387"/>
    <n v="10"/>
    <n v="8998"/>
    <n v="0.1"/>
    <n v="3"/>
    <n v="8998"/>
    <n v="80982"/>
    <n v="72127.250011455733"/>
    <n v="8854.7499885442667"/>
  </r>
  <r>
    <x v="1854"/>
    <x v="1"/>
    <x v="2"/>
    <x v="1"/>
    <n v="25366"/>
    <n v="18"/>
    <n v="42822"/>
    <n v="0.2"/>
    <n v="4"/>
    <n v="154159.20000000001"/>
    <n v="616636.80000000005"/>
    <n v="498544.83330363472"/>
    <n v="118091.9666963654"/>
  </r>
  <r>
    <x v="1855"/>
    <x v="3"/>
    <x v="3"/>
    <x v="1"/>
    <n v="82107"/>
    <n v="22"/>
    <n v="2602"/>
    <n v="0"/>
    <n v="2"/>
    <n v="0"/>
    <n v="57244"/>
    <n v="41238.442113891433"/>
    <n v="16005.557886108571"/>
  </r>
  <r>
    <x v="1856"/>
    <x v="2"/>
    <x v="1"/>
    <x v="3"/>
    <n v="72580"/>
    <n v="46"/>
    <n v="36298"/>
    <n v="0.05"/>
    <n v="2"/>
    <n v="83485.400000000009"/>
    <n v="1586222.6"/>
    <n v="1043374.127349408"/>
    <n v="542848.47265059256"/>
  </r>
  <r>
    <x v="1857"/>
    <x v="2"/>
    <x v="0"/>
    <x v="1"/>
    <n v="67889"/>
    <n v="49"/>
    <n v="9024"/>
    <n v="0.1"/>
    <n v="1"/>
    <n v="44217.600000000013"/>
    <n v="397958.40000000002"/>
    <n v="281287.70304718829"/>
    <n v="116670.6969528117"/>
  </r>
  <r>
    <x v="1858"/>
    <x v="0"/>
    <x v="4"/>
    <x v="3"/>
    <n v="89553"/>
    <n v="27"/>
    <n v="31346"/>
    <n v="0.2"/>
    <n v="3"/>
    <n v="169268.4"/>
    <n v="677073.6"/>
    <n v="440742.29895817081"/>
    <n v="236331.3010418292"/>
  </r>
  <r>
    <x v="1859"/>
    <x v="2"/>
    <x v="3"/>
    <x v="4"/>
    <n v="49236"/>
    <n v="13"/>
    <n v="8607"/>
    <n v="0.2"/>
    <n v="2"/>
    <n v="22378.2"/>
    <n v="89512.8"/>
    <n v="56562.399516606587"/>
    <n v="32950.400483393409"/>
  </r>
  <r>
    <x v="1860"/>
    <x v="3"/>
    <x v="4"/>
    <x v="3"/>
    <n v="14150"/>
    <n v="33"/>
    <n v="49894"/>
    <n v="0.1"/>
    <n v="1"/>
    <n v="164650.20000000001"/>
    <n v="1481851.8"/>
    <n v="1292208.4250798731"/>
    <n v="189643.37492012719"/>
  </r>
  <r>
    <x v="1861"/>
    <x v="3"/>
    <x v="1"/>
    <x v="5"/>
    <n v="29423"/>
    <n v="5"/>
    <n v="18768"/>
    <n v="0.05"/>
    <n v="4"/>
    <n v="4692"/>
    <n v="89148"/>
    <n v="80170.359709649012"/>
    <n v="8977.6402903509879"/>
  </r>
  <r>
    <x v="1862"/>
    <x v="0"/>
    <x v="2"/>
    <x v="3"/>
    <n v="14137"/>
    <n v="26"/>
    <n v="48203"/>
    <n v="0.15"/>
    <n v="3"/>
    <n v="187991.7"/>
    <n v="1065286.3"/>
    <n v="691620.43924007181"/>
    <n v="373665.86075992818"/>
  </r>
  <r>
    <x v="1863"/>
    <x v="3"/>
    <x v="2"/>
    <x v="4"/>
    <n v="39992"/>
    <n v="13"/>
    <n v="24899"/>
    <n v="0"/>
    <n v="5"/>
    <n v="0"/>
    <n v="323687"/>
    <n v="199506.67305469009"/>
    <n v="124180.32694530991"/>
  </r>
  <r>
    <x v="1864"/>
    <x v="1"/>
    <x v="0"/>
    <x v="0"/>
    <n v="54921"/>
    <n v="27"/>
    <n v="10124"/>
    <n v="0.2"/>
    <n v="4"/>
    <n v="54669.600000000013"/>
    <n v="218678.39999999999"/>
    <n v="152838.56128228869"/>
    <n v="65839.838717711304"/>
  </r>
  <r>
    <x v="1865"/>
    <x v="3"/>
    <x v="2"/>
    <x v="1"/>
    <n v="89369"/>
    <n v="14"/>
    <n v="27626"/>
    <n v="0.05"/>
    <n v="1"/>
    <n v="19338.2"/>
    <n v="367425.8"/>
    <n v="271343.12814558228"/>
    <n v="96082.671854417713"/>
  </r>
  <r>
    <x v="1866"/>
    <x v="3"/>
    <x v="3"/>
    <x v="3"/>
    <n v="76917"/>
    <n v="24"/>
    <n v="23631"/>
    <n v="0"/>
    <n v="4"/>
    <n v="0"/>
    <n v="567144"/>
    <n v="375135.34240547649"/>
    <n v="192008.65759452351"/>
  </r>
  <r>
    <x v="1867"/>
    <x v="2"/>
    <x v="2"/>
    <x v="1"/>
    <n v="83690"/>
    <n v="3"/>
    <n v="49091"/>
    <n v="0.1"/>
    <n v="5"/>
    <n v="14727.3"/>
    <n v="132545.70000000001"/>
    <n v="91513.192779533463"/>
    <n v="41032.507220466548"/>
  </r>
  <r>
    <x v="1868"/>
    <x v="2"/>
    <x v="0"/>
    <x v="2"/>
    <n v="44235"/>
    <n v="47"/>
    <n v="21214"/>
    <n v="0.2"/>
    <n v="4"/>
    <n v="199411.6"/>
    <n v="797646.4"/>
    <n v="526654.98575694067"/>
    <n v="270991.41424305929"/>
  </r>
  <r>
    <x v="1869"/>
    <x v="3"/>
    <x v="1"/>
    <x v="5"/>
    <n v="88975"/>
    <n v="49"/>
    <n v="41131"/>
    <n v="0.15"/>
    <n v="1"/>
    <n v="302312.84999999998"/>
    <n v="1713106.15"/>
    <n v="1425780.852445239"/>
    <n v="287325.2975547614"/>
  </r>
  <r>
    <x v="1870"/>
    <x v="0"/>
    <x v="1"/>
    <x v="5"/>
    <n v="29122"/>
    <n v="30"/>
    <n v="36377"/>
    <n v="0.1"/>
    <n v="5"/>
    <n v="109131"/>
    <n v="982179"/>
    <n v="799271.12751619541"/>
    <n v="182907.87248380459"/>
  </r>
  <r>
    <x v="1871"/>
    <x v="2"/>
    <x v="2"/>
    <x v="2"/>
    <n v="33956"/>
    <n v="35"/>
    <n v="19070"/>
    <n v="0.2"/>
    <n v="5"/>
    <n v="133490"/>
    <n v="533960"/>
    <n v="422087.61340672022"/>
    <n v="111872.38659327981"/>
  </r>
  <r>
    <x v="1872"/>
    <x v="0"/>
    <x v="4"/>
    <x v="2"/>
    <n v="73879"/>
    <n v="48"/>
    <n v="12982"/>
    <n v="0.05"/>
    <n v="4"/>
    <n v="31156.799999999999"/>
    <n v="591979.19999999995"/>
    <n v="423954.99517783849"/>
    <n v="168024.20482216141"/>
  </r>
  <r>
    <x v="1873"/>
    <x v="3"/>
    <x v="1"/>
    <x v="3"/>
    <n v="68560"/>
    <n v="14"/>
    <n v="34818"/>
    <n v="0"/>
    <n v="5"/>
    <n v="0"/>
    <n v="487452"/>
    <n v="425405.34747765207"/>
    <n v="62046.652522347933"/>
  </r>
  <r>
    <x v="1874"/>
    <x v="3"/>
    <x v="2"/>
    <x v="2"/>
    <n v="92800"/>
    <n v="12"/>
    <n v="33914"/>
    <n v="0"/>
    <n v="4"/>
    <n v="0"/>
    <n v="406968"/>
    <n v="362551.41580902721"/>
    <n v="44416.58419097279"/>
  </r>
  <r>
    <x v="1875"/>
    <x v="1"/>
    <x v="0"/>
    <x v="0"/>
    <n v="78685"/>
    <n v="28"/>
    <n v="21540"/>
    <n v="0.2"/>
    <n v="3"/>
    <n v="120624"/>
    <n v="482496"/>
    <n v="314631.68213535321"/>
    <n v="167864.31786464679"/>
  </r>
  <r>
    <x v="1876"/>
    <x v="2"/>
    <x v="2"/>
    <x v="1"/>
    <n v="34660"/>
    <n v="44"/>
    <n v="13907"/>
    <n v="0.1"/>
    <n v="5"/>
    <n v="61190.8"/>
    <n v="550717.19999999995"/>
    <n v="367275.38923288602"/>
    <n v="183441.8107671139"/>
  </r>
  <r>
    <x v="1877"/>
    <x v="3"/>
    <x v="1"/>
    <x v="1"/>
    <n v="96064"/>
    <n v="29"/>
    <n v="45968"/>
    <n v="0.15"/>
    <n v="4"/>
    <n v="199960.8"/>
    <n v="1133111.2"/>
    <n v="858546.24146841967"/>
    <n v="274564.95853158028"/>
  </r>
  <r>
    <x v="1878"/>
    <x v="1"/>
    <x v="0"/>
    <x v="4"/>
    <n v="11168"/>
    <n v="43"/>
    <n v="33805"/>
    <n v="0.05"/>
    <n v="3"/>
    <n v="72680.75"/>
    <n v="1380934.25"/>
    <n v="866363.86093615508"/>
    <n v="514570.38906384492"/>
  </r>
  <r>
    <x v="1879"/>
    <x v="2"/>
    <x v="2"/>
    <x v="2"/>
    <n v="55124"/>
    <n v="17"/>
    <n v="14666"/>
    <n v="0.2"/>
    <n v="5"/>
    <n v="49864.4"/>
    <n v="199457.6"/>
    <n v="145790.4450459303"/>
    <n v="53667.154954069731"/>
  </r>
  <r>
    <x v="1880"/>
    <x v="3"/>
    <x v="3"/>
    <x v="2"/>
    <n v="45897"/>
    <n v="40"/>
    <n v="7072"/>
    <n v="0.05"/>
    <n v="3"/>
    <n v="14144"/>
    <n v="268736"/>
    <n v="208146.0771993908"/>
    <n v="60589.922800609202"/>
  </r>
  <r>
    <x v="1881"/>
    <x v="3"/>
    <x v="0"/>
    <x v="0"/>
    <n v="25032"/>
    <n v="49"/>
    <n v="33502"/>
    <n v="0"/>
    <n v="5"/>
    <n v="0"/>
    <n v="1641598"/>
    <n v="1242069.2790695711"/>
    <n v="399528.72093042871"/>
  </r>
  <r>
    <x v="1882"/>
    <x v="2"/>
    <x v="3"/>
    <x v="5"/>
    <n v="62797"/>
    <n v="21"/>
    <n v="27472"/>
    <n v="0.15"/>
    <n v="1"/>
    <n v="86536.8"/>
    <n v="490375.2"/>
    <n v="342905.92878258112"/>
    <n v="147469.27121741901"/>
  </r>
  <r>
    <x v="1883"/>
    <x v="2"/>
    <x v="4"/>
    <x v="5"/>
    <n v="45294"/>
    <n v="23"/>
    <n v="47335"/>
    <n v="0.05"/>
    <n v="1"/>
    <n v="54435.25"/>
    <n v="1034269.75"/>
    <n v="788872.43647200637"/>
    <n v="245397.3135279936"/>
  </r>
  <r>
    <x v="1884"/>
    <x v="2"/>
    <x v="0"/>
    <x v="1"/>
    <n v="53827"/>
    <n v="20"/>
    <n v="42964"/>
    <n v="0.2"/>
    <n v="4"/>
    <n v="171856"/>
    <n v="687424"/>
    <n v="610185.23615413031"/>
    <n v="77238.763845869689"/>
  </r>
  <r>
    <x v="1885"/>
    <x v="3"/>
    <x v="3"/>
    <x v="1"/>
    <n v="13516"/>
    <n v="11"/>
    <n v="47418"/>
    <n v="0.15"/>
    <n v="2"/>
    <n v="78239.7"/>
    <n v="443358.3"/>
    <n v="293416.83784111118"/>
    <n v="149941.46215888881"/>
  </r>
  <r>
    <x v="1886"/>
    <x v="3"/>
    <x v="1"/>
    <x v="3"/>
    <n v="29751"/>
    <n v="34"/>
    <n v="23423"/>
    <n v="0.1"/>
    <n v="1"/>
    <n v="79638.200000000012"/>
    <n v="716743.8"/>
    <n v="570850.17485234409"/>
    <n v="145893.62514765601"/>
  </r>
  <r>
    <x v="1887"/>
    <x v="1"/>
    <x v="1"/>
    <x v="0"/>
    <n v="40373"/>
    <n v="10"/>
    <n v="2409"/>
    <n v="0.2"/>
    <n v="2"/>
    <n v="4818"/>
    <n v="19272"/>
    <n v="11814.102326932631"/>
    <n v="7457.8976730673712"/>
  </r>
  <r>
    <x v="1888"/>
    <x v="0"/>
    <x v="4"/>
    <x v="4"/>
    <n v="40270"/>
    <n v="10"/>
    <n v="45418"/>
    <n v="0.05"/>
    <n v="3"/>
    <n v="22709"/>
    <n v="431471"/>
    <n v="267479.62573740282"/>
    <n v="163991.37426259721"/>
  </r>
  <r>
    <x v="1889"/>
    <x v="2"/>
    <x v="0"/>
    <x v="4"/>
    <n v="20386"/>
    <n v="43"/>
    <n v="33348"/>
    <n v="0.15"/>
    <n v="3"/>
    <n v="215094.6"/>
    <n v="1218869.3999999999"/>
    <n v="933103.60096873983"/>
    <n v="285765.79903126007"/>
  </r>
  <r>
    <x v="1890"/>
    <x v="3"/>
    <x v="0"/>
    <x v="0"/>
    <n v="74817"/>
    <n v="6"/>
    <n v="2583"/>
    <n v="0.2"/>
    <n v="2"/>
    <n v="3099.6"/>
    <n v="12398.4"/>
    <n v="7829.3633800134139"/>
    <n v="4569.0366199865857"/>
  </r>
  <r>
    <x v="1891"/>
    <x v="3"/>
    <x v="0"/>
    <x v="4"/>
    <n v="75184"/>
    <n v="36"/>
    <n v="46646"/>
    <n v="0.15"/>
    <n v="4"/>
    <n v="251888.4"/>
    <n v="1427367.6"/>
    <n v="865989.68452936539"/>
    <n v="561377.9154706347"/>
  </r>
  <r>
    <x v="1892"/>
    <x v="2"/>
    <x v="4"/>
    <x v="5"/>
    <n v="89693"/>
    <n v="24"/>
    <n v="48485"/>
    <n v="0.15"/>
    <n v="5"/>
    <n v="174546"/>
    <n v="989094"/>
    <n v="644349.14306870184"/>
    <n v="344744.85693129821"/>
  </r>
  <r>
    <x v="1893"/>
    <x v="0"/>
    <x v="0"/>
    <x v="4"/>
    <n v="47879"/>
    <n v="12"/>
    <n v="17640"/>
    <n v="0.15"/>
    <n v="2"/>
    <n v="31752"/>
    <n v="179928"/>
    <n v="138446.4544918834"/>
    <n v="41481.545508116571"/>
  </r>
  <r>
    <x v="1894"/>
    <x v="2"/>
    <x v="1"/>
    <x v="4"/>
    <n v="59597"/>
    <n v="43"/>
    <n v="3170"/>
    <n v="0.05"/>
    <n v="2"/>
    <n v="6815.5"/>
    <n v="129494.5"/>
    <n v="105020.33557048559"/>
    <n v="24474.16442951444"/>
  </r>
  <r>
    <x v="1895"/>
    <x v="0"/>
    <x v="3"/>
    <x v="0"/>
    <n v="49132"/>
    <n v="23"/>
    <n v="37019"/>
    <n v="0.2"/>
    <n v="2"/>
    <n v="170287.4"/>
    <n v="681149.6"/>
    <n v="450065.21789204248"/>
    <n v="231084.38210795741"/>
  </r>
  <r>
    <x v="1896"/>
    <x v="3"/>
    <x v="1"/>
    <x v="0"/>
    <n v="13626"/>
    <n v="27"/>
    <n v="45012"/>
    <n v="0"/>
    <n v="2"/>
    <n v="0"/>
    <n v="1215324"/>
    <n v="972839.91967967618"/>
    <n v="242484.08032032379"/>
  </r>
  <r>
    <x v="1897"/>
    <x v="0"/>
    <x v="1"/>
    <x v="4"/>
    <n v="95936"/>
    <n v="45"/>
    <n v="38529"/>
    <n v="0"/>
    <n v="2"/>
    <n v="0"/>
    <n v="1733805"/>
    <n v="1135196.5125724501"/>
    <n v="598608.48742755014"/>
  </r>
  <r>
    <x v="1898"/>
    <x v="1"/>
    <x v="3"/>
    <x v="2"/>
    <n v="91515"/>
    <n v="37"/>
    <n v="15191"/>
    <n v="0.05"/>
    <n v="4"/>
    <n v="28103.35"/>
    <n v="533963.65"/>
    <n v="418647.37999309"/>
    <n v="115316.27000691"/>
  </r>
  <r>
    <x v="1899"/>
    <x v="3"/>
    <x v="1"/>
    <x v="0"/>
    <n v="87065"/>
    <n v="6"/>
    <n v="40120"/>
    <n v="0.05"/>
    <n v="1"/>
    <n v="12036"/>
    <n v="228684"/>
    <n v="165472.97623118729"/>
    <n v="63211.023768812738"/>
  </r>
  <r>
    <x v="1900"/>
    <x v="1"/>
    <x v="4"/>
    <x v="3"/>
    <n v="65390"/>
    <n v="1"/>
    <n v="34762"/>
    <n v="0.15"/>
    <n v="5"/>
    <n v="5214.3"/>
    <n v="29547.7"/>
    <n v="23524.101528581072"/>
    <n v="6023.598471418929"/>
  </r>
  <r>
    <x v="1901"/>
    <x v="2"/>
    <x v="3"/>
    <x v="3"/>
    <n v="26645"/>
    <n v="6"/>
    <n v="26095"/>
    <n v="0.2"/>
    <n v="1"/>
    <n v="31314"/>
    <n v="125256"/>
    <n v="112544.4982693622"/>
    <n v="12711.50173063781"/>
  </r>
  <r>
    <x v="1902"/>
    <x v="2"/>
    <x v="1"/>
    <x v="5"/>
    <n v="64144"/>
    <n v="22"/>
    <n v="33940"/>
    <n v="0.2"/>
    <n v="2"/>
    <n v="149336"/>
    <n v="597344"/>
    <n v="526466.2011839638"/>
    <n v="70877.7988160362"/>
  </r>
  <r>
    <x v="1903"/>
    <x v="2"/>
    <x v="2"/>
    <x v="4"/>
    <n v="23382"/>
    <n v="41"/>
    <n v="9130"/>
    <n v="0.1"/>
    <n v="1"/>
    <n v="37433"/>
    <n v="336897"/>
    <n v="202570.95341091289"/>
    <n v="134326.04658908711"/>
  </r>
  <r>
    <x v="1904"/>
    <x v="0"/>
    <x v="1"/>
    <x v="2"/>
    <n v="14025"/>
    <n v="24"/>
    <n v="31750"/>
    <n v="0.1"/>
    <n v="4"/>
    <n v="76200"/>
    <n v="685800"/>
    <n v="593650.17137990077"/>
    <n v="92149.82862009923"/>
  </r>
  <r>
    <x v="1905"/>
    <x v="3"/>
    <x v="4"/>
    <x v="5"/>
    <n v="53226"/>
    <n v="25"/>
    <n v="29298"/>
    <n v="0"/>
    <n v="3"/>
    <n v="0"/>
    <n v="732450"/>
    <n v="454080.35487772728"/>
    <n v="278369.64512227272"/>
  </r>
  <r>
    <x v="1906"/>
    <x v="2"/>
    <x v="0"/>
    <x v="4"/>
    <n v="89380"/>
    <n v="15"/>
    <n v="43536"/>
    <n v="0.1"/>
    <n v="1"/>
    <n v="65304"/>
    <n v="587736"/>
    <n v="520683.53650897281"/>
    <n v="67052.463491027185"/>
  </r>
  <r>
    <x v="1907"/>
    <x v="2"/>
    <x v="1"/>
    <x v="0"/>
    <n v="79711"/>
    <n v="26"/>
    <n v="33712"/>
    <n v="0.1"/>
    <n v="5"/>
    <n v="87651.200000000012"/>
    <n v="788860.8"/>
    <n v="540012.84920253616"/>
    <n v="248847.95079746391"/>
  </r>
  <r>
    <x v="1908"/>
    <x v="3"/>
    <x v="0"/>
    <x v="3"/>
    <n v="84710"/>
    <n v="8"/>
    <n v="42425"/>
    <n v="0"/>
    <n v="4"/>
    <n v="0"/>
    <n v="339400"/>
    <n v="242538.78643247561"/>
    <n v="96861.213567524363"/>
  </r>
  <r>
    <x v="1909"/>
    <x v="2"/>
    <x v="2"/>
    <x v="1"/>
    <n v="13443"/>
    <n v="24"/>
    <n v="12482"/>
    <n v="0"/>
    <n v="3"/>
    <n v="0"/>
    <n v="299568"/>
    <n v="187976.36215442471"/>
    <n v="111591.6378455753"/>
  </r>
  <r>
    <x v="1910"/>
    <x v="1"/>
    <x v="1"/>
    <x v="2"/>
    <n v="31395"/>
    <n v="48"/>
    <n v="9155"/>
    <n v="0.1"/>
    <n v="4"/>
    <n v="43944"/>
    <n v="395496"/>
    <n v="250618.62804841509"/>
    <n v="144877.37195158491"/>
  </r>
  <r>
    <x v="1911"/>
    <x v="3"/>
    <x v="3"/>
    <x v="1"/>
    <n v="20725"/>
    <n v="38"/>
    <n v="19082"/>
    <n v="0.2"/>
    <n v="2"/>
    <n v="145023.20000000001"/>
    <n v="580092.80000000005"/>
    <n v="474528.77080723771"/>
    <n v="105564.02919276241"/>
  </r>
  <r>
    <x v="1912"/>
    <x v="3"/>
    <x v="0"/>
    <x v="3"/>
    <n v="43461"/>
    <n v="6"/>
    <n v="35555"/>
    <n v="0.1"/>
    <n v="3"/>
    <n v="21333"/>
    <n v="191997"/>
    <n v="169590.88688008941"/>
    <n v="22406.113119910558"/>
  </r>
  <r>
    <x v="1913"/>
    <x v="3"/>
    <x v="2"/>
    <x v="1"/>
    <n v="51115"/>
    <n v="35"/>
    <n v="45225"/>
    <n v="0.15"/>
    <n v="5"/>
    <n v="237431.25"/>
    <n v="1345443.75"/>
    <n v="1053784.573607455"/>
    <n v="291659.17639254523"/>
  </r>
  <r>
    <x v="1914"/>
    <x v="1"/>
    <x v="3"/>
    <x v="0"/>
    <n v="93732"/>
    <n v="42"/>
    <n v="4508"/>
    <n v="0.15"/>
    <n v="3"/>
    <n v="28400.400000000001"/>
    <n v="160935.6"/>
    <n v="131123.08552764499"/>
    <n v="29812.514472355018"/>
  </r>
  <r>
    <x v="1915"/>
    <x v="3"/>
    <x v="3"/>
    <x v="4"/>
    <n v="89790"/>
    <n v="1"/>
    <n v="44964"/>
    <n v="0.15"/>
    <n v="5"/>
    <n v="6744.5999999999995"/>
    <n v="38219.4"/>
    <n v="31668.247936996941"/>
    <n v="6551.1520630030655"/>
  </r>
  <r>
    <x v="1916"/>
    <x v="1"/>
    <x v="3"/>
    <x v="0"/>
    <n v="89557"/>
    <n v="46"/>
    <n v="42372"/>
    <n v="0.05"/>
    <n v="2"/>
    <n v="97455.6"/>
    <n v="1851656.4"/>
    <n v="1256986.360046193"/>
    <n v="594670.03995380667"/>
  </r>
  <r>
    <x v="1917"/>
    <x v="3"/>
    <x v="3"/>
    <x v="1"/>
    <n v="81260"/>
    <n v="36"/>
    <n v="996"/>
    <n v="0.15"/>
    <n v="5"/>
    <n v="5378.4"/>
    <n v="30477.599999999999"/>
    <n v="18700.107179800179"/>
    <n v="11777.492820199819"/>
  </r>
  <r>
    <x v="1918"/>
    <x v="0"/>
    <x v="1"/>
    <x v="0"/>
    <n v="38690"/>
    <n v="12"/>
    <n v="34731"/>
    <n v="0.2"/>
    <n v="4"/>
    <n v="83354.400000000009"/>
    <n v="333417.59999999998"/>
    <n v="200237.88173488309"/>
    <n v="133179.71826511691"/>
  </r>
  <r>
    <x v="1919"/>
    <x v="2"/>
    <x v="1"/>
    <x v="3"/>
    <n v="11407"/>
    <n v="38"/>
    <n v="23712"/>
    <n v="0.05"/>
    <n v="1"/>
    <n v="45052.800000000003"/>
    <n v="856003.2"/>
    <n v="603648.99248590355"/>
    <n v="252354.2075140964"/>
  </r>
  <r>
    <x v="1920"/>
    <x v="0"/>
    <x v="1"/>
    <x v="2"/>
    <n v="83568"/>
    <n v="11"/>
    <n v="21137"/>
    <n v="0.05"/>
    <n v="4"/>
    <n v="11625.35"/>
    <n v="220881.65"/>
    <n v="148529.4951421858"/>
    <n v="72352.154857814166"/>
  </r>
  <r>
    <x v="1921"/>
    <x v="2"/>
    <x v="2"/>
    <x v="0"/>
    <n v="68560"/>
    <n v="12"/>
    <n v="45727"/>
    <n v="0.15"/>
    <n v="4"/>
    <n v="82308.599999999991"/>
    <n v="466415.4"/>
    <n v="288569.02399677178"/>
    <n v="177846.37600322819"/>
  </r>
  <r>
    <x v="1922"/>
    <x v="1"/>
    <x v="2"/>
    <x v="3"/>
    <n v="57340"/>
    <n v="42"/>
    <n v="17377"/>
    <n v="0.1"/>
    <n v="3"/>
    <n v="72983.400000000009"/>
    <n v="656850.6"/>
    <n v="429487.3399924321"/>
    <n v="227363.26000756791"/>
  </r>
  <r>
    <x v="1923"/>
    <x v="0"/>
    <x v="2"/>
    <x v="2"/>
    <n v="27794"/>
    <n v="39"/>
    <n v="18310"/>
    <n v="0"/>
    <n v="2"/>
    <n v="0"/>
    <n v="714090"/>
    <n v="455125.02547924762"/>
    <n v="258964.97452075241"/>
  </r>
  <r>
    <x v="1924"/>
    <x v="3"/>
    <x v="4"/>
    <x v="4"/>
    <n v="29881"/>
    <n v="7"/>
    <n v="10384"/>
    <n v="0.1"/>
    <n v="1"/>
    <n v="7268.8"/>
    <n v="65419.199999999997"/>
    <n v="57206.703527185156"/>
    <n v="8212.4964728148407"/>
  </r>
  <r>
    <x v="1925"/>
    <x v="2"/>
    <x v="2"/>
    <x v="1"/>
    <n v="96292"/>
    <n v="11"/>
    <n v="3223"/>
    <n v="0.1"/>
    <n v="5"/>
    <n v="3545.3"/>
    <n v="31907.7"/>
    <n v="20487.301250067339"/>
    <n v="11420.398749932659"/>
  </r>
  <r>
    <x v="1926"/>
    <x v="2"/>
    <x v="1"/>
    <x v="4"/>
    <n v="59703"/>
    <n v="36"/>
    <n v="5261"/>
    <n v="0.05"/>
    <n v="3"/>
    <n v="9469.8000000000011"/>
    <n v="179926.2"/>
    <n v="136976.833518342"/>
    <n v="42949.366481658013"/>
  </r>
  <r>
    <x v="1927"/>
    <x v="0"/>
    <x v="1"/>
    <x v="5"/>
    <n v="54354"/>
    <n v="31"/>
    <n v="8130"/>
    <n v="0.05"/>
    <n v="2"/>
    <n v="12601.5"/>
    <n v="239428.5"/>
    <n v="186259.04075207189"/>
    <n v="53169.459247928142"/>
  </r>
  <r>
    <x v="1928"/>
    <x v="1"/>
    <x v="4"/>
    <x v="3"/>
    <n v="88462"/>
    <n v="33"/>
    <n v="16875"/>
    <n v="0.05"/>
    <n v="1"/>
    <n v="27843.75"/>
    <n v="529031.25"/>
    <n v="403675.62215202622"/>
    <n v="125355.6278479738"/>
  </r>
  <r>
    <x v="1929"/>
    <x v="0"/>
    <x v="4"/>
    <x v="2"/>
    <n v="24390"/>
    <n v="13"/>
    <n v="42009"/>
    <n v="0.2"/>
    <n v="4"/>
    <n v="109223.4"/>
    <n v="436893.6"/>
    <n v="275119.29664433579"/>
    <n v="161774.3033556641"/>
  </r>
  <r>
    <x v="1930"/>
    <x v="1"/>
    <x v="2"/>
    <x v="0"/>
    <n v="97475"/>
    <n v="18"/>
    <n v="25718"/>
    <n v="0.2"/>
    <n v="2"/>
    <n v="92584.8"/>
    <n v="370339.2"/>
    <n v="257622.5790756029"/>
    <n v="112716.6209243971"/>
  </r>
  <r>
    <x v="1931"/>
    <x v="1"/>
    <x v="0"/>
    <x v="4"/>
    <n v="37307"/>
    <n v="41"/>
    <n v="31065"/>
    <n v="0"/>
    <n v="2"/>
    <n v="0"/>
    <n v="1273665"/>
    <n v="783789.36839900457"/>
    <n v="489875.63160099537"/>
  </r>
  <r>
    <x v="1932"/>
    <x v="2"/>
    <x v="4"/>
    <x v="2"/>
    <n v="34502"/>
    <n v="24"/>
    <n v="37618"/>
    <n v="0.05"/>
    <n v="2"/>
    <n v="45141.600000000013"/>
    <n v="857690.4"/>
    <n v="616422.92606677045"/>
    <n v="241267.4739332296"/>
  </r>
  <r>
    <x v="1933"/>
    <x v="0"/>
    <x v="3"/>
    <x v="3"/>
    <n v="32486"/>
    <n v="9"/>
    <n v="33475"/>
    <n v="0.15"/>
    <n v="4"/>
    <n v="45191.25"/>
    <n v="256083.75"/>
    <n v="168139.38646980649"/>
    <n v="87944.363530193543"/>
  </r>
  <r>
    <x v="1934"/>
    <x v="0"/>
    <x v="1"/>
    <x v="5"/>
    <n v="48258"/>
    <n v="31"/>
    <n v="27573"/>
    <n v="0.05"/>
    <n v="5"/>
    <n v="42738.15"/>
    <n v="812024.85"/>
    <n v="624032.78207861062"/>
    <n v="187992.06792138939"/>
  </r>
  <r>
    <x v="1935"/>
    <x v="1"/>
    <x v="3"/>
    <x v="4"/>
    <n v="67716"/>
    <n v="41"/>
    <n v="4690"/>
    <n v="0.2"/>
    <n v="3"/>
    <n v="38458"/>
    <n v="153832"/>
    <n v="124272.0302527785"/>
    <n v="29559.969747221548"/>
  </r>
  <r>
    <x v="1936"/>
    <x v="0"/>
    <x v="1"/>
    <x v="1"/>
    <n v="91494"/>
    <n v="10"/>
    <n v="2383"/>
    <n v="0.05"/>
    <n v="5"/>
    <n v="1191.5"/>
    <n v="22638.5"/>
    <n v="17197.01863657327"/>
    <n v="5441.4813634267266"/>
  </r>
  <r>
    <x v="1937"/>
    <x v="3"/>
    <x v="1"/>
    <x v="2"/>
    <n v="92768"/>
    <n v="2"/>
    <n v="3386"/>
    <n v="0.2"/>
    <n v="1"/>
    <n v="1354.4"/>
    <n v="5417.6"/>
    <n v="3956.3162182685692"/>
    <n v="1461.283781731431"/>
  </r>
  <r>
    <x v="1938"/>
    <x v="3"/>
    <x v="4"/>
    <x v="1"/>
    <n v="20748"/>
    <n v="38"/>
    <n v="9453"/>
    <n v="0.05"/>
    <n v="3"/>
    <n v="17960.7"/>
    <n v="341253.3"/>
    <n v="244405.62242029051"/>
    <n v="96847.677579709445"/>
  </r>
  <r>
    <x v="1939"/>
    <x v="0"/>
    <x v="4"/>
    <x v="2"/>
    <n v="72785"/>
    <n v="15"/>
    <n v="8881"/>
    <n v="0.15"/>
    <n v="1"/>
    <n v="19982.25"/>
    <n v="113232.75"/>
    <n v="96531.772066195816"/>
    <n v="16700.977933804181"/>
  </r>
  <r>
    <x v="1940"/>
    <x v="0"/>
    <x v="3"/>
    <x v="2"/>
    <n v="86050"/>
    <n v="3"/>
    <n v="23738"/>
    <n v="0"/>
    <n v="4"/>
    <n v="0"/>
    <n v="71214"/>
    <n v="47415.023215667439"/>
    <n v="23798.976784332561"/>
  </r>
  <r>
    <x v="1941"/>
    <x v="1"/>
    <x v="1"/>
    <x v="3"/>
    <n v="32738"/>
    <n v="43"/>
    <n v="14295"/>
    <n v="0.15"/>
    <n v="5"/>
    <n v="92202.75"/>
    <n v="522482.25"/>
    <n v="428574.16500849219"/>
    <n v="93908.084991507814"/>
  </r>
  <r>
    <x v="1942"/>
    <x v="3"/>
    <x v="3"/>
    <x v="3"/>
    <n v="84231"/>
    <n v="31"/>
    <n v="30928"/>
    <n v="0.2"/>
    <n v="2"/>
    <n v="191753.60000000001"/>
    <n v="767014.40000000002"/>
    <n v="634508.59524634434"/>
    <n v="132505.80475365571"/>
  </r>
  <r>
    <x v="1943"/>
    <x v="3"/>
    <x v="0"/>
    <x v="3"/>
    <n v="83606"/>
    <n v="6"/>
    <n v="10138"/>
    <n v="0.1"/>
    <n v="3"/>
    <n v="6082.8"/>
    <n v="54745.2"/>
    <n v="39731.876471411328"/>
    <n v="15013.32352858866"/>
  </r>
  <r>
    <x v="1944"/>
    <x v="2"/>
    <x v="3"/>
    <x v="0"/>
    <n v="51662"/>
    <n v="3"/>
    <n v="5431"/>
    <n v="0.15"/>
    <n v="2"/>
    <n v="2443.9499999999998"/>
    <n v="13849.05"/>
    <n v="9544.6292591117526"/>
    <n v="4304.4207408882467"/>
  </r>
  <r>
    <x v="1945"/>
    <x v="1"/>
    <x v="2"/>
    <x v="2"/>
    <n v="92234"/>
    <n v="11"/>
    <n v="43123"/>
    <n v="0.05"/>
    <n v="1"/>
    <n v="23717.65"/>
    <n v="450635.35"/>
    <n v="333993.99817615439"/>
    <n v="116641.3518238456"/>
  </r>
  <r>
    <x v="1946"/>
    <x v="2"/>
    <x v="3"/>
    <x v="4"/>
    <n v="25123"/>
    <n v="15"/>
    <n v="38992"/>
    <n v="0"/>
    <n v="2"/>
    <n v="0"/>
    <n v="584880"/>
    <n v="367283.68829283642"/>
    <n v="217596.31170716361"/>
  </r>
  <r>
    <x v="1947"/>
    <x v="3"/>
    <x v="2"/>
    <x v="1"/>
    <n v="35616"/>
    <n v="45"/>
    <n v="26911"/>
    <n v="0.05"/>
    <n v="2"/>
    <n v="60549.75"/>
    <n v="1150445.25"/>
    <n v="706119.14622309105"/>
    <n v="444326.10377690889"/>
  </r>
  <r>
    <x v="1948"/>
    <x v="1"/>
    <x v="2"/>
    <x v="3"/>
    <n v="21182"/>
    <n v="28"/>
    <n v="45688"/>
    <n v="0.05"/>
    <n v="4"/>
    <n v="63963.199999999997"/>
    <n v="1215300.8"/>
    <n v="769869.91727293306"/>
    <n v="445430.88272706699"/>
  </r>
  <r>
    <x v="1949"/>
    <x v="0"/>
    <x v="2"/>
    <x v="3"/>
    <n v="72013"/>
    <n v="10"/>
    <n v="21034"/>
    <n v="0.15"/>
    <n v="4"/>
    <n v="31551"/>
    <n v="178789"/>
    <n v="117311.24190903"/>
    <n v="61477.758090970019"/>
  </r>
  <r>
    <x v="1950"/>
    <x v="1"/>
    <x v="0"/>
    <x v="1"/>
    <n v="41331"/>
    <n v="38"/>
    <n v="37328"/>
    <n v="0"/>
    <n v="5"/>
    <n v="0"/>
    <n v="1418464"/>
    <n v="1065625.400785194"/>
    <n v="352838.59921480552"/>
  </r>
  <r>
    <x v="1951"/>
    <x v="0"/>
    <x v="3"/>
    <x v="1"/>
    <n v="56098"/>
    <n v="47"/>
    <n v="29681"/>
    <n v="0.1"/>
    <n v="1"/>
    <n v="139500.70000000001"/>
    <n v="1255506.3"/>
    <n v="1073132.698878329"/>
    <n v="182373.601121671"/>
  </r>
  <r>
    <x v="1952"/>
    <x v="0"/>
    <x v="3"/>
    <x v="2"/>
    <n v="36128"/>
    <n v="7"/>
    <n v="38033"/>
    <n v="0.05"/>
    <n v="4"/>
    <n v="13311.55"/>
    <n v="252919.45"/>
    <n v="169631.22870182351"/>
    <n v="83288.221298176533"/>
  </r>
  <r>
    <x v="1953"/>
    <x v="1"/>
    <x v="0"/>
    <x v="3"/>
    <n v="41556"/>
    <n v="15"/>
    <n v="20496"/>
    <n v="0"/>
    <n v="4"/>
    <n v="0"/>
    <n v="307440"/>
    <n v="270715.86257519678"/>
    <n v="36724.137424803157"/>
  </r>
  <r>
    <x v="1954"/>
    <x v="0"/>
    <x v="1"/>
    <x v="1"/>
    <n v="97505"/>
    <n v="18"/>
    <n v="7053"/>
    <n v="0.1"/>
    <n v="5"/>
    <n v="12695.4"/>
    <n v="114258.6"/>
    <n v="101287.09224115231"/>
    <n v="12971.5077588477"/>
  </r>
  <r>
    <x v="1955"/>
    <x v="2"/>
    <x v="4"/>
    <x v="0"/>
    <n v="31876"/>
    <n v="18"/>
    <n v="40646"/>
    <n v="0.05"/>
    <n v="3"/>
    <n v="36581.4"/>
    <n v="695046.6"/>
    <n v="616972.97559660103"/>
    <n v="78073.62440339895"/>
  </r>
  <r>
    <x v="1956"/>
    <x v="3"/>
    <x v="3"/>
    <x v="0"/>
    <n v="18949"/>
    <n v="41"/>
    <n v="18573"/>
    <n v="0"/>
    <n v="5"/>
    <n v="0"/>
    <n v="761493"/>
    <n v="648235.24785506329"/>
    <n v="113257.75214493671"/>
  </r>
  <r>
    <x v="1957"/>
    <x v="0"/>
    <x v="4"/>
    <x v="3"/>
    <n v="61962"/>
    <n v="24"/>
    <n v="7630"/>
    <n v="0.15"/>
    <n v="2"/>
    <n v="27468"/>
    <n v="155652"/>
    <n v="110380.228575074"/>
    <n v="45271.771424925959"/>
  </r>
  <r>
    <x v="1958"/>
    <x v="2"/>
    <x v="0"/>
    <x v="1"/>
    <n v="81206"/>
    <n v="2"/>
    <n v="29905"/>
    <n v="0.05"/>
    <n v="2"/>
    <n v="2990.5"/>
    <n v="56819.5"/>
    <n v="35330.65904436406"/>
    <n v="21488.84095563594"/>
  </r>
  <r>
    <x v="1959"/>
    <x v="0"/>
    <x v="1"/>
    <x v="2"/>
    <n v="34099"/>
    <n v="40"/>
    <n v="36454"/>
    <n v="0.05"/>
    <n v="4"/>
    <n v="72908"/>
    <n v="1385252"/>
    <n v="1067538.3857451"/>
    <n v="317713.61425489979"/>
  </r>
  <r>
    <x v="1960"/>
    <x v="3"/>
    <x v="1"/>
    <x v="2"/>
    <n v="22716"/>
    <n v="20"/>
    <n v="6289"/>
    <n v="0"/>
    <n v="4"/>
    <n v="0"/>
    <n v="125780"/>
    <n v="96549.285605527577"/>
    <n v="29230.714394472419"/>
  </r>
  <r>
    <x v="1961"/>
    <x v="2"/>
    <x v="1"/>
    <x v="2"/>
    <n v="62611"/>
    <n v="34"/>
    <n v="29430"/>
    <n v="0.05"/>
    <n v="5"/>
    <n v="50031"/>
    <n v="950589"/>
    <n v="812746.68434428307"/>
    <n v="137842.3156557169"/>
  </r>
  <r>
    <x v="1962"/>
    <x v="3"/>
    <x v="0"/>
    <x v="5"/>
    <n v="48885"/>
    <n v="43"/>
    <n v="49390"/>
    <n v="0.1"/>
    <n v="5"/>
    <n v="212377"/>
    <n v="1911393"/>
    <n v="1717954.8968523089"/>
    <n v="193438.10314769129"/>
  </r>
  <r>
    <x v="1963"/>
    <x v="3"/>
    <x v="2"/>
    <x v="3"/>
    <n v="63144"/>
    <n v="26"/>
    <n v="18029"/>
    <n v="0.05"/>
    <n v="1"/>
    <n v="23437.7"/>
    <n v="445316.3"/>
    <n v="335076.99947259919"/>
    <n v="110239.3005274008"/>
  </r>
  <r>
    <x v="1964"/>
    <x v="2"/>
    <x v="2"/>
    <x v="2"/>
    <n v="75220"/>
    <n v="7"/>
    <n v="8442"/>
    <n v="0.2"/>
    <n v="2"/>
    <n v="11818.8"/>
    <n v="47275.199999999997"/>
    <n v="33260.996882463587"/>
    <n v="14014.203117536401"/>
  </r>
  <r>
    <x v="1965"/>
    <x v="2"/>
    <x v="4"/>
    <x v="0"/>
    <n v="17837"/>
    <n v="38"/>
    <n v="8048"/>
    <n v="0.1"/>
    <n v="5"/>
    <n v="30582.400000000001"/>
    <n v="275241.59999999998"/>
    <n v="180495.32535944559"/>
    <n v="94746.274640554358"/>
  </r>
  <r>
    <x v="1966"/>
    <x v="2"/>
    <x v="2"/>
    <x v="1"/>
    <n v="59355"/>
    <n v="30"/>
    <n v="18796"/>
    <n v="0"/>
    <n v="3"/>
    <n v="0"/>
    <n v="563880"/>
    <n v="339139.9575654057"/>
    <n v="224740.0424345943"/>
  </r>
  <r>
    <x v="1967"/>
    <x v="1"/>
    <x v="2"/>
    <x v="4"/>
    <n v="57299"/>
    <n v="42"/>
    <n v="32744"/>
    <n v="0.1"/>
    <n v="1"/>
    <n v="137524.79999999999"/>
    <n v="1237723.2"/>
    <n v="931676.46858934534"/>
    <n v="306046.73141065461"/>
  </r>
  <r>
    <x v="1968"/>
    <x v="2"/>
    <x v="1"/>
    <x v="4"/>
    <n v="29159"/>
    <n v="5"/>
    <n v="796"/>
    <n v="0.2"/>
    <n v="5"/>
    <n v="796"/>
    <n v="3184"/>
    <n v="2441.0314304343192"/>
    <n v="742.96856956568081"/>
  </r>
  <r>
    <x v="1969"/>
    <x v="2"/>
    <x v="1"/>
    <x v="2"/>
    <n v="61012"/>
    <n v="11"/>
    <n v="2909"/>
    <n v="0.2"/>
    <n v="4"/>
    <n v="6399.8"/>
    <n v="25599.200000000001"/>
    <n v="21694.849539762461"/>
    <n v="3904.3504602375428"/>
  </r>
  <r>
    <x v="1970"/>
    <x v="2"/>
    <x v="4"/>
    <x v="4"/>
    <n v="69305"/>
    <n v="1"/>
    <n v="34729"/>
    <n v="0.05"/>
    <n v="5"/>
    <n v="1736.45"/>
    <n v="32992.550000000003"/>
    <n v="24789.714252615489"/>
    <n v="8202.8357473845172"/>
  </r>
  <r>
    <x v="1971"/>
    <x v="2"/>
    <x v="3"/>
    <x v="4"/>
    <n v="97096"/>
    <n v="34"/>
    <n v="31346"/>
    <n v="0.05"/>
    <n v="4"/>
    <n v="53288.2"/>
    <n v="1012475.8"/>
    <n v="885856.0873471034"/>
    <n v="126619.7126528966"/>
  </r>
  <r>
    <x v="1972"/>
    <x v="0"/>
    <x v="4"/>
    <x v="5"/>
    <n v="27106"/>
    <n v="1"/>
    <n v="35536"/>
    <n v="0.15"/>
    <n v="4"/>
    <n v="5330.4"/>
    <n v="30205.599999999999"/>
    <n v="23814.851477977849"/>
    <n v="6390.7485220221533"/>
  </r>
  <r>
    <x v="1973"/>
    <x v="1"/>
    <x v="4"/>
    <x v="0"/>
    <n v="68123"/>
    <n v="19"/>
    <n v="39822"/>
    <n v="0.1"/>
    <n v="2"/>
    <n v="75661.8"/>
    <n v="680956.2"/>
    <n v="580243.37145039707"/>
    <n v="100712.8285496029"/>
  </r>
  <r>
    <x v="1974"/>
    <x v="3"/>
    <x v="0"/>
    <x v="0"/>
    <n v="18720"/>
    <n v="2"/>
    <n v="49659"/>
    <n v="0.15"/>
    <n v="2"/>
    <n v="14897.7"/>
    <n v="84420.3"/>
    <n v="54408.083082897138"/>
    <n v="30012.216917102869"/>
  </r>
  <r>
    <x v="1975"/>
    <x v="2"/>
    <x v="0"/>
    <x v="5"/>
    <n v="47661"/>
    <n v="21"/>
    <n v="27667"/>
    <n v="0.2"/>
    <n v="5"/>
    <n v="116201.4"/>
    <n v="464805.6"/>
    <n v="398152.86697405367"/>
    <n v="66652.733025946305"/>
  </r>
  <r>
    <x v="1976"/>
    <x v="0"/>
    <x v="4"/>
    <x v="5"/>
    <n v="97318"/>
    <n v="20"/>
    <n v="29491"/>
    <n v="0.05"/>
    <n v="5"/>
    <n v="29491"/>
    <n v="560329"/>
    <n v="449688.20424500009"/>
    <n v="110640.7957549999"/>
  </r>
  <r>
    <x v="1977"/>
    <x v="0"/>
    <x v="4"/>
    <x v="4"/>
    <n v="31120"/>
    <n v="23"/>
    <n v="18301"/>
    <n v="0.05"/>
    <n v="3"/>
    <n v="21046.15"/>
    <n v="399876.85"/>
    <n v="260347.78463321619"/>
    <n v="139529.06536678379"/>
  </r>
  <r>
    <x v="1978"/>
    <x v="0"/>
    <x v="4"/>
    <x v="3"/>
    <n v="29790"/>
    <n v="21"/>
    <n v="7858"/>
    <n v="0.05"/>
    <n v="1"/>
    <n v="8250.9"/>
    <n v="156767.1"/>
    <n v="102984.8648088695"/>
    <n v="53782.235191130538"/>
  </r>
  <r>
    <x v="1979"/>
    <x v="3"/>
    <x v="2"/>
    <x v="1"/>
    <n v="68655"/>
    <n v="24"/>
    <n v="23088"/>
    <n v="0"/>
    <n v="1"/>
    <n v="0"/>
    <n v="554112"/>
    <n v="486482.73330594948"/>
    <n v="67629.266694050515"/>
  </r>
  <r>
    <x v="1980"/>
    <x v="2"/>
    <x v="0"/>
    <x v="1"/>
    <n v="69643"/>
    <n v="4"/>
    <n v="18171"/>
    <n v="0.2"/>
    <n v="5"/>
    <n v="14536.8"/>
    <n v="58147.199999999997"/>
    <n v="35450.289902153971"/>
    <n v="22696.91009784603"/>
  </r>
  <r>
    <x v="1981"/>
    <x v="1"/>
    <x v="4"/>
    <x v="4"/>
    <n v="57374"/>
    <n v="12"/>
    <n v="18002"/>
    <n v="0.05"/>
    <n v="2"/>
    <n v="10801.2"/>
    <n v="205222.8"/>
    <n v="151610.49484829581"/>
    <n v="53612.305151704197"/>
  </r>
  <r>
    <x v="1982"/>
    <x v="1"/>
    <x v="1"/>
    <x v="1"/>
    <n v="52907"/>
    <n v="22"/>
    <n v="25628"/>
    <n v="0.2"/>
    <n v="3"/>
    <n v="112763.2"/>
    <n v="451052.79999999999"/>
    <n v="313049.8521766765"/>
    <n v="138002.94782332351"/>
  </r>
  <r>
    <x v="1983"/>
    <x v="0"/>
    <x v="1"/>
    <x v="5"/>
    <n v="60071"/>
    <n v="20"/>
    <n v="32145"/>
    <n v="0.05"/>
    <n v="1"/>
    <n v="32145"/>
    <n v="610755"/>
    <n v="488312.811559872"/>
    <n v="122442.188440128"/>
  </r>
  <r>
    <x v="1984"/>
    <x v="3"/>
    <x v="2"/>
    <x v="0"/>
    <n v="44812"/>
    <n v="18"/>
    <n v="8137"/>
    <n v="0.1"/>
    <n v="5"/>
    <n v="14646.6"/>
    <n v="131819.4"/>
    <n v="112295.47262751361"/>
    <n v="19523.927372486389"/>
  </r>
  <r>
    <x v="1985"/>
    <x v="3"/>
    <x v="2"/>
    <x v="1"/>
    <n v="59570"/>
    <n v="1"/>
    <n v="1160"/>
    <n v="0.2"/>
    <n v="2"/>
    <n v="232"/>
    <n v="928"/>
    <n v="657.12926904134895"/>
    <n v="270.87073095865111"/>
  </r>
  <r>
    <x v="1986"/>
    <x v="3"/>
    <x v="3"/>
    <x v="4"/>
    <n v="60901"/>
    <n v="30"/>
    <n v="42175"/>
    <n v="0.15"/>
    <n v="2"/>
    <n v="189787.5"/>
    <n v="1075462.5"/>
    <n v="783012.655826231"/>
    <n v="292449.844173769"/>
  </r>
  <r>
    <x v="1987"/>
    <x v="1"/>
    <x v="3"/>
    <x v="3"/>
    <n v="70186"/>
    <n v="33"/>
    <n v="7422"/>
    <n v="0"/>
    <n v="2"/>
    <n v="0"/>
    <n v="244926"/>
    <n v="219104.75858603799"/>
    <n v="25821.241413962009"/>
  </r>
  <r>
    <x v="1988"/>
    <x v="0"/>
    <x v="3"/>
    <x v="4"/>
    <n v="60251"/>
    <n v="24"/>
    <n v="28661"/>
    <n v="0.15"/>
    <n v="4"/>
    <n v="103179.6"/>
    <n v="584684.4"/>
    <n v="488313.76623356371"/>
    <n v="96370.633766436309"/>
  </r>
  <r>
    <x v="1989"/>
    <x v="2"/>
    <x v="2"/>
    <x v="2"/>
    <n v="75171"/>
    <n v="14"/>
    <n v="45221"/>
    <n v="0.2"/>
    <n v="2"/>
    <n v="126618.8"/>
    <n v="506475.2"/>
    <n v="440208.61249635147"/>
    <n v="66266.587503648479"/>
  </r>
  <r>
    <x v="1990"/>
    <x v="1"/>
    <x v="2"/>
    <x v="4"/>
    <n v="46160"/>
    <n v="36"/>
    <n v="4470"/>
    <n v="0.05"/>
    <n v="5"/>
    <n v="8046"/>
    <n v="152874"/>
    <n v="111847.0007159692"/>
    <n v="41026.999284030833"/>
  </r>
  <r>
    <x v="1991"/>
    <x v="0"/>
    <x v="2"/>
    <x v="5"/>
    <n v="29156"/>
    <n v="5"/>
    <n v="3907"/>
    <n v="0.2"/>
    <n v="3"/>
    <n v="3907"/>
    <n v="15628"/>
    <n v="10474.242874759129"/>
    <n v="5153.7571252408743"/>
  </r>
  <r>
    <x v="1992"/>
    <x v="0"/>
    <x v="1"/>
    <x v="0"/>
    <n v="86208"/>
    <n v="11"/>
    <n v="28343"/>
    <n v="0"/>
    <n v="5"/>
    <n v="0"/>
    <n v="311773"/>
    <n v="225586.17245817909"/>
    <n v="86186.827541820938"/>
  </r>
  <r>
    <x v="1993"/>
    <x v="2"/>
    <x v="2"/>
    <x v="0"/>
    <n v="89980"/>
    <n v="24"/>
    <n v="9546"/>
    <n v="0.2"/>
    <n v="2"/>
    <n v="45820.800000000003"/>
    <n v="183283.20000000001"/>
    <n v="149344.2054582891"/>
    <n v="33938.994541710941"/>
  </r>
  <r>
    <x v="1994"/>
    <x v="2"/>
    <x v="1"/>
    <x v="1"/>
    <n v="82320"/>
    <n v="31"/>
    <n v="24300"/>
    <n v="0.05"/>
    <n v="3"/>
    <n v="37665"/>
    <n v="715635"/>
    <n v="452874.66832943878"/>
    <n v="262760.33167056122"/>
  </r>
  <r>
    <x v="1995"/>
    <x v="2"/>
    <x v="3"/>
    <x v="5"/>
    <n v="27929"/>
    <n v="13"/>
    <n v="15047"/>
    <n v="0.15"/>
    <n v="1"/>
    <n v="29341.65"/>
    <n v="166269.35"/>
    <n v="113252.8267157815"/>
    <n v="53016.523284218543"/>
  </r>
  <r>
    <x v="1996"/>
    <x v="3"/>
    <x v="3"/>
    <x v="2"/>
    <n v="76606"/>
    <n v="16"/>
    <n v="38028"/>
    <n v="0.1"/>
    <n v="1"/>
    <n v="60844.800000000003"/>
    <n v="547603.19999999995"/>
    <n v="336223.31049829448"/>
    <n v="211379.8895017055"/>
  </r>
  <r>
    <x v="1997"/>
    <x v="2"/>
    <x v="3"/>
    <x v="5"/>
    <n v="98442"/>
    <n v="24"/>
    <n v="31889"/>
    <n v="0.15"/>
    <n v="5"/>
    <n v="114800.4"/>
    <n v="650535.6"/>
    <n v="474698.63861053181"/>
    <n v="175836.9613894682"/>
  </r>
  <r>
    <x v="1998"/>
    <x v="0"/>
    <x v="4"/>
    <x v="4"/>
    <n v="72559"/>
    <n v="13"/>
    <n v="30846"/>
    <n v="0.05"/>
    <n v="3"/>
    <n v="20049.900000000001"/>
    <n v="380948.1"/>
    <n v="323133.02429236053"/>
    <n v="57815.075707639451"/>
  </r>
  <r>
    <x v="1999"/>
    <x v="2"/>
    <x v="4"/>
    <x v="5"/>
    <n v="64205"/>
    <n v="24"/>
    <n v="23248"/>
    <n v="0.05"/>
    <n v="5"/>
    <n v="27897.599999999999"/>
    <n v="530054.40000000002"/>
    <n v="321954.56895077671"/>
    <n v="208099.8310492233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91DE3EF-8CC3-436C-88D2-E41DE53E47F3}" name="Products_by_region" cacheId="15" applyNumberFormats="0" applyBorderFormats="0" applyFontFormats="0" applyPatternFormats="0" applyAlignmentFormats="0" applyWidthHeightFormats="1" dataCaption="Values" updatedVersion="8" minRefreshableVersion="5" useAutoFormatting="1" rowGrandTotals="0" colGrandTotals="0" itemPrintTitles="1" createdVersion="8" indent="0" outline="1" outlineData="1" multipleFieldFilters="0" chartFormat="29">
  <location ref="D11:H17" firstHeaderRow="1" firstDataRow="2" firstDataCol="1"/>
  <pivotFields count="13">
    <pivotField numFmtId="14"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axis="axisCol" showAll="0">
      <items count="5">
        <item x="0"/>
        <item x="2"/>
        <item x="3"/>
        <item x="1"/>
        <item t="default"/>
      </items>
    </pivotField>
    <pivotField axis="axisRow" showAll="0">
      <items count="6">
        <item x="2"/>
        <item x="1"/>
        <item x="3"/>
        <item x="0"/>
        <item x="4"/>
        <item t="default"/>
      </items>
    </pivotField>
    <pivotField showAll="0">
      <items count="7">
        <item x="2"/>
        <item x="5"/>
        <item x="1"/>
        <item x="0"/>
        <item x="3"/>
        <item x="4"/>
        <item t="default"/>
      </items>
    </pivotField>
    <pivotField showAll="0"/>
    <pivotField numFmtId="2" showAll="0"/>
    <pivotField numFmtId="168" showAll="0"/>
    <pivotField numFmtId="10" showAll="0"/>
    <pivotField showAll="0"/>
    <pivotField numFmtId="168" showAll="0"/>
    <pivotField dataField="1" numFmtId="168" showAll="0"/>
    <pivotField numFmtId="168" showAll="0"/>
    <pivotField numFmtId="168" showAll="0"/>
  </pivotFields>
  <rowFields count="1">
    <field x="2"/>
  </rowFields>
  <rowItems count="5">
    <i>
      <x/>
    </i>
    <i>
      <x v="1"/>
    </i>
    <i>
      <x v="2"/>
    </i>
    <i>
      <x v="3"/>
    </i>
    <i>
      <x v="4"/>
    </i>
  </rowItems>
  <colFields count="1">
    <field x="1"/>
  </colFields>
  <colItems count="4">
    <i>
      <x/>
    </i>
    <i>
      <x v="1"/>
    </i>
    <i>
      <x v="2"/>
    </i>
    <i>
      <x v="3"/>
    </i>
  </colItems>
  <dataFields count="1">
    <dataField name="Sum of Total_Sale" fld="10" baseField="0" baseItem="0" numFmtId="168"/>
  </dataFields>
  <conditionalFormats count="1">
    <conditionalFormat priority="3">
      <pivotAreas count="1">
        <pivotArea type="data" outline="0" collapsedLevelsAreSubtotals="1" fieldPosition="0">
          <references count="1">
            <reference field="4294967294" count="1" selected="0">
              <x v="0"/>
            </reference>
          </references>
        </pivotArea>
      </pivotAreas>
    </conditionalFormat>
  </conditionalFormats>
  <chartFormats count="4">
    <chartFormat chart="22" format="8" series="1">
      <pivotArea type="data" outline="0" fieldPosition="0">
        <references count="2">
          <reference field="4294967294" count="1" selected="0">
            <x v="0"/>
          </reference>
          <reference field="1" count="1" selected="0">
            <x v="0"/>
          </reference>
        </references>
      </pivotArea>
    </chartFormat>
    <chartFormat chart="22" format="9" series="1">
      <pivotArea type="data" outline="0" fieldPosition="0">
        <references count="2">
          <reference field="4294967294" count="1" selected="0">
            <x v="0"/>
          </reference>
          <reference field="1" count="1" selected="0">
            <x v="1"/>
          </reference>
        </references>
      </pivotArea>
    </chartFormat>
    <chartFormat chart="22" format="10" series="1">
      <pivotArea type="data" outline="0" fieldPosition="0">
        <references count="2">
          <reference field="4294967294" count="1" selected="0">
            <x v="0"/>
          </reference>
          <reference field="1" count="1" selected="0">
            <x v="2"/>
          </reference>
        </references>
      </pivotArea>
    </chartFormat>
    <chartFormat chart="22" format="11" series="1">
      <pivotArea type="data" outline="0" fieldPosition="0">
        <references count="2">
          <reference field="4294967294" count="1" selected="0">
            <x v="0"/>
          </reference>
          <reference field="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20CABC2-209C-480D-BD27-DC2994D372A8}" name="Products" cacheId="15"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location ref="A11:B16" firstHeaderRow="1" firstDataRow="1" firstDataCol="1"/>
  <pivotFields count="13">
    <pivotField numFmtId="14"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axis="axisRow" showAll="0">
      <items count="6">
        <item x="2"/>
        <item x="1"/>
        <item x="3"/>
        <item x="0"/>
        <item x="4"/>
        <item t="default"/>
      </items>
    </pivotField>
    <pivotField showAll="0">
      <items count="7">
        <item x="2"/>
        <item x="5"/>
        <item x="1"/>
        <item x="0"/>
        <item x="3"/>
        <item x="4"/>
        <item t="default"/>
      </items>
    </pivotField>
    <pivotField showAll="0"/>
    <pivotField numFmtId="2" showAll="0"/>
    <pivotField numFmtId="168" showAll="0"/>
    <pivotField numFmtId="10" showAll="0"/>
    <pivotField showAll="0"/>
    <pivotField numFmtId="168" showAll="0"/>
    <pivotField numFmtId="168" showAll="0"/>
    <pivotField numFmtId="168" showAll="0"/>
    <pivotField dataField="1" numFmtId="168" showAll="0"/>
  </pivotFields>
  <rowFields count="1">
    <field x="2"/>
  </rowFields>
  <rowItems count="5">
    <i>
      <x/>
    </i>
    <i>
      <x v="1"/>
    </i>
    <i>
      <x v="2"/>
    </i>
    <i>
      <x v="3"/>
    </i>
    <i>
      <x v="4"/>
    </i>
  </rowItems>
  <colItems count="1">
    <i/>
  </colItems>
  <dataFields count="1">
    <dataField name="Sum of Profit" fld="12" baseField="0" baseItem="0" numFmtId="168"/>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BBDAB4F-B449-467A-A86F-2466191467CC}" name="Salesperson" cacheId="15" applyNumberFormats="0" applyBorderFormats="0" applyFontFormats="0" applyPatternFormats="0" applyAlignmentFormats="0" applyWidthHeightFormats="1" dataCaption="Values" updatedVersion="8" minRefreshableVersion="5" useAutoFormatting="1" rowGrandTotals="0" itemPrintTitles="1" createdVersion="8" indent="0" outline="1" outlineData="1" multipleFieldFilters="0" chartFormat="9">
  <location ref="D1:E7" firstHeaderRow="1" firstDataRow="1" firstDataCol="1"/>
  <pivotFields count="13">
    <pivotField numFmtId="14"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showAll="0"/>
    <pivotField showAll="0"/>
    <pivotField axis="axisRow" showAll="0">
      <items count="7">
        <item x="2"/>
        <item x="5"/>
        <item x="1"/>
        <item x="0"/>
        <item x="3"/>
        <item x="4"/>
        <item t="default"/>
      </items>
    </pivotField>
    <pivotField showAll="0"/>
    <pivotField numFmtId="2" showAll="0"/>
    <pivotField numFmtId="168" showAll="0"/>
    <pivotField numFmtId="10" showAll="0"/>
    <pivotField showAll="0"/>
    <pivotField numFmtId="168" showAll="0"/>
    <pivotField dataField="1" numFmtId="168" showAll="0"/>
    <pivotField numFmtId="168" showAll="0"/>
    <pivotField numFmtId="168" showAll="0"/>
  </pivotFields>
  <rowFields count="1">
    <field x="3"/>
  </rowFields>
  <rowItems count="6">
    <i>
      <x/>
    </i>
    <i>
      <x v="1"/>
    </i>
    <i>
      <x v="2"/>
    </i>
    <i>
      <x v="3"/>
    </i>
    <i>
      <x v="4"/>
    </i>
    <i>
      <x v="5"/>
    </i>
  </rowItems>
  <colItems count="1">
    <i/>
  </colItems>
  <dataFields count="1">
    <dataField name="Sum of Total_Sale" fld="10" baseField="0" baseItem="0" numFmtId="168"/>
  </dataFields>
  <formats count="1">
    <format dxfId="17">
      <pivotArea outline="0" collapsedLevelsAreSubtotals="1" fieldPosition="0"/>
    </format>
  </formats>
  <conditionalFormats count="1">
    <conditionalFormat priority="1">
      <pivotAreas count="1">
        <pivotArea type="data" outline="0" collapsedLevelsAreSubtotals="1" fieldPosition="0">
          <references count="1">
            <reference field="4294967294" count="1" selected="0">
              <x v="0"/>
            </reference>
          </references>
        </pivotArea>
      </pivotAreas>
    </conditionalFormat>
  </conditionalFormats>
  <chartFormats count="7">
    <chartFormat chart="4" format="15" series="1">
      <pivotArea type="data" outline="0" fieldPosition="0">
        <references count="1">
          <reference field="4294967294" count="1" selected="0">
            <x v="0"/>
          </reference>
        </references>
      </pivotArea>
    </chartFormat>
    <chartFormat chart="4" format="16">
      <pivotArea type="data" outline="0" fieldPosition="0">
        <references count="2">
          <reference field="4294967294" count="1" selected="0">
            <x v="0"/>
          </reference>
          <reference field="3" count="1" selected="0">
            <x v="0"/>
          </reference>
        </references>
      </pivotArea>
    </chartFormat>
    <chartFormat chart="4" format="17">
      <pivotArea type="data" outline="0" fieldPosition="0">
        <references count="2">
          <reference field="4294967294" count="1" selected="0">
            <x v="0"/>
          </reference>
          <reference field="3" count="1" selected="0">
            <x v="1"/>
          </reference>
        </references>
      </pivotArea>
    </chartFormat>
    <chartFormat chart="4" format="18">
      <pivotArea type="data" outline="0" fieldPosition="0">
        <references count="2">
          <reference field="4294967294" count="1" selected="0">
            <x v="0"/>
          </reference>
          <reference field="3" count="1" selected="0">
            <x v="2"/>
          </reference>
        </references>
      </pivotArea>
    </chartFormat>
    <chartFormat chart="4" format="19">
      <pivotArea type="data" outline="0" fieldPosition="0">
        <references count="2">
          <reference field="4294967294" count="1" selected="0">
            <x v="0"/>
          </reference>
          <reference field="3" count="1" selected="0">
            <x v="3"/>
          </reference>
        </references>
      </pivotArea>
    </chartFormat>
    <chartFormat chart="4" format="20">
      <pivotArea type="data" outline="0" fieldPosition="0">
        <references count="2">
          <reference field="4294967294" count="1" selected="0">
            <x v="0"/>
          </reference>
          <reference field="3" count="1" selected="0">
            <x v="4"/>
          </reference>
        </references>
      </pivotArea>
    </chartFormat>
    <chartFormat chart="4" format="21">
      <pivotArea type="data" outline="0" fieldPosition="0">
        <references count="2">
          <reference field="4294967294" count="1" selected="0">
            <x v="0"/>
          </reference>
          <reference field="3"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E7331DB-5393-4998-951C-C72319C74A04}" name="Region" cacheId="15"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1:B6" firstHeaderRow="1" firstDataRow="1" firstDataCol="1"/>
  <pivotFields count="13">
    <pivotField numFmtId="14" showAll="0">
      <items count="2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t="default"/>
      </items>
    </pivotField>
    <pivotField axis="axisRow" showAll="0">
      <items count="5">
        <item x="0"/>
        <item x="2"/>
        <item x="3"/>
        <item x="1"/>
        <item t="default"/>
      </items>
    </pivotField>
    <pivotField showAll="0"/>
    <pivotField showAll="0">
      <items count="7">
        <item x="2"/>
        <item x="5"/>
        <item x="1"/>
        <item x="0"/>
        <item x="3"/>
        <item x="4"/>
        <item t="default"/>
      </items>
    </pivotField>
    <pivotField showAll="0"/>
    <pivotField numFmtId="2" showAll="0"/>
    <pivotField numFmtId="168" showAll="0"/>
    <pivotField numFmtId="10" showAll="0"/>
    <pivotField showAll="0"/>
    <pivotField numFmtId="168" showAll="0"/>
    <pivotField dataField="1" numFmtId="168" showAll="0"/>
    <pivotField numFmtId="168" showAll="0"/>
    <pivotField numFmtId="168" showAll="0"/>
  </pivotFields>
  <rowFields count="1">
    <field x="1"/>
  </rowFields>
  <rowItems count="5">
    <i>
      <x/>
    </i>
    <i>
      <x v="1"/>
    </i>
    <i>
      <x v="2"/>
    </i>
    <i>
      <x v="3"/>
    </i>
    <i t="grand">
      <x/>
    </i>
  </rowItems>
  <colItems count="1">
    <i/>
  </colItems>
  <dataFields count="1">
    <dataField name="Sum of Total_Sale" fld="10" baseField="0" baseItem="0" numFmtId="168"/>
  </dataFields>
  <chartFormats count="2">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FD839A0-056D-4A8C-B21D-2FFFC51AF4BF}" sourceName="Salesperson">
  <pivotTables>
    <pivotTable tabId="2" name="Region"/>
    <pivotTable tabId="2" name="Products_by_region"/>
    <pivotTable tabId="2" name="Products"/>
  </pivotTables>
  <data>
    <tabular pivotCacheId="1552410427">
      <items count="6">
        <i x="2" s="1"/>
        <i x="5" s="1"/>
        <i x="1" s="1"/>
        <i x="0"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person" xr10:uid="{1625FEB2-3C02-4778-AD21-D06C4311656C}" cache="Slicer_Salesperson" caption="Salesperson" columnCoun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FEE901E-580E-493B-B0D1-57B14CEA8AE1}" name="Table2" displayName="Table2" ref="A1:G9" headerRowCount="0" totalsRowShown="0" headerRowDxfId="15" dataDxfId="16" tableBorderDxfId="7">
  <tableColumns count="7">
    <tableColumn id="1" xr3:uid="{5F4052AC-F30B-4E2F-87B5-116E6272A340}" name="Column1" headerRowDxfId="8" dataDxfId="6"/>
    <tableColumn id="2" xr3:uid="{4569CA1F-9F6A-4558-A37A-3B7EBE018559}" name="Column2" headerRowDxfId="9" dataDxfId="5"/>
    <tableColumn id="3" xr3:uid="{0DFED1B6-9FB0-4B7C-9AB4-5F40952405E3}" name="Column3" headerRowDxfId="10" dataDxfId="4"/>
    <tableColumn id="4" xr3:uid="{FCF5213C-F9D0-4162-A6C0-8ECC16BD7C66}" name="Column4" headerRowDxfId="11" dataDxfId="3"/>
    <tableColumn id="5" xr3:uid="{6B7FB4D0-7179-4205-A4B7-13223DAF6C11}" name="Column5" headerRowDxfId="12" dataDxfId="2"/>
    <tableColumn id="6" xr3:uid="{4B206A75-741A-444D-B12F-D0F57FA4E32B}" name="Column6" headerRowDxfId="13" dataDxfId="1"/>
    <tableColumn id="7" xr3:uid="{43DE2DE4-9C93-4485-A4DB-A2BBE115B0AC}" name="Column7" headerRowDxfId="14" dataDxfId="0"/>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2BF065B-3E57-461E-98E3-B26C6C3F581D}" name="Data" displayName="Data" ref="A1:M2001" totalsRowShown="0" headerRowDxfId="32" dataDxfId="18" headerRowBorderDxfId="33" tableBorderDxfId="34">
  <autoFilter ref="A1:M2001" xr:uid="{A2BF065B-3E57-461E-98E3-B26C6C3F581D}">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autoFilter>
  <tableColumns count="13">
    <tableColumn id="1" xr3:uid="{EC2A8DB8-3778-4FC3-BAA7-070CF61C8EA2}" name="Date" dataDxfId="31"/>
    <tableColumn id="2" xr3:uid="{4A02D98D-4217-4F4E-B686-E2103B69B6C4}" name="Region" dataDxfId="30"/>
    <tableColumn id="3" xr3:uid="{99311CCB-5E31-4DE8-960B-DD4BDACD4FAD}" name="Product" dataDxfId="29"/>
    <tableColumn id="4" xr3:uid="{B7C029C5-73BF-49A2-8BC0-D64B893AE9E2}" name="Salesperson" dataDxfId="28"/>
    <tableColumn id="5" xr3:uid="{FB617BC5-CB57-4217-BFD7-AC2C54558416}" name="Customer_ID" dataDxfId="27"/>
    <tableColumn id="6" xr3:uid="{3F42DD13-0E27-4C52-AE5B-DD07E3CDB6E9}" name="Units_Sold" dataDxfId="26"/>
    <tableColumn id="7" xr3:uid="{4206474C-DE93-43A8-AAFF-6090C62C19D3}" name="Unit_Price" dataDxfId="25"/>
    <tableColumn id="8" xr3:uid="{7F9AAAA9-E557-4F45-BC9A-AF4CF0E29451}" name="Discount" dataDxfId="24"/>
    <tableColumn id="9" xr3:uid="{90244B1E-E175-4B1E-BFFD-C0158BC68A8D}" name="Rating" dataDxfId="23"/>
    <tableColumn id="10" xr3:uid="{5AD2ACAC-3695-44AD-9D83-CB7B2EC7CF6D}" name="Discount_Amount" dataDxfId="22"/>
    <tableColumn id="11" xr3:uid="{3ABACE51-C7C7-4CC7-BC42-A102A685F607}" name="Total_Sale" dataDxfId="21"/>
    <tableColumn id="12" xr3:uid="{FBC5F942-F4D0-4DCB-AE79-C53ADB5B030C}" name="Cost" dataDxfId="20"/>
    <tableColumn id="13" xr3:uid="{47451D63-9C47-4842-9FE4-3B5A27D7144F}" name="Profit" dataDxfId="19"/>
  </tableColumns>
  <tableStyleInfo name="TableStyleLight1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3743BE20-BD43-4345-B66B-6ADBBB725D08}" sourceName="Date">
  <pivotTables>
    <pivotTable tabId="2" name="Salesperson"/>
    <pivotTable tabId="2" name="Products"/>
    <pivotTable tabId="2" name="Products_by_region"/>
    <pivotTable tabId="2" name="Region"/>
  </pivotTables>
  <state minimalRefreshVersion="6" lastRefreshVersion="6" pivotCacheId="1552410427" filterType="unknown">
    <bounds startDate="2023-01-01T00:00:00" endDate="202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32E5677C-4D2A-48EB-AFBD-6C676CBFB98E}" cache="NativeTimeline_Date" caption="Date" level="1" selectionLevel="1" scrollPosition="2023-01-01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98C0CD-57A3-41EF-9081-239EF4AF870E}">
  <dimension ref="A3:H25"/>
  <sheetViews>
    <sheetView showGridLines="0" tabSelected="1" zoomScale="85" zoomScaleNormal="85" workbookViewId="0">
      <selection activeCell="S7" sqref="S7"/>
    </sheetView>
  </sheetViews>
  <sheetFormatPr defaultRowHeight="15" x14ac:dyDescent="0.25"/>
  <cols>
    <col min="3" max="3" width="20.5703125" customWidth="1"/>
    <col min="4" max="4" width="2.85546875" customWidth="1"/>
    <col min="5" max="5" width="9.140625" customWidth="1"/>
    <col min="8" max="8" width="10.28515625" customWidth="1"/>
    <col min="9" max="9" width="2.85546875" customWidth="1"/>
    <col min="18" max="18" width="2.7109375" customWidth="1"/>
    <col min="26" max="26" width="3.140625" customWidth="1"/>
  </cols>
  <sheetData>
    <row r="3" spans="1:8" ht="15.75" thickBot="1" x14ac:dyDescent="0.3"/>
    <row r="4" spans="1:8" x14ac:dyDescent="0.25">
      <c r="A4" s="18" t="s">
        <v>33</v>
      </c>
      <c r="B4" s="19"/>
      <c r="C4" s="20"/>
      <c r="D4" s="17"/>
      <c r="E4" s="18" t="s">
        <v>34</v>
      </c>
      <c r="F4" s="30"/>
      <c r="G4" s="30"/>
      <c r="H4" s="31"/>
    </row>
    <row r="5" spans="1:8" x14ac:dyDescent="0.25">
      <c r="A5" s="21"/>
      <c r="B5" s="22"/>
      <c r="C5" s="23"/>
      <c r="D5" s="17"/>
      <c r="E5" s="32"/>
      <c r="F5" s="33"/>
      <c r="G5" s="33"/>
      <c r="H5" s="34"/>
    </row>
    <row r="6" spans="1:8" x14ac:dyDescent="0.25">
      <c r="A6" s="24" t="str">
        <f>_xlfn.XLOOKUP(MAX('Pivot tables'!E2:E7),'Pivot tables'!E2:E7,'Pivot tables'!D2:D7,"Not available",0)</f>
        <v>Kiran</v>
      </c>
      <c r="B6" s="25"/>
      <c r="C6" s="26">
        <f>VLOOKUP(A6,'Pivot tables'!D2:E7,2,TRUE)</f>
        <v>192863851.45000011</v>
      </c>
      <c r="D6" s="17"/>
      <c r="E6" s="24" t="str">
        <f>INDEX('Pivot tables'!A12:A16,MATCH(MAX('Pivot tables'!B12:B16),'Pivot tables'!B12:B16,0))</f>
        <v>Monitor</v>
      </c>
      <c r="F6" s="25"/>
      <c r="G6" s="35">
        <f>INDEX('Pivot tables'!B12:B16,MATCH(Dashboard!E6,'Pivot tables'!A12:A16,0))</f>
        <v>61633843.249333538</v>
      </c>
      <c r="H6" s="26"/>
    </row>
    <row r="7" spans="1:8" ht="15.75" thickBot="1" x14ac:dyDescent="0.3">
      <c r="A7" s="27"/>
      <c r="B7" s="28"/>
      <c r="C7" s="29"/>
      <c r="D7" s="17"/>
      <c r="E7" s="27"/>
      <c r="F7" s="28"/>
      <c r="G7" s="36"/>
      <c r="H7" s="29"/>
    </row>
    <row r="25" ht="27" customHeight="1" x14ac:dyDescent="0.25"/>
  </sheetData>
  <mergeCells count="6">
    <mergeCell ref="A4:C5"/>
    <mergeCell ref="A6:B7"/>
    <mergeCell ref="C6:C7"/>
    <mergeCell ref="E4:H5"/>
    <mergeCell ref="E6:F7"/>
    <mergeCell ref="G6:H7"/>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E17FC0-CC4F-4276-8AC1-42E3947AC153}">
  <dimension ref="A1:H17"/>
  <sheetViews>
    <sheetView workbookViewId="0">
      <selection activeCell="B15" sqref="B15"/>
    </sheetView>
  </sheetViews>
  <sheetFormatPr defaultRowHeight="15" x14ac:dyDescent="0.25"/>
  <cols>
    <col min="1" max="1" width="13.140625" bestFit="1" customWidth="1"/>
    <col min="2" max="2" width="17.7109375" bestFit="1" customWidth="1"/>
    <col min="4" max="4" width="16.85546875" bestFit="1" customWidth="1"/>
    <col min="5" max="5" width="16.28515625" bestFit="1" customWidth="1"/>
    <col min="6" max="10" width="15" bestFit="1" customWidth="1"/>
    <col min="11" max="11" width="16" bestFit="1" customWidth="1"/>
    <col min="12" max="12" width="13.140625" bestFit="1" customWidth="1"/>
    <col min="13" max="13" width="17.7109375" bestFit="1" customWidth="1"/>
  </cols>
  <sheetData>
    <row r="1" spans="1:8" x14ac:dyDescent="0.25">
      <c r="A1" s="9" t="s">
        <v>28</v>
      </c>
      <c r="B1" t="s">
        <v>31</v>
      </c>
      <c r="D1" s="9" t="s">
        <v>28</v>
      </c>
      <c r="E1" t="s">
        <v>31</v>
      </c>
    </row>
    <row r="2" spans="1:8" x14ac:dyDescent="0.25">
      <c r="A2" s="10" t="s">
        <v>13</v>
      </c>
      <c r="B2" s="6">
        <v>271390976.60000008</v>
      </c>
      <c r="D2" s="10" t="s">
        <v>22</v>
      </c>
      <c r="E2" s="11">
        <v>178520554.44999996</v>
      </c>
    </row>
    <row r="3" spans="1:8" x14ac:dyDescent="0.25">
      <c r="A3" s="10" t="s">
        <v>19</v>
      </c>
      <c r="B3" s="6">
        <v>294373004.79999989</v>
      </c>
      <c r="D3" s="10" t="s">
        <v>27</v>
      </c>
      <c r="E3" s="11">
        <v>186405467.15000001</v>
      </c>
    </row>
    <row r="4" spans="1:8" x14ac:dyDescent="0.25">
      <c r="A4" s="10" t="s">
        <v>24</v>
      </c>
      <c r="B4" s="6">
        <v>273659770.55000013</v>
      </c>
      <c r="D4" s="10" t="s">
        <v>18</v>
      </c>
      <c r="E4" s="11">
        <v>192863851.45000011</v>
      </c>
    </row>
    <row r="5" spans="1:8" x14ac:dyDescent="0.25">
      <c r="A5" s="10" t="s">
        <v>16</v>
      </c>
      <c r="B5" s="6">
        <v>272406608.75000006</v>
      </c>
      <c r="D5" s="10" t="s">
        <v>15</v>
      </c>
      <c r="E5" s="11">
        <v>186832451.5500001</v>
      </c>
    </row>
    <row r="6" spans="1:8" x14ac:dyDescent="0.25">
      <c r="A6" s="10" t="s">
        <v>29</v>
      </c>
      <c r="B6" s="6">
        <v>1111830360.7</v>
      </c>
      <c r="D6" s="10" t="s">
        <v>25</v>
      </c>
      <c r="E6" s="11">
        <v>186167782.75</v>
      </c>
    </row>
    <row r="7" spans="1:8" x14ac:dyDescent="0.25">
      <c r="D7" s="10" t="s">
        <v>26</v>
      </c>
      <c r="E7" s="11">
        <v>181040253.35000011</v>
      </c>
    </row>
    <row r="11" spans="1:8" x14ac:dyDescent="0.25">
      <c r="A11" s="9" t="s">
        <v>28</v>
      </c>
      <c r="B11" t="s">
        <v>30</v>
      </c>
      <c r="D11" s="9" t="s">
        <v>31</v>
      </c>
      <c r="E11" s="9" t="s">
        <v>32</v>
      </c>
    </row>
    <row r="12" spans="1:8" x14ac:dyDescent="0.25">
      <c r="A12" s="10" t="s">
        <v>20</v>
      </c>
      <c r="B12" s="6">
        <v>55782943.086615421</v>
      </c>
      <c r="D12" s="9" t="s">
        <v>28</v>
      </c>
      <c r="E12" t="s">
        <v>13</v>
      </c>
      <c r="F12" t="s">
        <v>19</v>
      </c>
      <c r="G12" t="s">
        <v>24</v>
      </c>
      <c r="H12" t="s">
        <v>16</v>
      </c>
    </row>
    <row r="13" spans="1:8" x14ac:dyDescent="0.25">
      <c r="A13" s="10" t="s">
        <v>17</v>
      </c>
      <c r="B13" s="6">
        <v>51170087.781289607</v>
      </c>
      <c r="D13" s="10" t="s">
        <v>20</v>
      </c>
      <c r="E13" s="6">
        <v>46626665.299999997</v>
      </c>
      <c r="F13" s="6">
        <v>70216939.800000012</v>
      </c>
      <c r="G13" s="6">
        <v>50002272.899999999</v>
      </c>
      <c r="H13" s="6">
        <v>55674741.649999999</v>
      </c>
    </row>
    <row r="14" spans="1:8" x14ac:dyDescent="0.25">
      <c r="A14" s="10" t="s">
        <v>21</v>
      </c>
      <c r="B14" s="6">
        <v>56003445.616100155</v>
      </c>
      <c r="D14" s="10" t="s">
        <v>17</v>
      </c>
      <c r="E14" s="6">
        <v>60615558.949999973</v>
      </c>
      <c r="F14" s="6">
        <v>51659841.300000019</v>
      </c>
      <c r="G14" s="6">
        <v>52640132.350000001</v>
      </c>
      <c r="H14" s="6">
        <v>43224823.999999993</v>
      </c>
    </row>
    <row r="15" spans="1:8" x14ac:dyDescent="0.25">
      <c r="A15" s="10" t="s">
        <v>14</v>
      </c>
      <c r="B15" s="6">
        <v>61633843.249333538</v>
      </c>
      <c r="D15" s="10" t="s">
        <v>21</v>
      </c>
      <c r="E15" s="6">
        <v>50671895.250000015</v>
      </c>
      <c r="F15" s="6">
        <v>55346467.149999991</v>
      </c>
      <c r="G15" s="6">
        <v>67013151.699999973</v>
      </c>
      <c r="H15" s="6">
        <v>50927289.399999991</v>
      </c>
    </row>
    <row r="16" spans="1:8" x14ac:dyDescent="0.25">
      <c r="A16" s="10" t="s">
        <v>23</v>
      </c>
      <c r="B16" s="6">
        <v>53791235.813351445</v>
      </c>
      <c r="D16" s="10" t="s">
        <v>14</v>
      </c>
      <c r="E16" s="6">
        <v>64244523.899999984</v>
      </c>
      <c r="F16" s="6">
        <v>59803995.199999988</v>
      </c>
      <c r="G16" s="6">
        <v>60868247.649999984</v>
      </c>
      <c r="H16" s="6">
        <v>61973239.700000003</v>
      </c>
    </row>
    <row r="17" spans="4:8" x14ac:dyDescent="0.25">
      <c r="D17" s="10" t="s">
        <v>23</v>
      </c>
      <c r="E17" s="6">
        <v>49232333.200000025</v>
      </c>
      <c r="F17" s="6">
        <v>57345761.349999994</v>
      </c>
      <c r="G17" s="6">
        <v>43135965.949999996</v>
      </c>
      <c r="H17" s="6">
        <v>60606513.999999993</v>
      </c>
    </row>
  </sheetData>
  <conditionalFormatting pivot="1" sqref="E13:H17">
    <cfRule type="dataBar" priority="3">
      <dataBar>
        <cfvo type="min"/>
        <cfvo type="max"/>
        <color rgb="FF638EC6"/>
      </dataBar>
      <extLst>
        <ext xmlns:x14="http://schemas.microsoft.com/office/spreadsheetml/2009/9/main" uri="{B025F937-C7B1-47D3-B67F-A62EFF666E3E}">
          <x14:id>{E13806C6-39EF-422F-AD39-57CF127EB7D1}</x14:id>
        </ext>
      </extLst>
    </cfRule>
  </conditionalFormatting>
  <conditionalFormatting pivot="1" sqref="E2:E7">
    <cfRule type="colorScale" priority="1">
      <colorScale>
        <cfvo type="min"/>
        <cfvo type="percentile" val="50"/>
        <cfvo type="max"/>
        <color theme="4" tint="-0.499984740745262"/>
        <color theme="4" tint="0.39997558519241921"/>
        <color theme="4" tint="0.79998168889431442"/>
      </colorScale>
    </cfRule>
  </conditionalFormatting>
  <pageMargins left="0.7" right="0.7" top="0.75" bottom="0.75" header="0.3" footer="0.3"/>
  <pageSetup paperSize="9" orientation="portrait" r:id="rId5"/>
  <extLst>
    <ext xmlns:x14="http://schemas.microsoft.com/office/spreadsheetml/2009/9/main" uri="{78C0D931-6437-407d-A8EE-F0AAD7539E65}">
      <x14:conditionalFormattings>
        <x14:conditionalFormatting xmlns:xm="http://schemas.microsoft.com/office/excel/2006/main" pivot="1">
          <x14:cfRule type="dataBar" id="{E13806C6-39EF-422F-AD39-57CF127EB7D1}">
            <x14:dataBar minLength="0" maxLength="100" border="1" negativeBarBorderColorSameAsPositive="0">
              <x14:cfvo type="autoMin"/>
              <x14:cfvo type="autoMax"/>
              <x14:borderColor rgb="FF638EC6"/>
              <x14:negativeFillColor rgb="FFFF0000"/>
              <x14:negativeBorderColor rgb="FFFF0000"/>
              <x14:axisColor rgb="FF000000"/>
            </x14:dataBar>
          </x14:cfRule>
          <xm:sqref>E13:H17</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C58B5-CBD4-4350-9A68-0DBA65E7C1C8}">
  <dimension ref="A1:G11"/>
  <sheetViews>
    <sheetView workbookViewId="0">
      <selection activeCell="H11" sqref="H11"/>
    </sheetView>
  </sheetViews>
  <sheetFormatPr defaultRowHeight="15" x14ac:dyDescent="0.25"/>
  <cols>
    <col min="6" max="7" width="9.140625" customWidth="1"/>
  </cols>
  <sheetData>
    <row r="1" spans="1:7" x14ac:dyDescent="0.25">
      <c r="A1" s="37" t="s">
        <v>35</v>
      </c>
      <c r="B1" s="37" t="s">
        <v>36</v>
      </c>
      <c r="C1" s="37" t="s">
        <v>37</v>
      </c>
      <c r="D1" s="37" t="s">
        <v>38</v>
      </c>
      <c r="E1" s="37" t="s">
        <v>49</v>
      </c>
      <c r="F1" s="37" t="s">
        <v>51</v>
      </c>
      <c r="G1" s="37" t="s">
        <v>50</v>
      </c>
    </row>
    <row r="2" spans="1:7" x14ac:dyDescent="0.25">
      <c r="A2" s="38" t="s">
        <v>39</v>
      </c>
      <c r="B2" s="38">
        <v>78</v>
      </c>
      <c r="C2" s="38">
        <v>82</v>
      </c>
      <c r="D2" s="38">
        <v>75</v>
      </c>
      <c r="E2" s="39">
        <f>SUM(B2:D2)</f>
        <v>235</v>
      </c>
      <c r="F2" s="39" t="str">
        <f>IF(AVERAGE(B2:D2)&gt;50,"Pass","Fail")</f>
        <v>Pass</v>
      </c>
      <c r="G2" s="39" t="str">
        <f>IF(AVERAGE(B2:D2)&gt;80,"A",IF(AVERAGE(B2:D2)&gt;70,"B",IF(AVERAGE(B2:D2)&gt;60,"C",IF(AVERAGE(B2:D2)&gt;=50,"D","F"))))</f>
        <v>B</v>
      </c>
    </row>
    <row r="3" spans="1:7" x14ac:dyDescent="0.25">
      <c r="A3" s="38" t="s">
        <v>40</v>
      </c>
      <c r="B3" s="38">
        <v>91</v>
      </c>
      <c r="C3" s="38">
        <v>88</v>
      </c>
      <c r="D3" s="38">
        <v>84</v>
      </c>
      <c r="E3" s="39">
        <f t="shared" ref="E3:E11" si="0">SUM(B3:D3)</f>
        <v>263</v>
      </c>
      <c r="F3" s="39" t="str">
        <f t="shared" ref="F3:F11" si="1">IF(AVERAGE(B3:D3)&gt;50,"Pass","Fail")</f>
        <v>Pass</v>
      </c>
      <c r="G3" s="39" t="str">
        <f t="shared" ref="G3:G11" si="2">IF(AVERAGE(B3:D3)&gt;80,"A",IF(AVERAGE(B3:D3)&gt;70,"B",IF(AVERAGE(B3:D3)&gt;60,"C",IF(AVERAGE(B3:D3)&gt;=50,"D","F"))))</f>
        <v>A</v>
      </c>
    </row>
    <row r="4" spans="1:7" x14ac:dyDescent="0.25">
      <c r="A4" s="38" t="s">
        <v>41</v>
      </c>
      <c r="B4" s="38">
        <v>67</v>
      </c>
      <c r="C4" s="38">
        <v>72</v>
      </c>
      <c r="D4" s="38">
        <v>69</v>
      </c>
      <c r="E4" s="39">
        <f t="shared" si="0"/>
        <v>208</v>
      </c>
      <c r="F4" s="39" t="str">
        <f t="shared" si="1"/>
        <v>Pass</v>
      </c>
      <c r="G4" s="39" t="str">
        <f t="shared" si="2"/>
        <v>C</v>
      </c>
    </row>
    <row r="5" spans="1:7" x14ac:dyDescent="0.25">
      <c r="A5" s="38" t="s">
        <v>42</v>
      </c>
      <c r="B5" s="38">
        <v>85</v>
      </c>
      <c r="C5" s="38">
        <v>79</v>
      </c>
      <c r="D5" s="38">
        <v>90</v>
      </c>
      <c r="E5" s="39">
        <f t="shared" si="0"/>
        <v>254</v>
      </c>
      <c r="F5" s="39" t="str">
        <f t="shared" si="1"/>
        <v>Pass</v>
      </c>
      <c r="G5" s="39" t="str">
        <f t="shared" si="2"/>
        <v>A</v>
      </c>
    </row>
    <row r="6" spans="1:7" x14ac:dyDescent="0.25">
      <c r="A6" s="38" t="s">
        <v>43</v>
      </c>
      <c r="B6" s="38">
        <v>55</v>
      </c>
      <c r="C6" s="38">
        <v>40</v>
      </c>
      <c r="D6" s="38">
        <v>45</v>
      </c>
      <c r="E6" s="39">
        <f t="shared" si="0"/>
        <v>140</v>
      </c>
      <c r="F6" s="39" t="str">
        <f t="shared" si="1"/>
        <v>Fail</v>
      </c>
      <c r="G6" s="39" t="str">
        <f t="shared" si="2"/>
        <v>F</v>
      </c>
    </row>
    <row r="7" spans="1:7" x14ac:dyDescent="0.25">
      <c r="A7" s="38" t="s">
        <v>44</v>
      </c>
      <c r="B7" s="38">
        <v>92</v>
      </c>
      <c r="C7" s="38">
        <v>95</v>
      </c>
      <c r="D7" s="38">
        <v>89</v>
      </c>
      <c r="E7" s="39">
        <f t="shared" si="0"/>
        <v>276</v>
      </c>
      <c r="F7" s="39" t="str">
        <f t="shared" si="1"/>
        <v>Pass</v>
      </c>
      <c r="G7" s="39" t="str">
        <f t="shared" si="2"/>
        <v>A</v>
      </c>
    </row>
    <row r="8" spans="1:7" x14ac:dyDescent="0.25">
      <c r="A8" s="38" t="s">
        <v>45</v>
      </c>
      <c r="B8" s="38">
        <v>56</v>
      </c>
      <c r="C8" s="38">
        <v>35</v>
      </c>
      <c r="D8" s="38">
        <v>45</v>
      </c>
      <c r="E8" s="39">
        <f t="shared" si="0"/>
        <v>136</v>
      </c>
      <c r="F8" s="39" t="str">
        <f t="shared" si="1"/>
        <v>Fail</v>
      </c>
      <c r="G8" s="39" t="str">
        <f t="shared" si="2"/>
        <v>F</v>
      </c>
    </row>
    <row r="9" spans="1:7" x14ac:dyDescent="0.25">
      <c r="A9" s="38" t="s">
        <v>46</v>
      </c>
      <c r="B9" s="38">
        <v>88</v>
      </c>
      <c r="C9" s="38">
        <v>84</v>
      </c>
      <c r="D9" s="38">
        <v>91</v>
      </c>
      <c r="E9" s="39">
        <f t="shared" si="0"/>
        <v>263</v>
      </c>
      <c r="F9" s="39" t="str">
        <f t="shared" si="1"/>
        <v>Pass</v>
      </c>
      <c r="G9" s="39" t="str">
        <f t="shared" si="2"/>
        <v>A</v>
      </c>
    </row>
    <row r="10" spans="1:7" x14ac:dyDescent="0.25">
      <c r="A10" s="38" t="s">
        <v>47</v>
      </c>
      <c r="B10" s="38">
        <v>35</v>
      </c>
      <c r="C10" s="38">
        <v>45</v>
      </c>
      <c r="D10" s="38">
        <v>56</v>
      </c>
      <c r="E10" s="39">
        <f t="shared" si="0"/>
        <v>136</v>
      </c>
      <c r="F10" s="39" t="str">
        <f t="shared" si="1"/>
        <v>Fail</v>
      </c>
      <c r="G10" s="39" t="str">
        <f t="shared" si="2"/>
        <v>F</v>
      </c>
    </row>
    <row r="11" spans="1:7" x14ac:dyDescent="0.25">
      <c r="A11" s="38" t="s">
        <v>48</v>
      </c>
      <c r="B11" s="38">
        <v>80</v>
      </c>
      <c r="C11" s="38">
        <v>86</v>
      </c>
      <c r="D11" s="38">
        <v>83</v>
      </c>
      <c r="E11" s="39">
        <f t="shared" si="0"/>
        <v>249</v>
      </c>
      <c r="F11" s="39" t="str">
        <f t="shared" si="1"/>
        <v>Pass</v>
      </c>
      <c r="G11" s="39" t="str">
        <f t="shared" si="2"/>
        <v>A</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9A32A-CB99-454B-9649-068DEAFD4592}">
  <dimension ref="A1:G9"/>
  <sheetViews>
    <sheetView showGridLines="0" workbookViewId="0">
      <selection activeCell="A14" sqref="A14"/>
    </sheetView>
  </sheetViews>
  <sheetFormatPr defaultRowHeight="15" x14ac:dyDescent="0.25"/>
  <cols>
    <col min="1" max="7" width="11" customWidth="1"/>
  </cols>
  <sheetData>
    <row r="1" spans="1:7" x14ac:dyDescent="0.25">
      <c r="A1" s="40" t="s">
        <v>52</v>
      </c>
      <c r="B1" s="40"/>
      <c r="C1" s="40"/>
      <c r="D1" s="40"/>
      <c r="E1" s="40"/>
      <c r="F1" s="40"/>
      <c r="G1" s="40"/>
    </row>
    <row r="2" spans="1:7" x14ac:dyDescent="0.25">
      <c r="A2" s="40" t="s">
        <v>55</v>
      </c>
      <c r="B2" s="40"/>
      <c r="C2" s="40"/>
      <c r="D2" s="40"/>
      <c r="E2" s="40"/>
      <c r="F2" s="40"/>
      <c r="G2" s="40"/>
    </row>
    <row r="3" spans="1:7" x14ac:dyDescent="0.25">
      <c r="A3" s="40" t="s">
        <v>53</v>
      </c>
      <c r="B3" s="40"/>
      <c r="C3" s="40"/>
      <c r="D3" s="40"/>
      <c r="E3" s="40"/>
      <c r="F3" s="40"/>
      <c r="G3" s="40"/>
    </row>
    <row r="4" spans="1:7" x14ac:dyDescent="0.25">
      <c r="A4" s="40" t="s">
        <v>54</v>
      </c>
      <c r="B4" s="40"/>
      <c r="C4" s="40"/>
      <c r="D4" s="40"/>
      <c r="E4" s="40"/>
      <c r="F4" s="40"/>
      <c r="G4" s="40"/>
    </row>
    <row r="5" spans="1:7" x14ac:dyDescent="0.25">
      <c r="A5" s="40" t="s">
        <v>58</v>
      </c>
      <c r="B5" s="40"/>
      <c r="C5" s="40"/>
      <c r="D5" s="40"/>
      <c r="E5" s="40"/>
      <c r="F5" s="40"/>
      <c r="G5" s="40"/>
    </row>
    <row r="6" spans="1:7" x14ac:dyDescent="0.25">
      <c r="A6" s="40" t="s">
        <v>56</v>
      </c>
      <c r="B6" s="40"/>
      <c r="C6" s="40"/>
      <c r="D6" s="40"/>
      <c r="E6" s="40"/>
      <c r="F6" s="40"/>
      <c r="G6" s="40"/>
    </row>
    <row r="7" spans="1:7" x14ac:dyDescent="0.25">
      <c r="A7" s="40" t="s">
        <v>57</v>
      </c>
      <c r="B7" s="40"/>
      <c r="C7" s="40"/>
      <c r="D7" s="40"/>
      <c r="E7" s="40"/>
      <c r="F7" s="40"/>
      <c r="G7" s="40"/>
    </row>
    <row r="8" spans="1:7" x14ac:dyDescent="0.25">
      <c r="A8" s="40" t="s">
        <v>59</v>
      </c>
      <c r="B8" s="40"/>
      <c r="C8" s="40"/>
      <c r="D8" s="40"/>
      <c r="E8" s="40"/>
      <c r="F8" s="40"/>
      <c r="G8" s="40"/>
    </row>
    <row r="9" spans="1:7" x14ac:dyDescent="0.25">
      <c r="A9" s="40" t="s">
        <v>60</v>
      </c>
      <c r="B9" s="40"/>
      <c r="C9" s="40"/>
      <c r="D9" s="40"/>
      <c r="E9" s="40"/>
      <c r="F9" s="40"/>
      <c r="G9" s="40"/>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2001"/>
  <sheetViews>
    <sheetView workbookViewId="0">
      <selection activeCell="C4" sqref="A2:M2001"/>
    </sheetView>
  </sheetViews>
  <sheetFormatPr defaultRowHeight="15" x14ac:dyDescent="0.25"/>
  <cols>
    <col min="1" max="1" width="10.42578125" bestFit="1" customWidth="1"/>
    <col min="2" max="2" width="9.28515625" customWidth="1"/>
    <col min="3" max="3" width="10" customWidth="1"/>
    <col min="4" max="4" width="13.85546875" customWidth="1"/>
    <col min="5" max="5" width="14.5703125" style="3" customWidth="1"/>
    <col min="6" max="6" width="14.7109375" style="11" customWidth="1"/>
    <col min="7" max="7" width="12.42578125" style="6" customWidth="1"/>
    <col min="8" max="8" width="10.85546875" style="8" customWidth="1"/>
    <col min="9" max="9" width="10.42578125" style="3" bestFit="1" customWidth="1"/>
    <col min="10" max="10" width="19" style="6" customWidth="1"/>
    <col min="11" max="11" width="14.7109375" style="6" customWidth="1"/>
    <col min="12" max="12" width="13.42578125" style="6" bestFit="1" customWidth="1"/>
    <col min="13" max="13" width="12.28515625" style="6" bestFit="1" customWidth="1"/>
  </cols>
  <sheetData>
    <row r="1" spans="1:13" x14ac:dyDescent="0.25">
      <c r="A1" s="1" t="s">
        <v>0</v>
      </c>
      <c r="B1" s="2" t="s">
        <v>1</v>
      </c>
      <c r="C1" s="2" t="s">
        <v>2</v>
      </c>
      <c r="D1" s="2" t="s">
        <v>3</v>
      </c>
      <c r="E1" s="4" t="s">
        <v>4</v>
      </c>
      <c r="F1" s="2" t="s">
        <v>5</v>
      </c>
      <c r="G1" s="5" t="s">
        <v>6</v>
      </c>
      <c r="H1" s="7" t="s">
        <v>7</v>
      </c>
      <c r="I1" s="4" t="s">
        <v>8</v>
      </c>
      <c r="J1" s="5" t="s">
        <v>9</v>
      </c>
      <c r="K1" s="5" t="s">
        <v>10</v>
      </c>
      <c r="L1" s="5" t="s">
        <v>11</v>
      </c>
      <c r="M1" s="5" t="s">
        <v>12</v>
      </c>
    </row>
    <row r="2" spans="1:13" x14ac:dyDescent="0.25">
      <c r="A2" s="12">
        <v>44927</v>
      </c>
      <c r="B2" s="12" t="s">
        <v>13</v>
      </c>
      <c r="C2" s="12" t="s">
        <v>14</v>
      </c>
      <c r="D2" s="12" t="s">
        <v>15</v>
      </c>
      <c r="E2" s="13">
        <v>35416</v>
      </c>
      <c r="F2" s="14">
        <v>39</v>
      </c>
      <c r="G2" s="15">
        <v>39849</v>
      </c>
      <c r="H2" s="16">
        <v>0</v>
      </c>
      <c r="I2" s="13">
        <v>1</v>
      </c>
      <c r="J2" s="15">
        <v>0</v>
      </c>
      <c r="K2" s="15">
        <v>1554111</v>
      </c>
      <c r="L2" s="15">
        <v>1019533.9365305509</v>
      </c>
      <c r="M2" s="15">
        <v>534577.06346944906</v>
      </c>
    </row>
    <row r="3" spans="1:13" x14ac:dyDescent="0.25">
      <c r="A3" s="12">
        <v>44928</v>
      </c>
      <c r="B3" s="12" t="s">
        <v>16</v>
      </c>
      <c r="C3" s="12" t="s">
        <v>17</v>
      </c>
      <c r="D3" s="12" t="s">
        <v>18</v>
      </c>
      <c r="E3" s="13">
        <v>11814</v>
      </c>
      <c r="F3" s="14">
        <v>22</v>
      </c>
      <c r="G3" s="15">
        <v>29877</v>
      </c>
      <c r="H3" s="16">
        <v>0.05</v>
      </c>
      <c r="I3" s="13">
        <v>5</v>
      </c>
      <c r="J3" s="15">
        <v>32864.699999999997</v>
      </c>
      <c r="K3" s="15">
        <v>624429.30000000005</v>
      </c>
      <c r="L3" s="15">
        <v>470235.71356962732</v>
      </c>
      <c r="M3" s="15">
        <v>154193.58643037279</v>
      </c>
    </row>
    <row r="4" spans="1:13" x14ac:dyDescent="0.25">
      <c r="A4" s="12">
        <v>44929</v>
      </c>
      <c r="B4" s="12" t="s">
        <v>19</v>
      </c>
      <c r="C4" s="12" t="s">
        <v>20</v>
      </c>
      <c r="D4" s="12" t="s">
        <v>15</v>
      </c>
      <c r="E4" s="13">
        <v>88537</v>
      </c>
      <c r="F4" s="14">
        <v>18</v>
      </c>
      <c r="G4" s="15">
        <v>30531</v>
      </c>
      <c r="H4" s="16">
        <v>0</v>
      </c>
      <c r="I4" s="13">
        <v>5</v>
      </c>
      <c r="J4" s="15">
        <v>0</v>
      </c>
      <c r="K4" s="15">
        <v>549558</v>
      </c>
      <c r="L4" s="15">
        <v>416966.68007068062</v>
      </c>
      <c r="M4" s="15">
        <v>132591.3199293194</v>
      </c>
    </row>
    <row r="5" spans="1:13" x14ac:dyDescent="0.25">
      <c r="A5" s="12">
        <v>44930</v>
      </c>
      <c r="B5" s="12" t="s">
        <v>13</v>
      </c>
      <c r="C5" s="12" t="s">
        <v>21</v>
      </c>
      <c r="D5" s="12" t="s">
        <v>15</v>
      </c>
      <c r="E5" s="13">
        <v>60258</v>
      </c>
      <c r="F5" s="14">
        <v>48</v>
      </c>
      <c r="G5" s="15">
        <v>43233</v>
      </c>
      <c r="H5" s="16">
        <v>0.15</v>
      </c>
      <c r="I5" s="13">
        <v>4</v>
      </c>
      <c r="J5" s="15">
        <v>311277.59999999998</v>
      </c>
      <c r="K5" s="15">
        <v>1763906.4</v>
      </c>
      <c r="L5" s="15">
        <v>1522006.055499051</v>
      </c>
      <c r="M5" s="15">
        <v>241900.34450094911</v>
      </c>
    </row>
    <row r="6" spans="1:13" x14ac:dyDescent="0.25">
      <c r="A6" s="12">
        <v>44931</v>
      </c>
      <c r="B6" s="12" t="s">
        <v>13</v>
      </c>
      <c r="C6" s="12" t="s">
        <v>20</v>
      </c>
      <c r="D6" s="12" t="s">
        <v>22</v>
      </c>
      <c r="E6" s="13">
        <v>26508</v>
      </c>
      <c r="F6" s="14">
        <v>46</v>
      </c>
      <c r="G6" s="15">
        <v>12260</v>
      </c>
      <c r="H6" s="16">
        <v>0.15</v>
      </c>
      <c r="I6" s="13">
        <v>3</v>
      </c>
      <c r="J6" s="15">
        <v>84594</v>
      </c>
      <c r="K6" s="15">
        <v>479366</v>
      </c>
      <c r="L6" s="15">
        <v>354130.80904687388</v>
      </c>
      <c r="M6" s="15">
        <v>125235.1909531261</v>
      </c>
    </row>
    <row r="7" spans="1:13" x14ac:dyDescent="0.25">
      <c r="A7" s="12">
        <v>44932</v>
      </c>
      <c r="B7" s="12" t="s">
        <v>16</v>
      </c>
      <c r="C7" s="12" t="s">
        <v>21</v>
      </c>
      <c r="D7" s="12" t="s">
        <v>18</v>
      </c>
      <c r="E7" s="13">
        <v>95166</v>
      </c>
      <c r="F7" s="14">
        <v>32</v>
      </c>
      <c r="G7" s="15">
        <v>48190</v>
      </c>
      <c r="H7" s="16">
        <v>0.2</v>
      </c>
      <c r="I7" s="13">
        <v>3</v>
      </c>
      <c r="J7" s="15">
        <v>308416</v>
      </c>
      <c r="K7" s="15">
        <v>1233664</v>
      </c>
      <c r="L7" s="15">
        <v>843619.81691556657</v>
      </c>
      <c r="M7" s="15">
        <v>390044.18308443337</v>
      </c>
    </row>
    <row r="8" spans="1:13" x14ac:dyDescent="0.25">
      <c r="A8" s="12">
        <v>44933</v>
      </c>
      <c r="B8" s="12" t="s">
        <v>19</v>
      </c>
      <c r="C8" s="12" t="s">
        <v>23</v>
      </c>
      <c r="D8" s="12" t="s">
        <v>22</v>
      </c>
      <c r="E8" s="13">
        <v>88916</v>
      </c>
      <c r="F8" s="14">
        <v>27</v>
      </c>
      <c r="G8" s="15">
        <v>34214</v>
      </c>
      <c r="H8" s="16">
        <v>0.05</v>
      </c>
      <c r="I8" s="13">
        <v>1</v>
      </c>
      <c r="J8" s="15">
        <v>46188.9</v>
      </c>
      <c r="K8" s="15">
        <v>877589.1</v>
      </c>
      <c r="L8" s="15">
        <v>587361.52489835816</v>
      </c>
      <c r="M8" s="15">
        <v>290227.57510164182</v>
      </c>
    </row>
    <row r="9" spans="1:13" x14ac:dyDescent="0.25">
      <c r="A9" s="12">
        <v>44934</v>
      </c>
      <c r="B9" s="12" t="s">
        <v>19</v>
      </c>
      <c r="C9" s="12" t="s">
        <v>21</v>
      </c>
      <c r="D9" s="12" t="s">
        <v>15</v>
      </c>
      <c r="E9" s="13">
        <v>45699</v>
      </c>
      <c r="F9" s="14">
        <v>28</v>
      </c>
      <c r="G9" s="15">
        <v>26262</v>
      </c>
      <c r="H9" s="16">
        <v>0.1</v>
      </c>
      <c r="I9" s="13">
        <v>2</v>
      </c>
      <c r="J9" s="15">
        <v>73533.600000000006</v>
      </c>
      <c r="K9" s="15">
        <v>661802.4</v>
      </c>
      <c r="L9" s="15">
        <v>570656.03705825936</v>
      </c>
      <c r="M9" s="15">
        <v>91146.362941740663</v>
      </c>
    </row>
    <row r="10" spans="1:13" x14ac:dyDescent="0.25">
      <c r="A10" s="12">
        <v>44935</v>
      </c>
      <c r="B10" s="12" t="s">
        <v>13</v>
      </c>
      <c r="C10" s="12" t="s">
        <v>14</v>
      </c>
      <c r="D10" s="12" t="s">
        <v>18</v>
      </c>
      <c r="E10" s="13">
        <v>56335</v>
      </c>
      <c r="F10" s="14">
        <v>18</v>
      </c>
      <c r="G10" s="15">
        <v>34832</v>
      </c>
      <c r="H10" s="16">
        <v>0.05</v>
      </c>
      <c r="I10" s="13">
        <v>1</v>
      </c>
      <c r="J10" s="15">
        <v>31348.799999999999</v>
      </c>
      <c r="K10" s="15">
        <v>595627.19999999995</v>
      </c>
      <c r="L10" s="15">
        <v>387933.93491602113</v>
      </c>
      <c r="M10" s="15">
        <v>207693.26508397891</v>
      </c>
    </row>
    <row r="11" spans="1:13" x14ac:dyDescent="0.25">
      <c r="A11" s="12">
        <v>44936</v>
      </c>
      <c r="B11" s="12" t="s">
        <v>24</v>
      </c>
      <c r="C11" s="12" t="s">
        <v>17</v>
      </c>
      <c r="D11" s="12" t="s">
        <v>15</v>
      </c>
      <c r="E11" s="13">
        <v>56806</v>
      </c>
      <c r="F11" s="14">
        <v>39</v>
      </c>
      <c r="G11" s="15">
        <v>40600</v>
      </c>
      <c r="H11" s="16">
        <v>0</v>
      </c>
      <c r="I11" s="13">
        <v>5</v>
      </c>
      <c r="J11" s="15">
        <v>0</v>
      </c>
      <c r="K11" s="15">
        <v>1583400</v>
      </c>
      <c r="L11" s="15">
        <v>1152336.0837907109</v>
      </c>
      <c r="M11" s="15">
        <v>431063.91620928911</v>
      </c>
    </row>
    <row r="12" spans="1:13" x14ac:dyDescent="0.25">
      <c r="A12" s="12">
        <v>44937</v>
      </c>
      <c r="B12" s="12" t="s">
        <v>13</v>
      </c>
      <c r="C12" s="12" t="s">
        <v>23</v>
      </c>
      <c r="D12" s="12" t="s">
        <v>25</v>
      </c>
      <c r="E12" s="13">
        <v>87853</v>
      </c>
      <c r="F12" s="14">
        <v>49</v>
      </c>
      <c r="G12" s="15">
        <v>5444</v>
      </c>
      <c r="H12" s="16">
        <v>0.15</v>
      </c>
      <c r="I12" s="13">
        <v>2</v>
      </c>
      <c r="J12" s="15">
        <v>40013.4</v>
      </c>
      <c r="K12" s="15">
        <v>226742.6</v>
      </c>
      <c r="L12" s="15">
        <v>148777.59561859039</v>
      </c>
      <c r="M12" s="15">
        <v>77965.004381409584</v>
      </c>
    </row>
    <row r="13" spans="1:13" x14ac:dyDescent="0.25">
      <c r="A13" s="12">
        <v>44938</v>
      </c>
      <c r="B13" s="12" t="s">
        <v>13</v>
      </c>
      <c r="C13" s="12" t="s">
        <v>21</v>
      </c>
      <c r="D13" s="12" t="s">
        <v>18</v>
      </c>
      <c r="E13" s="13">
        <v>73768</v>
      </c>
      <c r="F13" s="14">
        <v>29</v>
      </c>
      <c r="G13" s="15">
        <v>49325</v>
      </c>
      <c r="H13" s="16">
        <v>0</v>
      </c>
      <c r="I13" s="13">
        <v>1</v>
      </c>
      <c r="J13" s="15">
        <v>0</v>
      </c>
      <c r="K13" s="15">
        <v>1430425</v>
      </c>
      <c r="L13" s="15">
        <v>1190101.0294741821</v>
      </c>
      <c r="M13" s="15">
        <v>240323.97052581841</v>
      </c>
    </row>
    <row r="14" spans="1:13" x14ac:dyDescent="0.25">
      <c r="A14" s="12">
        <v>44939</v>
      </c>
      <c r="B14" s="12" t="s">
        <v>13</v>
      </c>
      <c r="C14" s="12" t="s">
        <v>20</v>
      </c>
      <c r="D14" s="12" t="s">
        <v>18</v>
      </c>
      <c r="E14" s="13">
        <v>45739</v>
      </c>
      <c r="F14" s="14">
        <v>18</v>
      </c>
      <c r="G14" s="15">
        <v>14377</v>
      </c>
      <c r="H14" s="16">
        <v>0.2</v>
      </c>
      <c r="I14" s="13">
        <v>4</v>
      </c>
      <c r="J14" s="15">
        <v>51757.2</v>
      </c>
      <c r="K14" s="15">
        <v>207028.8</v>
      </c>
      <c r="L14" s="15">
        <v>153679.91952203319</v>
      </c>
      <c r="M14" s="15">
        <v>53348.88047796677</v>
      </c>
    </row>
    <row r="15" spans="1:13" x14ac:dyDescent="0.25">
      <c r="A15" s="12">
        <v>44940</v>
      </c>
      <c r="B15" s="12" t="s">
        <v>13</v>
      </c>
      <c r="C15" s="12" t="s">
        <v>23</v>
      </c>
      <c r="D15" s="12" t="s">
        <v>15</v>
      </c>
      <c r="E15" s="13">
        <v>44785</v>
      </c>
      <c r="F15" s="14">
        <v>44</v>
      </c>
      <c r="G15" s="15">
        <v>30490</v>
      </c>
      <c r="H15" s="16">
        <v>0.15</v>
      </c>
      <c r="I15" s="13">
        <v>5</v>
      </c>
      <c r="J15" s="15">
        <v>201234</v>
      </c>
      <c r="K15" s="15">
        <v>1140326</v>
      </c>
      <c r="L15" s="15">
        <v>804321.08402336622</v>
      </c>
      <c r="M15" s="15">
        <v>336004.91597663378</v>
      </c>
    </row>
    <row r="16" spans="1:13" x14ac:dyDescent="0.25">
      <c r="A16" s="12">
        <v>44941</v>
      </c>
      <c r="B16" s="12" t="s">
        <v>16</v>
      </c>
      <c r="C16" s="12" t="s">
        <v>23</v>
      </c>
      <c r="D16" s="12" t="s">
        <v>25</v>
      </c>
      <c r="E16" s="13">
        <v>41980</v>
      </c>
      <c r="F16" s="14">
        <v>8</v>
      </c>
      <c r="G16" s="15">
        <v>43407</v>
      </c>
      <c r="H16" s="16">
        <v>0.1</v>
      </c>
      <c r="I16" s="13">
        <v>3</v>
      </c>
      <c r="J16" s="15">
        <v>34725.599999999999</v>
      </c>
      <c r="K16" s="15">
        <v>312530.40000000002</v>
      </c>
      <c r="L16" s="15">
        <v>221374.62453745381</v>
      </c>
      <c r="M16" s="15">
        <v>91155.775462546211</v>
      </c>
    </row>
    <row r="17" spans="1:13" x14ac:dyDescent="0.25">
      <c r="A17" s="12">
        <v>44942</v>
      </c>
      <c r="B17" s="12" t="s">
        <v>19</v>
      </c>
      <c r="C17" s="12" t="s">
        <v>21</v>
      </c>
      <c r="D17" s="12" t="s">
        <v>26</v>
      </c>
      <c r="E17" s="13">
        <v>99335</v>
      </c>
      <c r="F17" s="14">
        <v>31</v>
      </c>
      <c r="G17" s="15">
        <v>34576</v>
      </c>
      <c r="H17" s="16">
        <v>0.15</v>
      </c>
      <c r="I17" s="13">
        <v>1</v>
      </c>
      <c r="J17" s="15">
        <v>160778.4</v>
      </c>
      <c r="K17" s="15">
        <v>911077.6</v>
      </c>
      <c r="L17" s="15">
        <v>779576.54224412271</v>
      </c>
      <c r="M17" s="15">
        <v>131501.05775587729</v>
      </c>
    </row>
    <row r="18" spans="1:13" x14ac:dyDescent="0.25">
      <c r="A18" s="12">
        <v>44943</v>
      </c>
      <c r="B18" s="12" t="s">
        <v>16</v>
      </c>
      <c r="C18" s="12" t="s">
        <v>23</v>
      </c>
      <c r="D18" s="12" t="s">
        <v>22</v>
      </c>
      <c r="E18" s="13">
        <v>95016</v>
      </c>
      <c r="F18" s="14">
        <v>34</v>
      </c>
      <c r="G18" s="15">
        <v>3758</v>
      </c>
      <c r="H18" s="16">
        <v>0.05</v>
      </c>
      <c r="I18" s="13">
        <v>5</v>
      </c>
      <c r="J18" s="15">
        <v>6388.6</v>
      </c>
      <c r="K18" s="15">
        <v>121383.4</v>
      </c>
      <c r="L18" s="15">
        <v>92995.729621111052</v>
      </c>
      <c r="M18" s="15">
        <v>28387.670378888939</v>
      </c>
    </row>
    <row r="19" spans="1:13" x14ac:dyDescent="0.25">
      <c r="A19" s="12">
        <v>44944</v>
      </c>
      <c r="B19" s="12" t="s">
        <v>16</v>
      </c>
      <c r="C19" s="12" t="s">
        <v>20</v>
      </c>
      <c r="D19" s="12" t="s">
        <v>15</v>
      </c>
      <c r="E19" s="13">
        <v>11609</v>
      </c>
      <c r="F19" s="14">
        <v>7</v>
      </c>
      <c r="G19" s="15">
        <v>32129</v>
      </c>
      <c r="H19" s="16">
        <v>0.05</v>
      </c>
      <c r="I19" s="13">
        <v>5</v>
      </c>
      <c r="J19" s="15">
        <v>11245.15</v>
      </c>
      <c r="K19" s="15">
        <v>213657.85</v>
      </c>
      <c r="L19" s="15">
        <v>174208.1404970478</v>
      </c>
      <c r="M19" s="15">
        <v>39449.709502952232</v>
      </c>
    </row>
    <row r="20" spans="1:13" x14ac:dyDescent="0.25">
      <c r="A20" s="12">
        <v>44945</v>
      </c>
      <c r="B20" s="12" t="s">
        <v>16</v>
      </c>
      <c r="C20" s="12" t="s">
        <v>23</v>
      </c>
      <c r="D20" s="12" t="s">
        <v>18</v>
      </c>
      <c r="E20" s="13">
        <v>76253</v>
      </c>
      <c r="F20" s="14">
        <v>36</v>
      </c>
      <c r="G20" s="15">
        <v>38079</v>
      </c>
      <c r="H20" s="16">
        <v>0.15</v>
      </c>
      <c r="I20" s="13">
        <v>3</v>
      </c>
      <c r="J20" s="15">
        <v>205626.6</v>
      </c>
      <c r="K20" s="15">
        <v>1165217.3999999999</v>
      </c>
      <c r="L20" s="15">
        <v>1012703.906281644</v>
      </c>
      <c r="M20" s="15">
        <v>152513.49371835589</v>
      </c>
    </row>
    <row r="21" spans="1:13" x14ac:dyDescent="0.25">
      <c r="A21" s="12">
        <v>44946</v>
      </c>
      <c r="B21" s="12" t="s">
        <v>13</v>
      </c>
      <c r="C21" s="12" t="s">
        <v>20</v>
      </c>
      <c r="D21" s="12" t="s">
        <v>22</v>
      </c>
      <c r="E21" s="13">
        <v>95481</v>
      </c>
      <c r="F21" s="14">
        <v>18</v>
      </c>
      <c r="G21" s="15">
        <v>23458</v>
      </c>
      <c r="H21" s="16">
        <v>0.2</v>
      </c>
      <c r="I21" s="13">
        <v>3</v>
      </c>
      <c r="J21" s="15">
        <v>84448.8</v>
      </c>
      <c r="K21" s="15">
        <v>337795.2</v>
      </c>
      <c r="L21" s="15">
        <v>294058.32294194523</v>
      </c>
      <c r="M21" s="15">
        <v>43736.877058054837</v>
      </c>
    </row>
    <row r="22" spans="1:13" x14ac:dyDescent="0.25">
      <c r="A22" s="12">
        <v>44947</v>
      </c>
      <c r="B22" s="12" t="s">
        <v>24</v>
      </c>
      <c r="C22" s="12" t="s">
        <v>21</v>
      </c>
      <c r="D22" s="12" t="s">
        <v>22</v>
      </c>
      <c r="E22" s="13">
        <v>38141</v>
      </c>
      <c r="F22" s="14">
        <v>38</v>
      </c>
      <c r="G22" s="15">
        <v>39965</v>
      </c>
      <c r="H22" s="16">
        <v>0.05</v>
      </c>
      <c r="I22" s="13">
        <v>3</v>
      </c>
      <c r="J22" s="15">
        <v>75933.5</v>
      </c>
      <c r="K22" s="15">
        <v>1442736.5</v>
      </c>
      <c r="L22" s="15">
        <v>1007827.500982116</v>
      </c>
      <c r="M22" s="15">
        <v>434908.99901788449</v>
      </c>
    </row>
    <row r="23" spans="1:13" x14ac:dyDescent="0.25">
      <c r="A23" s="12">
        <v>44948</v>
      </c>
      <c r="B23" s="12" t="s">
        <v>19</v>
      </c>
      <c r="C23" s="12" t="s">
        <v>17</v>
      </c>
      <c r="D23" s="12" t="s">
        <v>22</v>
      </c>
      <c r="E23" s="13">
        <v>40009</v>
      </c>
      <c r="F23" s="14">
        <v>9</v>
      </c>
      <c r="G23" s="15">
        <v>20817</v>
      </c>
      <c r="H23" s="16">
        <v>0.05</v>
      </c>
      <c r="I23" s="13">
        <v>1</v>
      </c>
      <c r="J23" s="15">
        <v>9367.65</v>
      </c>
      <c r="K23" s="15">
        <v>177985.35</v>
      </c>
      <c r="L23" s="15">
        <v>157647.92142871549</v>
      </c>
      <c r="M23" s="15">
        <v>20337.428571284541</v>
      </c>
    </row>
    <row r="24" spans="1:13" x14ac:dyDescent="0.25">
      <c r="A24" s="12">
        <v>44949</v>
      </c>
      <c r="B24" s="12" t="s">
        <v>24</v>
      </c>
      <c r="C24" s="12" t="s">
        <v>23</v>
      </c>
      <c r="D24" s="12" t="s">
        <v>26</v>
      </c>
      <c r="E24" s="13">
        <v>16782</v>
      </c>
      <c r="F24" s="14">
        <v>9</v>
      </c>
      <c r="G24" s="15">
        <v>16275</v>
      </c>
      <c r="H24" s="16">
        <v>0.1</v>
      </c>
      <c r="I24" s="13">
        <v>3</v>
      </c>
      <c r="J24" s="15">
        <v>14647.5</v>
      </c>
      <c r="K24" s="15">
        <v>131827.5</v>
      </c>
      <c r="L24" s="15">
        <v>80080.297600884121</v>
      </c>
      <c r="M24" s="15">
        <v>51747.202399115879</v>
      </c>
    </row>
    <row r="25" spans="1:13" x14ac:dyDescent="0.25">
      <c r="A25" s="12">
        <v>44950</v>
      </c>
      <c r="B25" s="12" t="s">
        <v>16</v>
      </c>
      <c r="C25" s="12" t="s">
        <v>17</v>
      </c>
      <c r="D25" s="12" t="s">
        <v>27</v>
      </c>
      <c r="E25" s="13">
        <v>35933</v>
      </c>
      <c r="F25" s="14">
        <v>46</v>
      </c>
      <c r="G25" s="15">
        <v>11539</v>
      </c>
      <c r="H25" s="16">
        <v>0.15</v>
      </c>
      <c r="I25" s="13">
        <v>4</v>
      </c>
      <c r="J25" s="15">
        <v>79619.099999999991</v>
      </c>
      <c r="K25" s="15">
        <v>451174.9</v>
      </c>
      <c r="L25" s="15">
        <v>321710.56396737369</v>
      </c>
      <c r="M25" s="15">
        <v>129464.33603262631</v>
      </c>
    </row>
    <row r="26" spans="1:13" x14ac:dyDescent="0.25">
      <c r="A26" s="12">
        <v>44951</v>
      </c>
      <c r="B26" s="12" t="s">
        <v>16</v>
      </c>
      <c r="C26" s="12" t="s">
        <v>20</v>
      </c>
      <c r="D26" s="12" t="s">
        <v>15</v>
      </c>
      <c r="E26" s="13">
        <v>87154</v>
      </c>
      <c r="F26" s="14">
        <v>8</v>
      </c>
      <c r="G26" s="15">
        <v>29597</v>
      </c>
      <c r="H26" s="16">
        <v>0.05</v>
      </c>
      <c r="I26" s="13">
        <v>5</v>
      </c>
      <c r="J26" s="15">
        <v>11838.8</v>
      </c>
      <c r="K26" s="15">
        <v>224937.2</v>
      </c>
      <c r="L26" s="15">
        <v>195411.86603137129</v>
      </c>
      <c r="M26" s="15">
        <v>29525.33396862866</v>
      </c>
    </row>
    <row r="27" spans="1:13" x14ac:dyDescent="0.25">
      <c r="A27" s="12">
        <v>44952</v>
      </c>
      <c r="B27" s="12" t="s">
        <v>24</v>
      </c>
      <c r="C27" s="12" t="s">
        <v>23</v>
      </c>
      <c r="D27" s="12" t="s">
        <v>27</v>
      </c>
      <c r="E27" s="13">
        <v>18307</v>
      </c>
      <c r="F27" s="14">
        <v>35</v>
      </c>
      <c r="G27" s="15">
        <v>34707</v>
      </c>
      <c r="H27" s="16">
        <v>0.2</v>
      </c>
      <c r="I27" s="13">
        <v>3</v>
      </c>
      <c r="J27" s="15">
        <v>242949</v>
      </c>
      <c r="K27" s="15">
        <v>971796</v>
      </c>
      <c r="L27" s="15">
        <v>663144.90637758735</v>
      </c>
      <c r="M27" s="15">
        <v>308651.09362241259</v>
      </c>
    </row>
    <row r="28" spans="1:13" x14ac:dyDescent="0.25">
      <c r="A28" s="12">
        <v>44953</v>
      </c>
      <c r="B28" s="12" t="s">
        <v>24</v>
      </c>
      <c r="C28" s="12" t="s">
        <v>14</v>
      </c>
      <c r="D28" s="12" t="s">
        <v>27</v>
      </c>
      <c r="E28" s="13">
        <v>85874</v>
      </c>
      <c r="F28" s="14">
        <v>18</v>
      </c>
      <c r="G28" s="15">
        <v>23053</v>
      </c>
      <c r="H28" s="16">
        <v>0</v>
      </c>
      <c r="I28" s="13">
        <v>5</v>
      </c>
      <c r="J28" s="15">
        <v>0</v>
      </c>
      <c r="K28" s="15">
        <v>414954</v>
      </c>
      <c r="L28" s="15">
        <v>282967.27204098972</v>
      </c>
      <c r="M28" s="15">
        <v>131986.72795901031</v>
      </c>
    </row>
    <row r="29" spans="1:13" x14ac:dyDescent="0.25">
      <c r="A29" s="12">
        <v>44954</v>
      </c>
      <c r="B29" s="12" t="s">
        <v>24</v>
      </c>
      <c r="C29" s="12" t="s">
        <v>17</v>
      </c>
      <c r="D29" s="12" t="s">
        <v>27</v>
      </c>
      <c r="E29" s="13">
        <v>48346</v>
      </c>
      <c r="F29" s="14">
        <v>5</v>
      </c>
      <c r="G29" s="15">
        <v>44902</v>
      </c>
      <c r="H29" s="16">
        <v>0.15</v>
      </c>
      <c r="I29" s="13">
        <v>2</v>
      </c>
      <c r="J29" s="15">
        <v>33676.5</v>
      </c>
      <c r="K29" s="15">
        <v>190833.5</v>
      </c>
      <c r="L29" s="15">
        <v>131825.24095205241</v>
      </c>
      <c r="M29" s="15">
        <v>59008.25904794762</v>
      </c>
    </row>
    <row r="30" spans="1:13" x14ac:dyDescent="0.25">
      <c r="A30" s="12">
        <v>44955</v>
      </c>
      <c r="B30" s="12" t="s">
        <v>16</v>
      </c>
      <c r="C30" s="12" t="s">
        <v>23</v>
      </c>
      <c r="D30" s="12" t="s">
        <v>22</v>
      </c>
      <c r="E30" s="13">
        <v>60772</v>
      </c>
      <c r="F30" s="14">
        <v>14</v>
      </c>
      <c r="G30" s="15">
        <v>555</v>
      </c>
      <c r="H30" s="16">
        <v>0.1</v>
      </c>
      <c r="I30" s="13">
        <v>2</v>
      </c>
      <c r="J30" s="15">
        <v>777</v>
      </c>
      <c r="K30" s="15">
        <v>6993</v>
      </c>
      <c r="L30" s="15">
        <v>5480.3722500703579</v>
      </c>
      <c r="M30" s="15">
        <v>1512.6277499296421</v>
      </c>
    </row>
    <row r="31" spans="1:13" x14ac:dyDescent="0.25">
      <c r="A31" s="12">
        <v>44956</v>
      </c>
      <c r="B31" s="12" t="s">
        <v>16</v>
      </c>
      <c r="C31" s="12" t="s">
        <v>17</v>
      </c>
      <c r="D31" s="12" t="s">
        <v>25</v>
      </c>
      <c r="E31" s="13">
        <v>82084</v>
      </c>
      <c r="F31" s="14">
        <v>28</v>
      </c>
      <c r="G31" s="15">
        <v>23661</v>
      </c>
      <c r="H31" s="16">
        <v>0.05</v>
      </c>
      <c r="I31" s="13">
        <v>3</v>
      </c>
      <c r="J31" s="15">
        <v>33125.4</v>
      </c>
      <c r="K31" s="15">
        <v>629382.6</v>
      </c>
      <c r="L31" s="15">
        <v>460393.26659441349</v>
      </c>
      <c r="M31" s="15">
        <v>168989.33340558651</v>
      </c>
    </row>
    <row r="32" spans="1:13" x14ac:dyDescent="0.25">
      <c r="A32" s="12">
        <v>44957</v>
      </c>
      <c r="B32" s="12" t="s">
        <v>19</v>
      </c>
      <c r="C32" s="12" t="s">
        <v>23</v>
      </c>
      <c r="D32" s="12" t="s">
        <v>22</v>
      </c>
      <c r="E32" s="13">
        <v>50149</v>
      </c>
      <c r="F32" s="14">
        <v>30</v>
      </c>
      <c r="G32" s="15">
        <v>33373</v>
      </c>
      <c r="H32" s="16">
        <v>0.2</v>
      </c>
      <c r="I32" s="13">
        <v>5</v>
      </c>
      <c r="J32" s="15">
        <v>200238</v>
      </c>
      <c r="K32" s="15">
        <v>800952</v>
      </c>
      <c r="L32" s="15">
        <v>655195.11619406473</v>
      </c>
      <c r="M32" s="15">
        <v>145756.8838059353</v>
      </c>
    </row>
    <row r="33" spans="1:13" x14ac:dyDescent="0.25">
      <c r="A33" s="12">
        <v>44958</v>
      </c>
      <c r="B33" s="12" t="s">
        <v>19</v>
      </c>
      <c r="C33" s="12" t="s">
        <v>21</v>
      </c>
      <c r="D33" s="12" t="s">
        <v>22</v>
      </c>
      <c r="E33" s="13">
        <v>96700</v>
      </c>
      <c r="F33" s="14">
        <v>4</v>
      </c>
      <c r="G33" s="15">
        <v>36469</v>
      </c>
      <c r="H33" s="16">
        <v>0.15</v>
      </c>
      <c r="I33" s="13">
        <v>2</v>
      </c>
      <c r="J33" s="15">
        <v>21881.4</v>
      </c>
      <c r="K33" s="15">
        <v>123994.6</v>
      </c>
      <c r="L33" s="15">
        <v>107685.98614816459</v>
      </c>
      <c r="M33" s="15">
        <v>16308.61385183538</v>
      </c>
    </row>
    <row r="34" spans="1:13" x14ac:dyDescent="0.25">
      <c r="A34" s="12">
        <v>44959</v>
      </c>
      <c r="B34" s="12" t="s">
        <v>16</v>
      </c>
      <c r="C34" s="12" t="s">
        <v>17</v>
      </c>
      <c r="D34" s="12" t="s">
        <v>18</v>
      </c>
      <c r="E34" s="13">
        <v>37526</v>
      </c>
      <c r="F34" s="14">
        <v>39</v>
      </c>
      <c r="G34" s="15">
        <v>15684</v>
      </c>
      <c r="H34" s="16">
        <v>0.2</v>
      </c>
      <c r="I34" s="13">
        <v>3</v>
      </c>
      <c r="J34" s="15">
        <v>122335.2</v>
      </c>
      <c r="K34" s="15">
        <v>489340.8</v>
      </c>
      <c r="L34" s="15">
        <v>392578.45844821178</v>
      </c>
      <c r="M34" s="15">
        <v>96762.341551788209</v>
      </c>
    </row>
    <row r="35" spans="1:13" x14ac:dyDescent="0.25">
      <c r="A35" s="12">
        <v>44960</v>
      </c>
      <c r="B35" s="12" t="s">
        <v>24</v>
      </c>
      <c r="C35" s="12" t="s">
        <v>14</v>
      </c>
      <c r="D35" s="12" t="s">
        <v>18</v>
      </c>
      <c r="E35" s="13">
        <v>95712</v>
      </c>
      <c r="F35" s="14">
        <v>20</v>
      </c>
      <c r="G35" s="15">
        <v>1169</v>
      </c>
      <c r="H35" s="16">
        <v>0.2</v>
      </c>
      <c r="I35" s="13">
        <v>5</v>
      </c>
      <c r="J35" s="15">
        <v>4676</v>
      </c>
      <c r="K35" s="15">
        <v>18704</v>
      </c>
      <c r="L35" s="15">
        <v>12369.703660372639</v>
      </c>
      <c r="M35" s="15">
        <v>6334.2963396273644</v>
      </c>
    </row>
    <row r="36" spans="1:13" x14ac:dyDescent="0.25">
      <c r="A36" s="12">
        <v>44961</v>
      </c>
      <c r="B36" s="12" t="s">
        <v>24</v>
      </c>
      <c r="C36" s="12" t="s">
        <v>14</v>
      </c>
      <c r="D36" s="12" t="s">
        <v>27</v>
      </c>
      <c r="E36" s="13">
        <v>78477</v>
      </c>
      <c r="F36" s="14">
        <v>25</v>
      </c>
      <c r="G36" s="15">
        <v>13163</v>
      </c>
      <c r="H36" s="16">
        <v>0.1</v>
      </c>
      <c r="I36" s="13">
        <v>3</v>
      </c>
      <c r="J36" s="15">
        <v>32907.5</v>
      </c>
      <c r="K36" s="15">
        <v>296167.5</v>
      </c>
      <c r="L36" s="15">
        <v>260569.52019520619</v>
      </c>
      <c r="M36" s="15">
        <v>35597.97980479378</v>
      </c>
    </row>
    <row r="37" spans="1:13" x14ac:dyDescent="0.25">
      <c r="A37" s="12">
        <v>44962</v>
      </c>
      <c r="B37" s="12" t="s">
        <v>19</v>
      </c>
      <c r="C37" s="12" t="s">
        <v>20</v>
      </c>
      <c r="D37" s="12" t="s">
        <v>22</v>
      </c>
      <c r="E37" s="13">
        <v>15695</v>
      </c>
      <c r="F37" s="14">
        <v>28</v>
      </c>
      <c r="G37" s="15">
        <v>25818</v>
      </c>
      <c r="H37" s="16">
        <v>0.15</v>
      </c>
      <c r="I37" s="13">
        <v>5</v>
      </c>
      <c r="J37" s="15">
        <v>108435.6</v>
      </c>
      <c r="K37" s="15">
        <v>614468.4</v>
      </c>
      <c r="L37" s="15">
        <v>417437.79380916827</v>
      </c>
      <c r="M37" s="15">
        <v>197030.60619083169</v>
      </c>
    </row>
    <row r="38" spans="1:13" x14ac:dyDescent="0.25">
      <c r="A38" s="12">
        <v>44963</v>
      </c>
      <c r="B38" s="12" t="s">
        <v>16</v>
      </c>
      <c r="C38" s="12" t="s">
        <v>23</v>
      </c>
      <c r="D38" s="12" t="s">
        <v>27</v>
      </c>
      <c r="E38" s="13">
        <v>49169</v>
      </c>
      <c r="F38" s="14">
        <v>12</v>
      </c>
      <c r="G38" s="15">
        <v>34234</v>
      </c>
      <c r="H38" s="16">
        <v>0.05</v>
      </c>
      <c r="I38" s="13">
        <v>2</v>
      </c>
      <c r="J38" s="15">
        <v>20540.400000000001</v>
      </c>
      <c r="K38" s="15">
        <v>390267.6</v>
      </c>
      <c r="L38" s="15">
        <v>251710.22606742341</v>
      </c>
      <c r="M38" s="15">
        <v>138557.37393257651</v>
      </c>
    </row>
    <row r="39" spans="1:13" x14ac:dyDescent="0.25">
      <c r="A39" s="12">
        <v>44964</v>
      </c>
      <c r="B39" s="12" t="s">
        <v>19</v>
      </c>
      <c r="C39" s="12" t="s">
        <v>17</v>
      </c>
      <c r="D39" s="12" t="s">
        <v>18</v>
      </c>
      <c r="E39" s="13">
        <v>57947</v>
      </c>
      <c r="F39" s="14">
        <v>2</v>
      </c>
      <c r="G39" s="15">
        <v>17191</v>
      </c>
      <c r="H39" s="16">
        <v>0.1</v>
      </c>
      <c r="I39" s="13">
        <v>3</v>
      </c>
      <c r="J39" s="15">
        <v>3438.2</v>
      </c>
      <c r="K39" s="15">
        <v>30943.8</v>
      </c>
      <c r="L39" s="15">
        <v>19401.458845085341</v>
      </c>
      <c r="M39" s="15">
        <v>11542.34115491466</v>
      </c>
    </row>
    <row r="40" spans="1:13" x14ac:dyDescent="0.25">
      <c r="A40" s="12">
        <v>44965</v>
      </c>
      <c r="B40" s="12" t="s">
        <v>19</v>
      </c>
      <c r="C40" s="12" t="s">
        <v>20</v>
      </c>
      <c r="D40" s="12" t="s">
        <v>25</v>
      </c>
      <c r="E40" s="13">
        <v>57224</v>
      </c>
      <c r="F40" s="14">
        <v>43</v>
      </c>
      <c r="G40" s="15">
        <v>19022</v>
      </c>
      <c r="H40" s="16">
        <v>0.05</v>
      </c>
      <c r="I40" s="13">
        <v>2</v>
      </c>
      <c r="J40" s="15">
        <v>40897.300000000003</v>
      </c>
      <c r="K40" s="15">
        <v>777048.7</v>
      </c>
      <c r="L40" s="15">
        <v>597562.20098573435</v>
      </c>
      <c r="M40" s="15">
        <v>179486.4990142656</v>
      </c>
    </row>
    <row r="41" spans="1:13" x14ac:dyDescent="0.25">
      <c r="A41" s="12">
        <v>44966</v>
      </c>
      <c r="B41" s="12" t="s">
        <v>13</v>
      </c>
      <c r="C41" s="12" t="s">
        <v>17</v>
      </c>
      <c r="D41" s="12" t="s">
        <v>15</v>
      </c>
      <c r="E41" s="13">
        <v>55865</v>
      </c>
      <c r="F41" s="14">
        <v>14</v>
      </c>
      <c r="G41" s="15">
        <v>12156</v>
      </c>
      <c r="H41" s="16">
        <v>0</v>
      </c>
      <c r="I41" s="13">
        <v>3</v>
      </c>
      <c r="J41" s="15">
        <v>0</v>
      </c>
      <c r="K41" s="15">
        <v>170184</v>
      </c>
      <c r="L41" s="15">
        <v>107918.5652744422</v>
      </c>
      <c r="M41" s="15">
        <v>62265.434725557832</v>
      </c>
    </row>
    <row r="42" spans="1:13" x14ac:dyDescent="0.25">
      <c r="A42" s="12">
        <v>44967</v>
      </c>
      <c r="B42" s="12" t="s">
        <v>13</v>
      </c>
      <c r="C42" s="12" t="s">
        <v>23</v>
      </c>
      <c r="D42" s="12" t="s">
        <v>27</v>
      </c>
      <c r="E42" s="13">
        <v>35553</v>
      </c>
      <c r="F42" s="14">
        <v>22</v>
      </c>
      <c r="G42" s="15">
        <v>16393</v>
      </c>
      <c r="H42" s="16">
        <v>0.2</v>
      </c>
      <c r="I42" s="13">
        <v>1</v>
      </c>
      <c r="J42" s="15">
        <v>72129.2</v>
      </c>
      <c r="K42" s="15">
        <v>288516.8</v>
      </c>
      <c r="L42" s="15">
        <v>185121.83220040411</v>
      </c>
      <c r="M42" s="15">
        <v>103394.96779959591</v>
      </c>
    </row>
    <row r="43" spans="1:13" x14ac:dyDescent="0.25">
      <c r="A43" s="12">
        <v>44968</v>
      </c>
      <c r="B43" s="12" t="s">
        <v>13</v>
      </c>
      <c r="C43" s="12" t="s">
        <v>14</v>
      </c>
      <c r="D43" s="12" t="s">
        <v>25</v>
      </c>
      <c r="E43" s="13">
        <v>70410</v>
      </c>
      <c r="F43" s="14">
        <v>31</v>
      </c>
      <c r="G43" s="15">
        <v>46357</v>
      </c>
      <c r="H43" s="16">
        <v>0</v>
      </c>
      <c r="I43" s="13">
        <v>2</v>
      </c>
      <c r="J43" s="15">
        <v>0</v>
      </c>
      <c r="K43" s="15">
        <v>1437067</v>
      </c>
      <c r="L43" s="15">
        <v>991589.37079737859</v>
      </c>
      <c r="M43" s="15">
        <v>445477.62920262141</v>
      </c>
    </row>
    <row r="44" spans="1:13" x14ac:dyDescent="0.25">
      <c r="A44" s="12">
        <v>44969</v>
      </c>
      <c r="B44" s="12" t="s">
        <v>24</v>
      </c>
      <c r="C44" s="12" t="s">
        <v>21</v>
      </c>
      <c r="D44" s="12" t="s">
        <v>15</v>
      </c>
      <c r="E44" s="13">
        <v>34816</v>
      </c>
      <c r="F44" s="14">
        <v>23</v>
      </c>
      <c r="G44" s="15">
        <v>16993</v>
      </c>
      <c r="H44" s="16">
        <v>0.2</v>
      </c>
      <c r="I44" s="13">
        <v>2</v>
      </c>
      <c r="J44" s="15">
        <v>78167.8</v>
      </c>
      <c r="K44" s="15">
        <v>312671.2</v>
      </c>
      <c r="L44" s="15">
        <v>214022.1553564959</v>
      </c>
      <c r="M44" s="15">
        <v>98649.044643504138</v>
      </c>
    </row>
    <row r="45" spans="1:13" x14ac:dyDescent="0.25">
      <c r="A45" s="12">
        <v>44970</v>
      </c>
      <c r="B45" s="12" t="s">
        <v>16</v>
      </c>
      <c r="C45" s="12" t="s">
        <v>14</v>
      </c>
      <c r="D45" s="12" t="s">
        <v>26</v>
      </c>
      <c r="E45" s="13">
        <v>65026</v>
      </c>
      <c r="F45" s="14">
        <v>48</v>
      </c>
      <c r="G45" s="15">
        <v>4132</v>
      </c>
      <c r="H45" s="16">
        <v>0.1</v>
      </c>
      <c r="I45" s="13">
        <v>4</v>
      </c>
      <c r="J45" s="15">
        <v>19833.599999999999</v>
      </c>
      <c r="K45" s="15">
        <v>178502.39999999999</v>
      </c>
      <c r="L45" s="15">
        <v>139458.90083073371</v>
      </c>
      <c r="M45" s="15">
        <v>39043.499169266317</v>
      </c>
    </row>
    <row r="46" spans="1:13" x14ac:dyDescent="0.25">
      <c r="A46" s="12">
        <v>44971</v>
      </c>
      <c r="B46" s="12" t="s">
        <v>16</v>
      </c>
      <c r="C46" s="12" t="s">
        <v>20</v>
      </c>
      <c r="D46" s="12" t="s">
        <v>27</v>
      </c>
      <c r="E46" s="13">
        <v>60705</v>
      </c>
      <c r="F46" s="14">
        <v>20</v>
      </c>
      <c r="G46" s="15">
        <v>30836</v>
      </c>
      <c r="H46" s="16">
        <v>0.05</v>
      </c>
      <c r="I46" s="13">
        <v>2</v>
      </c>
      <c r="J46" s="15">
        <v>30836</v>
      </c>
      <c r="K46" s="15">
        <v>585884</v>
      </c>
      <c r="L46" s="15">
        <v>495085.79739557172</v>
      </c>
      <c r="M46" s="15">
        <v>90798.202604428283</v>
      </c>
    </row>
    <row r="47" spans="1:13" x14ac:dyDescent="0.25">
      <c r="A47" s="12">
        <v>44972</v>
      </c>
      <c r="B47" s="12" t="s">
        <v>16</v>
      </c>
      <c r="C47" s="12" t="s">
        <v>21</v>
      </c>
      <c r="D47" s="12" t="s">
        <v>27</v>
      </c>
      <c r="E47" s="13">
        <v>71922</v>
      </c>
      <c r="F47" s="14">
        <v>38</v>
      </c>
      <c r="G47" s="15">
        <v>23612</v>
      </c>
      <c r="H47" s="16">
        <v>0.05</v>
      </c>
      <c r="I47" s="13">
        <v>5</v>
      </c>
      <c r="J47" s="15">
        <v>44862.8</v>
      </c>
      <c r="K47" s="15">
        <v>852393.2</v>
      </c>
      <c r="L47" s="15">
        <v>706126.70093090495</v>
      </c>
      <c r="M47" s="15">
        <v>146266.49906909501</v>
      </c>
    </row>
    <row r="48" spans="1:13" x14ac:dyDescent="0.25">
      <c r="A48" s="12">
        <v>44973</v>
      </c>
      <c r="B48" s="12" t="s">
        <v>16</v>
      </c>
      <c r="C48" s="12" t="s">
        <v>20</v>
      </c>
      <c r="D48" s="12" t="s">
        <v>26</v>
      </c>
      <c r="E48" s="13">
        <v>83914</v>
      </c>
      <c r="F48" s="14">
        <v>4</v>
      </c>
      <c r="G48" s="15">
        <v>38952</v>
      </c>
      <c r="H48" s="16">
        <v>0.1</v>
      </c>
      <c r="I48" s="13">
        <v>3</v>
      </c>
      <c r="J48" s="15">
        <v>15580.8</v>
      </c>
      <c r="K48" s="15">
        <v>140227.20000000001</v>
      </c>
      <c r="L48" s="15">
        <v>95178.558038525516</v>
      </c>
      <c r="M48" s="15">
        <v>45048.641961474503</v>
      </c>
    </row>
    <row r="49" spans="1:13" x14ac:dyDescent="0.25">
      <c r="A49" s="12">
        <v>44974</v>
      </c>
      <c r="B49" s="12" t="s">
        <v>13</v>
      </c>
      <c r="C49" s="12" t="s">
        <v>23</v>
      </c>
      <c r="D49" s="12" t="s">
        <v>26</v>
      </c>
      <c r="E49" s="13">
        <v>11881</v>
      </c>
      <c r="F49" s="14">
        <v>15</v>
      </c>
      <c r="G49" s="15">
        <v>13766</v>
      </c>
      <c r="H49" s="16">
        <v>0.15</v>
      </c>
      <c r="I49" s="13">
        <v>1</v>
      </c>
      <c r="J49" s="15">
        <v>30973.5</v>
      </c>
      <c r="K49" s="15">
        <v>175516.5</v>
      </c>
      <c r="L49" s="15">
        <v>118226.71200592689</v>
      </c>
      <c r="M49" s="15">
        <v>57289.787994073144</v>
      </c>
    </row>
    <row r="50" spans="1:13" x14ac:dyDescent="0.25">
      <c r="A50" s="12">
        <v>44975</v>
      </c>
      <c r="B50" s="12" t="s">
        <v>24</v>
      </c>
      <c r="C50" s="12" t="s">
        <v>21</v>
      </c>
      <c r="D50" s="12" t="s">
        <v>27</v>
      </c>
      <c r="E50" s="13">
        <v>49567</v>
      </c>
      <c r="F50" s="14">
        <v>24</v>
      </c>
      <c r="G50" s="15">
        <v>17440</v>
      </c>
      <c r="H50" s="16">
        <v>0</v>
      </c>
      <c r="I50" s="13">
        <v>5</v>
      </c>
      <c r="J50" s="15">
        <v>0</v>
      </c>
      <c r="K50" s="15">
        <v>418560</v>
      </c>
      <c r="L50" s="15">
        <v>372408.51085247181</v>
      </c>
      <c r="M50" s="15">
        <v>46151.489147528249</v>
      </c>
    </row>
    <row r="51" spans="1:13" x14ac:dyDescent="0.25">
      <c r="A51" s="12">
        <v>44976</v>
      </c>
      <c r="B51" s="12" t="s">
        <v>24</v>
      </c>
      <c r="C51" s="12" t="s">
        <v>20</v>
      </c>
      <c r="D51" s="12" t="s">
        <v>26</v>
      </c>
      <c r="E51" s="13">
        <v>57365</v>
      </c>
      <c r="F51" s="14">
        <v>25</v>
      </c>
      <c r="G51" s="15">
        <v>24503</v>
      </c>
      <c r="H51" s="16">
        <v>0</v>
      </c>
      <c r="I51" s="13">
        <v>5</v>
      </c>
      <c r="J51" s="15">
        <v>0</v>
      </c>
      <c r="K51" s="15">
        <v>612575</v>
      </c>
      <c r="L51" s="15">
        <v>369058.59470795852</v>
      </c>
      <c r="M51" s="15">
        <v>243516.40529204151</v>
      </c>
    </row>
    <row r="52" spans="1:13" x14ac:dyDescent="0.25">
      <c r="A52" s="12">
        <v>44977</v>
      </c>
      <c r="B52" s="12" t="s">
        <v>13</v>
      </c>
      <c r="C52" s="12" t="s">
        <v>23</v>
      </c>
      <c r="D52" s="12" t="s">
        <v>22</v>
      </c>
      <c r="E52" s="13">
        <v>89211</v>
      </c>
      <c r="F52" s="14">
        <v>1</v>
      </c>
      <c r="G52" s="15">
        <v>33372</v>
      </c>
      <c r="H52" s="16">
        <v>0.05</v>
      </c>
      <c r="I52" s="13">
        <v>5</v>
      </c>
      <c r="J52" s="15">
        <v>1668.6</v>
      </c>
      <c r="K52" s="15">
        <v>31703.4</v>
      </c>
      <c r="L52" s="15">
        <v>27389.079584346371</v>
      </c>
      <c r="M52" s="15">
        <v>4314.3204156536267</v>
      </c>
    </row>
    <row r="53" spans="1:13" x14ac:dyDescent="0.25">
      <c r="A53" s="12">
        <v>44978</v>
      </c>
      <c r="B53" s="12" t="s">
        <v>24</v>
      </c>
      <c r="C53" s="12" t="s">
        <v>14</v>
      </c>
      <c r="D53" s="12" t="s">
        <v>15</v>
      </c>
      <c r="E53" s="13">
        <v>80122</v>
      </c>
      <c r="F53" s="14">
        <v>7</v>
      </c>
      <c r="G53" s="15">
        <v>35315</v>
      </c>
      <c r="H53" s="16">
        <v>0.05</v>
      </c>
      <c r="I53" s="13">
        <v>5</v>
      </c>
      <c r="J53" s="15">
        <v>12360.25</v>
      </c>
      <c r="K53" s="15">
        <v>234844.75</v>
      </c>
      <c r="L53" s="15">
        <v>154978.4082423514</v>
      </c>
      <c r="M53" s="15">
        <v>79866.341757648566</v>
      </c>
    </row>
    <row r="54" spans="1:13" x14ac:dyDescent="0.25">
      <c r="A54" s="12">
        <v>44979</v>
      </c>
      <c r="B54" s="12" t="s">
        <v>13</v>
      </c>
      <c r="C54" s="12" t="s">
        <v>23</v>
      </c>
      <c r="D54" s="12" t="s">
        <v>15</v>
      </c>
      <c r="E54" s="13">
        <v>35006</v>
      </c>
      <c r="F54" s="14">
        <v>31</v>
      </c>
      <c r="G54" s="15">
        <v>31369</v>
      </c>
      <c r="H54" s="16">
        <v>0.05</v>
      </c>
      <c r="I54" s="13">
        <v>1</v>
      </c>
      <c r="J54" s="15">
        <v>48621.95</v>
      </c>
      <c r="K54" s="15">
        <v>923817.05</v>
      </c>
      <c r="L54" s="15">
        <v>816825.4526604109</v>
      </c>
      <c r="M54" s="15">
        <v>106991.59733958911</v>
      </c>
    </row>
    <row r="55" spans="1:13" x14ac:dyDescent="0.25">
      <c r="A55" s="12">
        <v>44980</v>
      </c>
      <c r="B55" s="12" t="s">
        <v>16</v>
      </c>
      <c r="C55" s="12" t="s">
        <v>17</v>
      </c>
      <c r="D55" s="12" t="s">
        <v>15</v>
      </c>
      <c r="E55" s="13">
        <v>51198</v>
      </c>
      <c r="F55" s="14">
        <v>12</v>
      </c>
      <c r="G55" s="15">
        <v>49797</v>
      </c>
      <c r="H55" s="16">
        <v>0.1</v>
      </c>
      <c r="I55" s="13">
        <v>4</v>
      </c>
      <c r="J55" s="15">
        <v>59756.4</v>
      </c>
      <c r="K55" s="15">
        <v>537807.6</v>
      </c>
      <c r="L55" s="15">
        <v>377913.19779468147</v>
      </c>
      <c r="M55" s="15">
        <v>159894.4022053185</v>
      </c>
    </row>
    <row r="56" spans="1:13" x14ac:dyDescent="0.25">
      <c r="A56" s="12">
        <v>44981</v>
      </c>
      <c r="B56" s="12" t="s">
        <v>13</v>
      </c>
      <c r="C56" s="12" t="s">
        <v>23</v>
      </c>
      <c r="D56" s="12" t="s">
        <v>22</v>
      </c>
      <c r="E56" s="13">
        <v>32831</v>
      </c>
      <c r="F56" s="14">
        <v>42</v>
      </c>
      <c r="G56" s="15">
        <v>17757</v>
      </c>
      <c r="H56" s="16">
        <v>0.15</v>
      </c>
      <c r="I56" s="13">
        <v>2</v>
      </c>
      <c r="J56" s="15">
        <v>111869.1</v>
      </c>
      <c r="K56" s="15">
        <v>633924.9</v>
      </c>
      <c r="L56" s="15">
        <v>464099.92626903078</v>
      </c>
      <c r="M56" s="15">
        <v>169824.97373096921</v>
      </c>
    </row>
    <row r="57" spans="1:13" x14ac:dyDescent="0.25">
      <c r="A57" s="12">
        <v>44982</v>
      </c>
      <c r="B57" s="12" t="s">
        <v>16</v>
      </c>
      <c r="C57" s="12" t="s">
        <v>23</v>
      </c>
      <c r="D57" s="12" t="s">
        <v>26</v>
      </c>
      <c r="E57" s="13">
        <v>26459</v>
      </c>
      <c r="F57" s="14">
        <v>5</v>
      </c>
      <c r="G57" s="15">
        <v>17182</v>
      </c>
      <c r="H57" s="16">
        <v>0</v>
      </c>
      <c r="I57" s="13">
        <v>5</v>
      </c>
      <c r="J57" s="15">
        <v>0</v>
      </c>
      <c r="K57" s="15">
        <v>85910</v>
      </c>
      <c r="L57" s="15">
        <v>69770.619583188542</v>
      </c>
      <c r="M57" s="15">
        <v>16139.38041681146</v>
      </c>
    </row>
    <row r="58" spans="1:13" x14ac:dyDescent="0.25">
      <c r="A58" s="12">
        <v>44983</v>
      </c>
      <c r="B58" s="12" t="s">
        <v>16</v>
      </c>
      <c r="C58" s="12" t="s">
        <v>17</v>
      </c>
      <c r="D58" s="12" t="s">
        <v>25</v>
      </c>
      <c r="E58" s="13">
        <v>42443</v>
      </c>
      <c r="F58" s="14">
        <v>44</v>
      </c>
      <c r="G58" s="15">
        <v>20122</v>
      </c>
      <c r="H58" s="16">
        <v>0.2</v>
      </c>
      <c r="I58" s="13">
        <v>2</v>
      </c>
      <c r="J58" s="15">
        <v>177073.6</v>
      </c>
      <c r="K58" s="15">
        <v>708294.4</v>
      </c>
      <c r="L58" s="15">
        <v>549849.44946354663</v>
      </c>
      <c r="M58" s="15">
        <v>158444.9505364534</v>
      </c>
    </row>
    <row r="59" spans="1:13" x14ac:dyDescent="0.25">
      <c r="A59" s="12">
        <v>44984</v>
      </c>
      <c r="B59" s="12" t="s">
        <v>19</v>
      </c>
      <c r="C59" s="12" t="s">
        <v>20</v>
      </c>
      <c r="D59" s="12" t="s">
        <v>26</v>
      </c>
      <c r="E59" s="13">
        <v>52316</v>
      </c>
      <c r="F59" s="14">
        <v>42</v>
      </c>
      <c r="G59" s="15">
        <v>30908</v>
      </c>
      <c r="H59" s="16">
        <v>0.1</v>
      </c>
      <c r="I59" s="13">
        <v>2</v>
      </c>
      <c r="J59" s="15">
        <v>129813.6</v>
      </c>
      <c r="K59" s="15">
        <v>1168322.3999999999</v>
      </c>
      <c r="L59" s="15">
        <v>812430.13222123997</v>
      </c>
      <c r="M59" s="15">
        <v>355892.26777875988</v>
      </c>
    </row>
    <row r="60" spans="1:13" x14ac:dyDescent="0.25">
      <c r="A60" s="12">
        <v>44985</v>
      </c>
      <c r="B60" s="12" t="s">
        <v>13</v>
      </c>
      <c r="C60" s="12" t="s">
        <v>20</v>
      </c>
      <c r="D60" s="12" t="s">
        <v>27</v>
      </c>
      <c r="E60" s="13">
        <v>74486</v>
      </c>
      <c r="F60" s="14">
        <v>38</v>
      </c>
      <c r="G60" s="15">
        <v>9337</v>
      </c>
      <c r="H60" s="16">
        <v>0</v>
      </c>
      <c r="I60" s="13">
        <v>5</v>
      </c>
      <c r="J60" s="15">
        <v>0</v>
      </c>
      <c r="K60" s="15">
        <v>354806</v>
      </c>
      <c r="L60" s="15">
        <v>271834.35958061973</v>
      </c>
      <c r="M60" s="15">
        <v>82971.640419380274</v>
      </c>
    </row>
    <row r="61" spans="1:13" x14ac:dyDescent="0.25">
      <c r="A61" s="12">
        <v>44986</v>
      </c>
      <c r="B61" s="12" t="s">
        <v>19</v>
      </c>
      <c r="C61" s="12" t="s">
        <v>23</v>
      </c>
      <c r="D61" s="12" t="s">
        <v>18</v>
      </c>
      <c r="E61" s="13">
        <v>15877</v>
      </c>
      <c r="F61" s="14">
        <v>12</v>
      </c>
      <c r="G61" s="15">
        <v>15907</v>
      </c>
      <c r="H61" s="16">
        <v>0.15</v>
      </c>
      <c r="I61" s="13">
        <v>4</v>
      </c>
      <c r="J61" s="15">
        <v>28632.6</v>
      </c>
      <c r="K61" s="15">
        <v>162251.4</v>
      </c>
      <c r="L61" s="15">
        <v>132918.30449325489</v>
      </c>
      <c r="M61" s="15">
        <v>29333.09550674507</v>
      </c>
    </row>
    <row r="62" spans="1:13" x14ac:dyDescent="0.25">
      <c r="A62" s="12">
        <v>44987</v>
      </c>
      <c r="B62" s="12" t="s">
        <v>13</v>
      </c>
      <c r="C62" s="12" t="s">
        <v>17</v>
      </c>
      <c r="D62" s="12" t="s">
        <v>15</v>
      </c>
      <c r="E62" s="13">
        <v>49553</v>
      </c>
      <c r="F62" s="14">
        <v>39</v>
      </c>
      <c r="G62" s="15">
        <v>29809</v>
      </c>
      <c r="H62" s="16">
        <v>0.1</v>
      </c>
      <c r="I62" s="13">
        <v>2</v>
      </c>
      <c r="J62" s="15">
        <v>116255.1</v>
      </c>
      <c r="K62" s="15">
        <v>1046295.9</v>
      </c>
      <c r="L62" s="15">
        <v>641066.00409734971</v>
      </c>
      <c r="M62" s="15">
        <v>405229.89590265031</v>
      </c>
    </row>
    <row r="63" spans="1:13" x14ac:dyDescent="0.25">
      <c r="A63" s="12">
        <v>44988</v>
      </c>
      <c r="B63" s="12" t="s">
        <v>13</v>
      </c>
      <c r="C63" s="12" t="s">
        <v>17</v>
      </c>
      <c r="D63" s="12" t="s">
        <v>26</v>
      </c>
      <c r="E63" s="13">
        <v>14922</v>
      </c>
      <c r="F63" s="14">
        <v>18</v>
      </c>
      <c r="G63" s="15">
        <v>6882</v>
      </c>
      <c r="H63" s="16">
        <v>0</v>
      </c>
      <c r="I63" s="13">
        <v>3</v>
      </c>
      <c r="J63" s="15">
        <v>0</v>
      </c>
      <c r="K63" s="15">
        <v>123876</v>
      </c>
      <c r="L63" s="15">
        <v>74741.797541356689</v>
      </c>
      <c r="M63" s="15">
        <v>49134.202458643311</v>
      </c>
    </row>
    <row r="64" spans="1:13" x14ac:dyDescent="0.25">
      <c r="A64" s="12">
        <v>44989</v>
      </c>
      <c r="B64" s="12" t="s">
        <v>19</v>
      </c>
      <c r="C64" s="12" t="s">
        <v>14</v>
      </c>
      <c r="D64" s="12" t="s">
        <v>25</v>
      </c>
      <c r="E64" s="13">
        <v>14686</v>
      </c>
      <c r="F64" s="14">
        <v>2</v>
      </c>
      <c r="G64" s="15">
        <v>28154</v>
      </c>
      <c r="H64" s="16">
        <v>0.1</v>
      </c>
      <c r="I64" s="13">
        <v>2</v>
      </c>
      <c r="J64" s="15">
        <v>5630.8</v>
      </c>
      <c r="K64" s="15">
        <v>50677.2</v>
      </c>
      <c r="L64" s="15">
        <v>37370.38496543542</v>
      </c>
      <c r="M64" s="15">
        <v>13306.815034564581</v>
      </c>
    </row>
    <row r="65" spans="1:13" x14ac:dyDescent="0.25">
      <c r="A65" s="12">
        <v>44990</v>
      </c>
      <c r="B65" s="12" t="s">
        <v>19</v>
      </c>
      <c r="C65" s="12" t="s">
        <v>20</v>
      </c>
      <c r="D65" s="12" t="s">
        <v>27</v>
      </c>
      <c r="E65" s="13">
        <v>42766</v>
      </c>
      <c r="F65" s="14">
        <v>10</v>
      </c>
      <c r="G65" s="15">
        <v>19395</v>
      </c>
      <c r="H65" s="16">
        <v>0</v>
      </c>
      <c r="I65" s="13">
        <v>5</v>
      </c>
      <c r="J65" s="15">
        <v>0</v>
      </c>
      <c r="K65" s="15">
        <v>193950</v>
      </c>
      <c r="L65" s="15">
        <v>124040.91360689751</v>
      </c>
      <c r="M65" s="15">
        <v>69909.086393102523</v>
      </c>
    </row>
    <row r="66" spans="1:13" x14ac:dyDescent="0.25">
      <c r="A66" s="12">
        <v>44991</v>
      </c>
      <c r="B66" s="12" t="s">
        <v>13</v>
      </c>
      <c r="C66" s="12" t="s">
        <v>21</v>
      </c>
      <c r="D66" s="12" t="s">
        <v>22</v>
      </c>
      <c r="E66" s="13">
        <v>89943</v>
      </c>
      <c r="F66" s="14">
        <v>15</v>
      </c>
      <c r="G66" s="15">
        <v>34051</v>
      </c>
      <c r="H66" s="16">
        <v>0</v>
      </c>
      <c r="I66" s="13">
        <v>1</v>
      </c>
      <c r="J66" s="15">
        <v>0</v>
      </c>
      <c r="K66" s="15">
        <v>510765</v>
      </c>
      <c r="L66" s="15">
        <v>408256.14360899251</v>
      </c>
      <c r="M66" s="15">
        <v>102508.8563910075</v>
      </c>
    </row>
    <row r="67" spans="1:13" x14ac:dyDescent="0.25">
      <c r="A67" s="12">
        <v>44992</v>
      </c>
      <c r="B67" s="12" t="s">
        <v>24</v>
      </c>
      <c r="C67" s="12" t="s">
        <v>20</v>
      </c>
      <c r="D67" s="12" t="s">
        <v>22</v>
      </c>
      <c r="E67" s="13">
        <v>42006</v>
      </c>
      <c r="F67" s="14">
        <v>30</v>
      </c>
      <c r="G67" s="15">
        <v>21876</v>
      </c>
      <c r="H67" s="16">
        <v>0.15</v>
      </c>
      <c r="I67" s="13">
        <v>2</v>
      </c>
      <c r="J67" s="15">
        <v>98442</v>
      </c>
      <c r="K67" s="15">
        <v>557838</v>
      </c>
      <c r="L67" s="15">
        <v>370524.77822309983</v>
      </c>
      <c r="M67" s="15">
        <v>187313.2217769002</v>
      </c>
    </row>
    <row r="68" spans="1:13" x14ac:dyDescent="0.25">
      <c r="A68" s="12">
        <v>44993</v>
      </c>
      <c r="B68" s="12" t="s">
        <v>16</v>
      </c>
      <c r="C68" s="12" t="s">
        <v>20</v>
      </c>
      <c r="D68" s="12" t="s">
        <v>25</v>
      </c>
      <c r="E68" s="13">
        <v>41422</v>
      </c>
      <c r="F68" s="14">
        <v>44</v>
      </c>
      <c r="G68" s="15">
        <v>870</v>
      </c>
      <c r="H68" s="16">
        <v>0.2</v>
      </c>
      <c r="I68" s="13">
        <v>4</v>
      </c>
      <c r="J68" s="15">
        <v>7656</v>
      </c>
      <c r="K68" s="15">
        <v>30624</v>
      </c>
      <c r="L68" s="15">
        <v>22351.08968835319</v>
      </c>
      <c r="M68" s="15">
        <v>8272.9103116468104</v>
      </c>
    </row>
    <row r="69" spans="1:13" x14ac:dyDescent="0.25">
      <c r="A69" s="12">
        <v>44994</v>
      </c>
      <c r="B69" s="12" t="s">
        <v>19</v>
      </c>
      <c r="C69" s="12" t="s">
        <v>14</v>
      </c>
      <c r="D69" s="12" t="s">
        <v>27</v>
      </c>
      <c r="E69" s="13">
        <v>22205</v>
      </c>
      <c r="F69" s="14">
        <v>17</v>
      </c>
      <c r="G69" s="15">
        <v>49176</v>
      </c>
      <c r="H69" s="16">
        <v>0.15</v>
      </c>
      <c r="I69" s="13">
        <v>3</v>
      </c>
      <c r="J69" s="15">
        <v>125398.8</v>
      </c>
      <c r="K69" s="15">
        <v>710593.2</v>
      </c>
      <c r="L69" s="15">
        <v>468495.00707414543</v>
      </c>
      <c r="M69" s="15">
        <v>242098.1929258545</v>
      </c>
    </row>
    <row r="70" spans="1:13" x14ac:dyDescent="0.25">
      <c r="A70" s="12">
        <v>44995</v>
      </c>
      <c r="B70" s="12" t="s">
        <v>16</v>
      </c>
      <c r="C70" s="12" t="s">
        <v>21</v>
      </c>
      <c r="D70" s="12" t="s">
        <v>15</v>
      </c>
      <c r="E70" s="13">
        <v>96590</v>
      </c>
      <c r="F70" s="14">
        <v>4</v>
      </c>
      <c r="G70" s="15">
        <v>986</v>
      </c>
      <c r="H70" s="16">
        <v>0</v>
      </c>
      <c r="I70" s="13">
        <v>3</v>
      </c>
      <c r="J70" s="15">
        <v>0</v>
      </c>
      <c r="K70" s="15">
        <v>3944</v>
      </c>
      <c r="L70" s="15">
        <v>3015.365778658364</v>
      </c>
      <c r="M70" s="15">
        <v>928.63422134163557</v>
      </c>
    </row>
    <row r="71" spans="1:13" x14ac:dyDescent="0.25">
      <c r="A71" s="12">
        <v>44996</v>
      </c>
      <c r="B71" s="12" t="s">
        <v>24</v>
      </c>
      <c r="C71" s="12" t="s">
        <v>14</v>
      </c>
      <c r="D71" s="12" t="s">
        <v>26</v>
      </c>
      <c r="E71" s="13">
        <v>33527</v>
      </c>
      <c r="F71" s="14">
        <v>7</v>
      </c>
      <c r="G71" s="15">
        <v>24262</v>
      </c>
      <c r="H71" s="16">
        <v>0.1</v>
      </c>
      <c r="I71" s="13">
        <v>1</v>
      </c>
      <c r="J71" s="15">
        <v>16983.400000000001</v>
      </c>
      <c r="K71" s="15">
        <v>152850.6</v>
      </c>
      <c r="L71" s="15">
        <v>97032.0122697021</v>
      </c>
      <c r="M71" s="15">
        <v>55818.587730297913</v>
      </c>
    </row>
    <row r="72" spans="1:13" x14ac:dyDescent="0.25">
      <c r="A72" s="12">
        <v>44997</v>
      </c>
      <c r="B72" s="12" t="s">
        <v>24</v>
      </c>
      <c r="C72" s="12" t="s">
        <v>21</v>
      </c>
      <c r="D72" s="12" t="s">
        <v>27</v>
      </c>
      <c r="E72" s="13">
        <v>28443</v>
      </c>
      <c r="F72" s="14">
        <v>41</v>
      </c>
      <c r="G72" s="15">
        <v>27113</v>
      </c>
      <c r="H72" s="16">
        <v>0.15</v>
      </c>
      <c r="I72" s="13">
        <v>1</v>
      </c>
      <c r="J72" s="15">
        <v>166744.95000000001</v>
      </c>
      <c r="K72" s="15">
        <v>944888.05</v>
      </c>
      <c r="L72" s="15">
        <v>573482.84672159981</v>
      </c>
      <c r="M72" s="15">
        <v>371405.20327840018</v>
      </c>
    </row>
    <row r="73" spans="1:13" x14ac:dyDescent="0.25">
      <c r="A73" s="12">
        <v>44998</v>
      </c>
      <c r="B73" s="12" t="s">
        <v>24</v>
      </c>
      <c r="C73" s="12" t="s">
        <v>23</v>
      </c>
      <c r="D73" s="12" t="s">
        <v>22</v>
      </c>
      <c r="E73" s="13">
        <v>26524</v>
      </c>
      <c r="F73" s="14">
        <v>31</v>
      </c>
      <c r="G73" s="15">
        <v>47768</v>
      </c>
      <c r="H73" s="16">
        <v>0.2</v>
      </c>
      <c r="I73" s="13">
        <v>2</v>
      </c>
      <c r="J73" s="15">
        <v>296161.59999999998</v>
      </c>
      <c r="K73" s="15">
        <v>1184646.3999999999</v>
      </c>
      <c r="L73" s="15">
        <v>728959.7133027605</v>
      </c>
      <c r="M73" s="15">
        <v>455686.68669723941</v>
      </c>
    </row>
    <row r="74" spans="1:13" x14ac:dyDescent="0.25">
      <c r="A74" s="12">
        <v>44999</v>
      </c>
      <c r="B74" s="12" t="s">
        <v>19</v>
      </c>
      <c r="C74" s="12" t="s">
        <v>21</v>
      </c>
      <c r="D74" s="12" t="s">
        <v>25</v>
      </c>
      <c r="E74" s="13">
        <v>38202</v>
      </c>
      <c r="F74" s="14">
        <v>39</v>
      </c>
      <c r="G74" s="15">
        <v>3696</v>
      </c>
      <c r="H74" s="16">
        <v>0</v>
      </c>
      <c r="I74" s="13">
        <v>5</v>
      </c>
      <c r="J74" s="15">
        <v>0</v>
      </c>
      <c r="K74" s="15">
        <v>144144</v>
      </c>
      <c r="L74" s="15">
        <v>127751.5886381349</v>
      </c>
      <c r="M74" s="15">
        <v>16392.411361865132</v>
      </c>
    </row>
    <row r="75" spans="1:13" x14ac:dyDescent="0.25">
      <c r="A75" s="12">
        <v>45000</v>
      </c>
      <c r="B75" s="12" t="s">
        <v>24</v>
      </c>
      <c r="C75" s="12" t="s">
        <v>14</v>
      </c>
      <c r="D75" s="12" t="s">
        <v>25</v>
      </c>
      <c r="E75" s="13">
        <v>75552</v>
      </c>
      <c r="F75" s="14">
        <v>34</v>
      </c>
      <c r="G75" s="15">
        <v>42820</v>
      </c>
      <c r="H75" s="16">
        <v>0.15</v>
      </c>
      <c r="I75" s="13">
        <v>4</v>
      </c>
      <c r="J75" s="15">
        <v>218382</v>
      </c>
      <c r="K75" s="15">
        <v>1237498</v>
      </c>
      <c r="L75" s="15">
        <v>795322.47328757879</v>
      </c>
      <c r="M75" s="15">
        <v>442175.52671242121</v>
      </c>
    </row>
    <row r="76" spans="1:13" x14ac:dyDescent="0.25">
      <c r="A76" s="12">
        <v>45001</v>
      </c>
      <c r="B76" s="12" t="s">
        <v>19</v>
      </c>
      <c r="C76" s="12" t="s">
        <v>20</v>
      </c>
      <c r="D76" s="12" t="s">
        <v>26</v>
      </c>
      <c r="E76" s="13">
        <v>56142</v>
      </c>
      <c r="F76" s="14">
        <v>6</v>
      </c>
      <c r="G76" s="15">
        <v>29901</v>
      </c>
      <c r="H76" s="16">
        <v>0.15</v>
      </c>
      <c r="I76" s="13">
        <v>3</v>
      </c>
      <c r="J76" s="15">
        <v>26910.9</v>
      </c>
      <c r="K76" s="15">
        <v>152495.1</v>
      </c>
      <c r="L76" s="15">
        <v>123908.89861797811</v>
      </c>
      <c r="M76" s="15">
        <v>28586.2013820219</v>
      </c>
    </row>
    <row r="77" spans="1:13" x14ac:dyDescent="0.25">
      <c r="A77" s="12">
        <v>45002</v>
      </c>
      <c r="B77" s="12" t="s">
        <v>24</v>
      </c>
      <c r="C77" s="12" t="s">
        <v>21</v>
      </c>
      <c r="D77" s="12" t="s">
        <v>25</v>
      </c>
      <c r="E77" s="13">
        <v>71692</v>
      </c>
      <c r="F77" s="14">
        <v>38</v>
      </c>
      <c r="G77" s="15">
        <v>35529</v>
      </c>
      <c r="H77" s="16">
        <v>0.15</v>
      </c>
      <c r="I77" s="13">
        <v>1</v>
      </c>
      <c r="J77" s="15">
        <v>202515.3</v>
      </c>
      <c r="K77" s="15">
        <v>1147586.7</v>
      </c>
      <c r="L77" s="15">
        <v>711937.38256427983</v>
      </c>
      <c r="M77" s="15">
        <v>435649.31743572012</v>
      </c>
    </row>
    <row r="78" spans="1:13" x14ac:dyDescent="0.25">
      <c r="A78" s="12">
        <v>45003</v>
      </c>
      <c r="B78" s="12" t="s">
        <v>16</v>
      </c>
      <c r="C78" s="12" t="s">
        <v>21</v>
      </c>
      <c r="D78" s="12" t="s">
        <v>25</v>
      </c>
      <c r="E78" s="13">
        <v>92384</v>
      </c>
      <c r="F78" s="14">
        <v>45</v>
      </c>
      <c r="G78" s="15">
        <v>11313</v>
      </c>
      <c r="H78" s="16">
        <v>0.15</v>
      </c>
      <c r="I78" s="13">
        <v>4</v>
      </c>
      <c r="J78" s="15">
        <v>76362.75</v>
      </c>
      <c r="K78" s="15">
        <v>432722.25</v>
      </c>
      <c r="L78" s="15">
        <v>273674.36729400023</v>
      </c>
      <c r="M78" s="15">
        <v>159047.8827059998</v>
      </c>
    </row>
    <row r="79" spans="1:13" x14ac:dyDescent="0.25">
      <c r="A79" s="12">
        <v>45004</v>
      </c>
      <c r="B79" s="12" t="s">
        <v>16</v>
      </c>
      <c r="C79" s="12" t="s">
        <v>17</v>
      </c>
      <c r="D79" s="12" t="s">
        <v>27</v>
      </c>
      <c r="E79" s="13">
        <v>30855</v>
      </c>
      <c r="F79" s="14">
        <v>34</v>
      </c>
      <c r="G79" s="15">
        <v>42416</v>
      </c>
      <c r="H79" s="16">
        <v>0.1</v>
      </c>
      <c r="I79" s="13">
        <v>5</v>
      </c>
      <c r="J79" s="15">
        <v>144214.39999999999</v>
      </c>
      <c r="K79" s="15">
        <v>1297929.6000000001</v>
      </c>
      <c r="L79" s="15">
        <v>976903.42483236524</v>
      </c>
      <c r="M79" s="15">
        <v>321026.17516763491</v>
      </c>
    </row>
    <row r="80" spans="1:13" x14ac:dyDescent="0.25">
      <c r="A80" s="12">
        <v>45005</v>
      </c>
      <c r="B80" s="12" t="s">
        <v>13</v>
      </c>
      <c r="C80" s="12" t="s">
        <v>20</v>
      </c>
      <c r="D80" s="12" t="s">
        <v>15</v>
      </c>
      <c r="E80" s="13">
        <v>93747</v>
      </c>
      <c r="F80" s="14">
        <v>44</v>
      </c>
      <c r="G80" s="15">
        <v>9072</v>
      </c>
      <c r="H80" s="16">
        <v>0.2</v>
      </c>
      <c r="I80" s="13">
        <v>3</v>
      </c>
      <c r="J80" s="15">
        <v>79833.600000000006</v>
      </c>
      <c r="K80" s="15">
        <v>319334.40000000002</v>
      </c>
      <c r="L80" s="15">
        <v>236135.4238674838</v>
      </c>
      <c r="M80" s="15">
        <v>83198.976132516225</v>
      </c>
    </row>
    <row r="81" spans="1:13" x14ac:dyDescent="0.25">
      <c r="A81" s="12">
        <v>45006</v>
      </c>
      <c r="B81" s="12" t="s">
        <v>16</v>
      </c>
      <c r="C81" s="12" t="s">
        <v>23</v>
      </c>
      <c r="D81" s="12" t="s">
        <v>26</v>
      </c>
      <c r="E81" s="13">
        <v>70372</v>
      </c>
      <c r="F81" s="14">
        <v>15</v>
      </c>
      <c r="G81" s="15">
        <v>48276</v>
      </c>
      <c r="H81" s="16">
        <v>0.2</v>
      </c>
      <c r="I81" s="13">
        <v>3</v>
      </c>
      <c r="J81" s="15">
        <v>144828</v>
      </c>
      <c r="K81" s="15">
        <v>579312</v>
      </c>
      <c r="L81" s="15">
        <v>512965.76766666892</v>
      </c>
      <c r="M81" s="15">
        <v>66346.232333331078</v>
      </c>
    </row>
    <row r="82" spans="1:13" x14ac:dyDescent="0.25">
      <c r="A82" s="12">
        <v>45007</v>
      </c>
      <c r="B82" s="12" t="s">
        <v>13</v>
      </c>
      <c r="C82" s="12" t="s">
        <v>14</v>
      </c>
      <c r="D82" s="12" t="s">
        <v>27</v>
      </c>
      <c r="E82" s="13">
        <v>35095</v>
      </c>
      <c r="F82" s="14">
        <v>14</v>
      </c>
      <c r="G82" s="15">
        <v>28725</v>
      </c>
      <c r="H82" s="16">
        <v>0</v>
      </c>
      <c r="I82" s="13">
        <v>5</v>
      </c>
      <c r="J82" s="15">
        <v>0</v>
      </c>
      <c r="K82" s="15">
        <v>402150</v>
      </c>
      <c r="L82" s="15">
        <v>355279.67322968692</v>
      </c>
      <c r="M82" s="15">
        <v>46870.326770313077</v>
      </c>
    </row>
    <row r="83" spans="1:13" x14ac:dyDescent="0.25">
      <c r="A83" s="12">
        <v>45008</v>
      </c>
      <c r="B83" s="12" t="s">
        <v>16</v>
      </c>
      <c r="C83" s="12" t="s">
        <v>23</v>
      </c>
      <c r="D83" s="12" t="s">
        <v>15</v>
      </c>
      <c r="E83" s="13">
        <v>48724</v>
      </c>
      <c r="F83" s="14">
        <v>6</v>
      </c>
      <c r="G83" s="15">
        <v>46353</v>
      </c>
      <c r="H83" s="16">
        <v>0.05</v>
      </c>
      <c r="I83" s="13">
        <v>3</v>
      </c>
      <c r="J83" s="15">
        <v>13905.9</v>
      </c>
      <c r="K83" s="15">
        <v>264212.09999999998</v>
      </c>
      <c r="L83" s="15">
        <v>220321.87098728819</v>
      </c>
      <c r="M83" s="15">
        <v>43890.229012711759</v>
      </c>
    </row>
    <row r="84" spans="1:13" x14ac:dyDescent="0.25">
      <c r="A84" s="12">
        <v>45009</v>
      </c>
      <c r="B84" s="12" t="s">
        <v>19</v>
      </c>
      <c r="C84" s="12" t="s">
        <v>20</v>
      </c>
      <c r="D84" s="12" t="s">
        <v>27</v>
      </c>
      <c r="E84" s="13">
        <v>59241</v>
      </c>
      <c r="F84" s="14">
        <v>37</v>
      </c>
      <c r="G84" s="15">
        <v>49890</v>
      </c>
      <c r="H84" s="16">
        <v>0.1</v>
      </c>
      <c r="I84" s="13">
        <v>5</v>
      </c>
      <c r="J84" s="15">
        <v>184593</v>
      </c>
      <c r="K84" s="15">
        <v>1661337</v>
      </c>
      <c r="L84" s="15">
        <v>1296890.4144474841</v>
      </c>
      <c r="M84" s="15">
        <v>364446.58555251569</v>
      </c>
    </row>
    <row r="85" spans="1:13" x14ac:dyDescent="0.25">
      <c r="A85" s="12">
        <v>45010</v>
      </c>
      <c r="B85" s="12" t="s">
        <v>16</v>
      </c>
      <c r="C85" s="12" t="s">
        <v>21</v>
      </c>
      <c r="D85" s="12" t="s">
        <v>18</v>
      </c>
      <c r="E85" s="13">
        <v>62003</v>
      </c>
      <c r="F85" s="14">
        <v>32</v>
      </c>
      <c r="G85" s="15">
        <v>32775</v>
      </c>
      <c r="H85" s="16">
        <v>0</v>
      </c>
      <c r="I85" s="13">
        <v>3</v>
      </c>
      <c r="J85" s="15">
        <v>0</v>
      </c>
      <c r="K85" s="15">
        <v>1048800</v>
      </c>
      <c r="L85" s="15">
        <v>772428.71426453709</v>
      </c>
      <c r="M85" s="15">
        <v>276371.28573546291</v>
      </c>
    </row>
    <row r="86" spans="1:13" x14ac:dyDescent="0.25">
      <c r="A86" s="12">
        <v>45011</v>
      </c>
      <c r="B86" s="12" t="s">
        <v>13</v>
      </c>
      <c r="C86" s="12" t="s">
        <v>21</v>
      </c>
      <c r="D86" s="12" t="s">
        <v>27</v>
      </c>
      <c r="E86" s="13">
        <v>78379</v>
      </c>
      <c r="F86" s="14">
        <v>3</v>
      </c>
      <c r="G86" s="15">
        <v>7343</v>
      </c>
      <c r="H86" s="16">
        <v>0</v>
      </c>
      <c r="I86" s="13">
        <v>2</v>
      </c>
      <c r="J86" s="15">
        <v>0</v>
      </c>
      <c r="K86" s="15">
        <v>22029</v>
      </c>
      <c r="L86" s="15">
        <v>15571.27707981624</v>
      </c>
      <c r="M86" s="15">
        <v>6457.7229201837636</v>
      </c>
    </row>
    <row r="87" spans="1:13" x14ac:dyDescent="0.25">
      <c r="A87" s="12">
        <v>45012</v>
      </c>
      <c r="B87" s="12" t="s">
        <v>13</v>
      </c>
      <c r="C87" s="12" t="s">
        <v>20</v>
      </c>
      <c r="D87" s="12" t="s">
        <v>25</v>
      </c>
      <c r="E87" s="13">
        <v>25972</v>
      </c>
      <c r="F87" s="14">
        <v>3</v>
      </c>
      <c r="G87" s="15">
        <v>1605</v>
      </c>
      <c r="H87" s="16">
        <v>0.15</v>
      </c>
      <c r="I87" s="13">
        <v>5</v>
      </c>
      <c r="J87" s="15">
        <v>722.25</v>
      </c>
      <c r="K87" s="15">
        <v>4092.75</v>
      </c>
      <c r="L87" s="15">
        <v>3618.5077673652609</v>
      </c>
      <c r="M87" s="15">
        <v>474.24223263473868</v>
      </c>
    </row>
    <row r="88" spans="1:13" x14ac:dyDescent="0.25">
      <c r="A88" s="12">
        <v>45013</v>
      </c>
      <c r="B88" s="12" t="s">
        <v>24</v>
      </c>
      <c r="C88" s="12" t="s">
        <v>21</v>
      </c>
      <c r="D88" s="12" t="s">
        <v>15</v>
      </c>
      <c r="E88" s="13">
        <v>32927</v>
      </c>
      <c r="F88" s="14">
        <v>22</v>
      </c>
      <c r="G88" s="15">
        <v>43709</v>
      </c>
      <c r="H88" s="16">
        <v>0.05</v>
      </c>
      <c r="I88" s="13">
        <v>4</v>
      </c>
      <c r="J88" s="15">
        <v>48079.9</v>
      </c>
      <c r="K88" s="15">
        <v>913518.1</v>
      </c>
      <c r="L88" s="15">
        <v>713341.29356578109</v>
      </c>
      <c r="M88" s="15">
        <v>200176.80643421889</v>
      </c>
    </row>
    <row r="89" spans="1:13" x14ac:dyDescent="0.25">
      <c r="A89" s="12">
        <v>45014</v>
      </c>
      <c r="B89" s="12" t="s">
        <v>19</v>
      </c>
      <c r="C89" s="12" t="s">
        <v>21</v>
      </c>
      <c r="D89" s="12" t="s">
        <v>26</v>
      </c>
      <c r="E89" s="13">
        <v>76630</v>
      </c>
      <c r="F89" s="14">
        <v>22</v>
      </c>
      <c r="G89" s="15">
        <v>32139</v>
      </c>
      <c r="H89" s="16">
        <v>0.05</v>
      </c>
      <c r="I89" s="13">
        <v>2</v>
      </c>
      <c r="J89" s="15">
        <v>35352.9</v>
      </c>
      <c r="K89" s="15">
        <v>671705.1</v>
      </c>
      <c r="L89" s="15">
        <v>519712.85103497212</v>
      </c>
      <c r="M89" s="15">
        <v>151992.24896502789</v>
      </c>
    </row>
    <row r="90" spans="1:13" x14ac:dyDescent="0.25">
      <c r="A90" s="12">
        <v>45015</v>
      </c>
      <c r="B90" s="12" t="s">
        <v>16</v>
      </c>
      <c r="C90" s="12" t="s">
        <v>21</v>
      </c>
      <c r="D90" s="12" t="s">
        <v>26</v>
      </c>
      <c r="E90" s="13">
        <v>62347</v>
      </c>
      <c r="F90" s="14">
        <v>10</v>
      </c>
      <c r="G90" s="15">
        <v>42987</v>
      </c>
      <c r="H90" s="16">
        <v>0.1</v>
      </c>
      <c r="I90" s="13">
        <v>4</v>
      </c>
      <c r="J90" s="15">
        <v>42987</v>
      </c>
      <c r="K90" s="15">
        <v>386883</v>
      </c>
      <c r="L90" s="15">
        <v>259045.38050799689</v>
      </c>
      <c r="M90" s="15">
        <v>127837.6194920031</v>
      </c>
    </row>
    <row r="91" spans="1:13" x14ac:dyDescent="0.25">
      <c r="A91" s="12">
        <v>45016</v>
      </c>
      <c r="B91" s="12" t="s">
        <v>24</v>
      </c>
      <c r="C91" s="12" t="s">
        <v>14</v>
      </c>
      <c r="D91" s="12" t="s">
        <v>15</v>
      </c>
      <c r="E91" s="13">
        <v>98860</v>
      </c>
      <c r="F91" s="14">
        <v>3</v>
      </c>
      <c r="G91" s="15">
        <v>18551</v>
      </c>
      <c r="H91" s="16">
        <v>0.05</v>
      </c>
      <c r="I91" s="13">
        <v>3</v>
      </c>
      <c r="J91" s="15">
        <v>2782.65</v>
      </c>
      <c r="K91" s="15">
        <v>52870.35</v>
      </c>
      <c r="L91" s="15">
        <v>32462.888992746652</v>
      </c>
      <c r="M91" s="15">
        <v>20407.461007253351</v>
      </c>
    </row>
    <row r="92" spans="1:13" x14ac:dyDescent="0.25">
      <c r="A92" s="12">
        <v>45017</v>
      </c>
      <c r="B92" s="12" t="s">
        <v>16</v>
      </c>
      <c r="C92" s="12" t="s">
        <v>14</v>
      </c>
      <c r="D92" s="12" t="s">
        <v>25</v>
      </c>
      <c r="E92" s="13">
        <v>96210</v>
      </c>
      <c r="F92" s="14">
        <v>12</v>
      </c>
      <c r="G92" s="15">
        <v>29208</v>
      </c>
      <c r="H92" s="16">
        <v>0</v>
      </c>
      <c r="I92" s="13">
        <v>4</v>
      </c>
      <c r="J92" s="15">
        <v>0</v>
      </c>
      <c r="K92" s="15">
        <v>350496</v>
      </c>
      <c r="L92" s="15">
        <v>309683.04493542039</v>
      </c>
      <c r="M92" s="15">
        <v>40812.955064579612</v>
      </c>
    </row>
    <row r="93" spans="1:13" x14ac:dyDescent="0.25">
      <c r="A93" s="12">
        <v>45018</v>
      </c>
      <c r="B93" s="12" t="s">
        <v>16</v>
      </c>
      <c r="C93" s="12" t="s">
        <v>17</v>
      </c>
      <c r="D93" s="12" t="s">
        <v>22</v>
      </c>
      <c r="E93" s="13">
        <v>79518</v>
      </c>
      <c r="F93" s="14">
        <v>29</v>
      </c>
      <c r="G93" s="15">
        <v>35959</v>
      </c>
      <c r="H93" s="16">
        <v>0.05</v>
      </c>
      <c r="I93" s="13">
        <v>2</v>
      </c>
      <c r="J93" s="15">
        <v>52140.55</v>
      </c>
      <c r="K93" s="15">
        <v>990670.45</v>
      </c>
      <c r="L93" s="15">
        <v>687644.74501814996</v>
      </c>
      <c r="M93" s="15">
        <v>303025.70498184999</v>
      </c>
    </row>
    <row r="94" spans="1:13" x14ac:dyDescent="0.25">
      <c r="A94" s="12">
        <v>45019</v>
      </c>
      <c r="B94" s="12" t="s">
        <v>24</v>
      </c>
      <c r="C94" s="12" t="s">
        <v>23</v>
      </c>
      <c r="D94" s="12" t="s">
        <v>27</v>
      </c>
      <c r="E94" s="13">
        <v>55283</v>
      </c>
      <c r="F94" s="14">
        <v>48</v>
      </c>
      <c r="G94" s="15">
        <v>12364</v>
      </c>
      <c r="H94" s="16">
        <v>0.05</v>
      </c>
      <c r="I94" s="13">
        <v>5</v>
      </c>
      <c r="J94" s="15">
        <v>29673.599999999999</v>
      </c>
      <c r="K94" s="15">
        <v>563798.4</v>
      </c>
      <c r="L94" s="15">
        <v>413138.33496236778</v>
      </c>
      <c r="M94" s="15">
        <v>150660.06503763219</v>
      </c>
    </row>
    <row r="95" spans="1:13" x14ac:dyDescent="0.25">
      <c r="A95" s="12">
        <v>45020</v>
      </c>
      <c r="B95" s="12" t="s">
        <v>24</v>
      </c>
      <c r="C95" s="12" t="s">
        <v>20</v>
      </c>
      <c r="D95" s="12" t="s">
        <v>25</v>
      </c>
      <c r="E95" s="13">
        <v>91326</v>
      </c>
      <c r="F95" s="14">
        <v>17</v>
      </c>
      <c r="G95" s="15">
        <v>35264</v>
      </c>
      <c r="H95" s="16">
        <v>0.2</v>
      </c>
      <c r="I95" s="13">
        <v>1</v>
      </c>
      <c r="J95" s="15">
        <v>119897.60000000001</v>
      </c>
      <c r="K95" s="15">
        <v>479590.40000000002</v>
      </c>
      <c r="L95" s="15">
        <v>304248.30492007389</v>
      </c>
      <c r="M95" s="15">
        <v>175342.0950799261</v>
      </c>
    </row>
    <row r="96" spans="1:13" x14ac:dyDescent="0.25">
      <c r="A96" s="12">
        <v>45021</v>
      </c>
      <c r="B96" s="12" t="s">
        <v>24</v>
      </c>
      <c r="C96" s="12" t="s">
        <v>20</v>
      </c>
      <c r="D96" s="12" t="s">
        <v>18</v>
      </c>
      <c r="E96" s="13">
        <v>22205</v>
      </c>
      <c r="F96" s="14">
        <v>7</v>
      </c>
      <c r="G96" s="15">
        <v>1925</v>
      </c>
      <c r="H96" s="16">
        <v>0</v>
      </c>
      <c r="I96" s="13">
        <v>4</v>
      </c>
      <c r="J96" s="15">
        <v>0</v>
      </c>
      <c r="K96" s="15">
        <v>13475</v>
      </c>
      <c r="L96" s="15">
        <v>11468.26660365831</v>
      </c>
      <c r="M96" s="15">
        <v>2006.7333963416879</v>
      </c>
    </row>
    <row r="97" spans="1:13" x14ac:dyDescent="0.25">
      <c r="A97" s="12">
        <v>45022</v>
      </c>
      <c r="B97" s="12" t="s">
        <v>24</v>
      </c>
      <c r="C97" s="12" t="s">
        <v>20</v>
      </c>
      <c r="D97" s="12" t="s">
        <v>15</v>
      </c>
      <c r="E97" s="13">
        <v>99874</v>
      </c>
      <c r="F97" s="14">
        <v>13</v>
      </c>
      <c r="G97" s="15">
        <v>49646</v>
      </c>
      <c r="H97" s="16">
        <v>0.05</v>
      </c>
      <c r="I97" s="13">
        <v>1</v>
      </c>
      <c r="J97" s="15">
        <v>32269.9</v>
      </c>
      <c r="K97" s="15">
        <v>613128.1</v>
      </c>
      <c r="L97" s="15">
        <v>372959.41595354228</v>
      </c>
      <c r="M97" s="15">
        <v>240168.6840464577</v>
      </c>
    </row>
    <row r="98" spans="1:13" x14ac:dyDescent="0.25">
      <c r="A98" s="12">
        <v>45023</v>
      </c>
      <c r="B98" s="12" t="s">
        <v>24</v>
      </c>
      <c r="C98" s="12" t="s">
        <v>17</v>
      </c>
      <c r="D98" s="12" t="s">
        <v>27</v>
      </c>
      <c r="E98" s="13">
        <v>22748</v>
      </c>
      <c r="F98" s="14">
        <v>2</v>
      </c>
      <c r="G98" s="15">
        <v>7349</v>
      </c>
      <c r="H98" s="16">
        <v>0.05</v>
      </c>
      <c r="I98" s="13">
        <v>4</v>
      </c>
      <c r="J98" s="15">
        <v>734.90000000000009</v>
      </c>
      <c r="K98" s="15">
        <v>13963.1</v>
      </c>
      <c r="L98" s="15">
        <v>11871.38892307977</v>
      </c>
      <c r="M98" s="15">
        <v>2091.71107692023</v>
      </c>
    </row>
    <row r="99" spans="1:13" x14ac:dyDescent="0.25">
      <c r="A99" s="12">
        <v>45024</v>
      </c>
      <c r="B99" s="12" t="s">
        <v>16</v>
      </c>
      <c r="C99" s="12" t="s">
        <v>14</v>
      </c>
      <c r="D99" s="12" t="s">
        <v>26</v>
      </c>
      <c r="E99" s="13">
        <v>31097</v>
      </c>
      <c r="F99" s="14">
        <v>4</v>
      </c>
      <c r="G99" s="15">
        <v>36515</v>
      </c>
      <c r="H99" s="16">
        <v>0.15</v>
      </c>
      <c r="I99" s="13">
        <v>4</v>
      </c>
      <c r="J99" s="15">
        <v>21909</v>
      </c>
      <c r="K99" s="15">
        <v>124151</v>
      </c>
      <c r="L99" s="15">
        <v>79715.557386791668</v>
      </c>
      <c r="M99" s="15">
        <v>44435.442613208332</v>
      </c>
    </row>
    <row r="100" spans="1:13" x14ac:dyDescent="0.25">
      <c r="A100" s="12">
        <v>45025</v>
      </c>
      <c r="B100" s="12" t="s">
        <v>24</v>
      </c>
      <c r="C100" s="12" t="s">
        <v>17</v>
      </c>
      <c r="D100" s="12" t="s">
        <v>22</v>
      </c>
      <c r="E100" s="13">
        <v>13092</v>
      </c>
      <c r="F100" s="14">
        <v>10</v>
      </c>
      <c r="G100" s="15">
        <v>19476</v>
      </c>
      <c r="H100" s="16">
        <v>0.05</v>
      </c>
      <c r="I100" s="13">
        <v>5</v>
      </c>
      <c r="J100" s="15">
        <v>9738</v>
      </c>
      <c r="K100" s="15">
        <v>185022</v>
      </c>
      <c r="L100" s="15">
        <v>160223.3595741723</v>
      </c>
      <c r="M100" s="15">
        <v>24798.6404258277</v>
      </c>
    </row>
    <row r="101" spans="1:13" x14ac:dyDescent="0.25">
      <c r="A101" s="12">
        <v>45026</v>
      </c>
      <c r="B101" s="12" t="s">
        <v>19</v>
      </c>
      <c r="C101" s="12" t="s">
        <v>20</v>
      </c>
      <c r="D101" s="12" t="s">
        <v>18</v>
      </c>
      <c r="E101" s="13">
        <v>63311</v>
      </c>
      <c r="F101" s="14">
        <v>39</v>
      </c>
      <c r="G101" s="15">
        <v>34758</v>
      </c>
      <c r="H101" s="16">
        <v>0.05</v>
      </c>
      <c r="I101" s="13">
        <v>3</v>
      </c>
      <c r="J101" s="15">
        <v>67778.100000000006</v>
      </c>
      <c r="K101" s="15">
        <v>1287783.8999999999</v>
      </c>
      <c r="L101" s="15">
        <v>1054607.175906613</v>
      </c>
      <c r="M101" s="15">
        <v>233176.72409338711</v>
      </c>
    </row>
    <row r="102" spans="1:13" x14ac:dyDescent="0.25">
      <c r="A102" s="12">
        <v>45027</v>
      </c>
      <c r="B102" s="12" t="s">
        <v>13</v>
      </c>
      <c r="C102" s="12" t="s">
        <v>23</v>
      </c>
      <c r="D102" s="12" t="s">
        <v>26</v>
      </c>
      <c r="E102" s="13">
        <v>32692</v>
      </c>
      <c r="F102" s="14">
        <v>24</v>
      </c>
      <c r="G102" s="15">
        <v>47578</v>
      </c>
      <c r="H102" s="16">
        <v>0.2</v>
      </c>
      <c r="I102" s="13">
        <v>2</v>
      </c>
      <c r="J102" s="15">
        <v>228374.39999999999</v>
      </c>
      <c r="K102" s="15">
        <v>913497.59999999998</v>
      </c>
      <c r="L102" s="15">
        <v>593226.326877538</v>
      </c>
      <c r="M102" s="15">
        <v>320271.27312246198</v>
      </c>
    </row>
    <row r="103" spans="1:13" x14ac:dyDescent="0.25">
      <c r="A103" s="12">
        <v>45028</v>
      </c>
      <c r="B103" s="12" t="s">
        <v>24</v>
      </c>
      <c r="C103" s="12" t="s">
        <v>21</v>
      </c>
      <c r="D103" s="12" t="s">
        <v>15</v>
      </c>
      <c r="E103" s="13">
        <v>33862</v>
      </c>
      <c r="F103" s="14">
        <v>17</v>
      </c>
      <c r="G103" s="15">
        <v>31613</v>
      </c>
      <c r="H103" s="16">
        <v>0</v>
      </c>
      <c r="I103" s="13">
        <v>2</v>
      </c>
      <c r="J103" s="15">
        <v>0</v>
      </c>
      <c r="K103" s="15">
        <v>537421</v>
      </c>
      <c r="L103" s="15">
        <v>413677.34146215848</v>
      </c>
      <c r="M103" s="15">
        <v>123743.6585378415</v>
      </c>
    </row>
    <row r="104" spans="1:13" x14ac:dyDescent="0.25">
      <c r="A104" s="12">
        <v>45029</v>
      </c>
      <c r="B104" s="12" t="s">
        <v>24</v>
      </c>
      <c r="C104" s="12" t="s">
        <v>14</v>
      </c>
      <c r="D104" s="12" t="s">
        <v>27</v>
      </c>
      <c r="E104" s="13">
        <v>89507</v>
      </c>
      <c r="F104" s="14">
        <v>6</v>
      </c>
      <c r="G104" s="15">
        <v>15901</v>
      </c>
      <c r="H104" s="16">
        <v>0.1</v>
      </c>
      <c r="I104" s="13">
        <v>2</v>
      </c>
      <c r="J104" s="15">
        <v>9540.6</v>
      </c>
      <c r="K104" s="15">
        <v>85865.4</v>
      </c>
      <c r="L104" s="15">
        <v>59573.147848390989</v>
      </c>
      <c r="M104" s="15">
        <v>26292.252151609009</v>
      </c>
    </row>
    <row r="105" spans="1:13" x14ac:dyDescent="0.25">
      <c r="A105" s="12">
        <v>45030</v>
      </c>
      <c r="B105" s="12" t="s">
        <v>16</v>
      </c>
      <c r="C105" s="12" t="s">
        <v>14</v>
      </c>
      <c r="D105" s="12" t="s">
        <v>15</v>
      </c>
      <c r="E105" s="13">
        <v>90152</v>
      </c>
      <c r="F105" s="14">
        <v>19</v>
      </c>
      <c r="G105" s="15">
        <v>13384</v>
      </c>
      <c r="H105" s="16">
        <v>0</v>
      </c>
      <c r="I105" s="13">
        <v>3</v>
      </c>
      <c r="J105" s="15">
        <v>0</v>
      </c>
      <c r="K105" s="15">
        <v>254296</v>
      </c>
      <c r="L105" s="15">
        <v>166174.789236246</v>
      </c>
      <c r="M105" s="15">
        <v>88121.210763753974</v>
      </c>
    </row>
    <row r="106" spans="1:13" x14ac:dyDescent="0.25">
      <c r="A106" s="12">
        <v>45031</v>
      </c>
      <c r="B106" s="12" t="s">
        <v>24</v>
      </c>
      <c r="C106" s="12" t="s">
        <v>17</v>
      </c>
      <c r="D106" s="12" t="s">
        <v>27</v>
      </c>
      <c r="E106" s="13">
        <v>80469</v>
      </c>
      <c r="F106" s="14">
        <v>5</v>
      </c>
      <c r="G106" s="15">
        <v>19324</v>
      </c>
      <c r="H106" s="16">
        <v>0.15</v>
      </c>
      <c r="I106" s="13">
        <v>1</v>
      </c>
      <c r="J106" s="15">
        <v>14493</v>
      </c>
      <c r="K106" s="15">
        <v>82127</v>
      </c>
      <c r="L106" s="15">
        <v>70444.816947310828</v>
      </c>
      <c r="M106" s="15">
        <v>11682.18305268917</v>
      </c>
    </row>
    <row r="107" spans="1:13" x14ac:dyDescent="0.25">
      <c r="A107" s="12">
        <v>45032</v>
      </c>
      <c r="B107" s="12" t="s">
        <v>24</v>
      </c>
      <c r="C107" s="12" t="s">
        <v>14</v>
      </c>
      <c r="D107" s="12" t="s">
        <v>25</v>
      </c>
      <c r="E107" s="13">
        <v>14926</v>
      </c>
      <c r="F107" s="14">
        <v>32</v>
      </c>
      <c r="G107" s="15">
        <v>38063</v>
      </c>
      <c r="H107" s="16">
        <v>0</v>
      </c>
      <c r="I107" s="13">
        <v>2</v>
      </c>
      <c r="J107" s="15">
        <v>0</v>
      </c>
      <c r="K107" s="15">
        <v>1218016</v>
      </c>
      <c r="L107" s="15">
        <v>878258.75579102081</v>
      </c>
      <c r="M107" s="15">
        <v>339757.24420897919</v>
      </c>
    </row>
    <row r="108" spans="1:13" x14ac:dyDescent="0.25">
      <c r="A108" s="12">
        <v>45033</v>
      </c>
      <c r="B108" s="12" t="s">
        <v>24</v>
      </c>
      <c r="C108" s="12" t="s">
        <v>20</v>
      </c>
      <c r="D108" s="12" t="s">
        <v>22</v>
      </c>
      <c r="E108" s="13">
        <v>13969</v>
      </c>
      <c r="F108" s="14">
        <v>10</v>
      </c>
      <c r="G108" s="15">
        <v>34914</v>
      </c>
      <c r="H108" s="16">
        <v>0.05</v>
      </c>
      <c r="I108" s="13">
        <v>1</v>
      </c>
      <c r="J108" s="15">
        <v>17457</v>
      </c>
      <c r="K108" s="15">
        <v>331683</v>
      </c>
      <c r="L108" s="15">
        <v>238666.85244355601</v>
      </c>
      <c r="M108" s="15">
        <v>93016.147556444048</v>
      </c>
    </row>
    <row r="109" spans="1:13" x14ac:dyDescent="0.25">
      <c r="A109" s="12">
        <v>45034</v>
      </c>
      <c r="B109" s="12" t="s">
        <v>16</v>
      </c>
      <c r="C109" s="12" t="s">
        <v>20</v>
      </c>
      <c r="D109" s="12" t="s">
        <v>25</v>
      </c>
      <c r="E109" s="13">
        <v>45733</v>
      </c>
      <c r="F109" s="14">
        <v>9</v>
      </c>
      <c r="G109" s="15">
        <v>16642</v>
      </c>
      <c r="H109" s="16">
        <v>0.15</v>
      </c>
      <c r="I109" s="13">
        <v>3</v>
      </c>
      <c r="J109" s="15">
        <v>22466.7</v>
      </c>
      <c r="K109" s="15">
        <v>127311.3</v>
      </c>
      <c r="L109" s="15">
        <v>82875.328026692412</v>
      </c>
      <c r="M109" s="15">
        <v>44435.971973307591</v>
      </c>
    </row>
    <row r="110" spans="1:13" x14ac:dyDescent="0.25">
      <c r="A110" s="12">
        <v>45035</v>
      </c>
      <c r="B110" s="12" t="s">
        <v>24</v>
      </c>
      <c r="C110" s="12" t="s">
        <v>17</v>
      </c>
      <c r="D110" s="12" t="s">
        <v>25</v>
      </c>
      <c r="E110" s="13">
        <v>79855</v>
      </c>
      <c r="F110" s="14">
        <v>27</v>
      </c>
      <c r="G110" s="15">
        <v>47574</v>
      </c>
      <c r="H110" s="16">
        <v>0</v>
      </c>
      <c r="I110" s="13">
        <v>3</v>
      </c>
      <c r="J110" s="15">
        <v>0</v>
      </c>
      <c r="K110" s="15">
        <v>1284498</v>
      </c>
      <c r="L110" s="15">
        <v>918312.92844024918</v>
      </c>
      <c r="M110" s="15">
        <v>366185.07155975082</v>
      </c>
    </row>
    <row r="111" spans="1:13" x14ac:dyDescent="0.25">
      <c r="A111" s="12">
        <v>45036</v>
      </c>
      <c r="B111" s="12" t="s">
        <v>13</v>
      </c>
      <c r="C111" s="12" t="s">
        <v>20</v>
      </c>
      <c r="D111" s="12" t="s">
        <v>15</v>
      </c>
      <c r="E111" s="13">
        <v>51743</v>
      </c>
      <c r="F111" s="14">
        <v>13</v>
      </c>
      <c r="G111" s="15">
        <v>6456</v>
      </c>
      <c r="H111" s="16">
        <v>0.15</v>
      </c>
      <c r="I111" s="13">
        <v>5</v>
      </c>
      <c r="J111" s="15">
        <v>12589.2</v>
      </c>
      <c r="K111" s="15">
        <v>71338.8</v>
      </c>
      <c r="L111" s="15">
        <v>61457.309963065367</v>
      </c>
      <c r="M111" s="15">
        <v>9881.4900369346287</v>
      </c>
    </row>
    <row r="112" spans="1:13" x14ac:dyDescent="0.25">
      <c r="A112" s="12">
        <v>45037</v>
      </c>
      <c r="B112" s="12" t="s">
        <v>16</v>
      </c>
      <c r="C112" s="12" t="s">
        <v>23</v>
      </c>
      <c r="D112" s="12" t="s">
        <v>22</v>
      </c>
      <c r="E112" s="13">
        <v>49876</v>
      </c>
      <c r="F112" s="14">
        <v>19</v>
      </c>
      <c r="G112" s="15">
        <v>14428</v>
      </c>
      <c r="H112" s="16">
        <v>0.1</v>
      </c>
      <c r="I112" s="13">
        <v>2</v>
      </c>
      <c r="J112" s="15">
        <v>27413.200000000001</v>
      </c>
      <c r="K112" s="15">
        <v>246718.8</v>
      </c>
      <c r="L112" s="15">
        <v>174908.48390926511</v>
      </c>
      <c r="M112" s="15">
        <v>71810.316090734879</v>
      </c>
    </row>
    <row r="113" spans="1:13" x14ac:dyDescent="0.25">
      <c r="A113" s="12">
        <v>45038</v>
      </c>
      <c r="B113" s="12" t="s">
        <v>13</v>
      </c>
      <c r="C113" s="12" t="s">
        <v>17</v>
      </c>
      <c r="D113" s="12" t="s">
        <v>27</v>
      </c>
      <c r="E113" s="13">
        <v>30323</v>
      </c>
      <c r="F113" s="14">
        <v>21</v>
      </c>
      <c r="G113" s="15">
        <v>10221</v>
      </c>
      <c r="H113" s="16">
        <v>0</v>
      </c>
      <c r="I113" s="13">
        <v>5</v>
      </c>
      <c r="J113" s="15">
        <v>0</v>
      </c>
      <c r="K113" s="15">
        <v>214641</v>
      </c>
      <c r="L113" s="15">
        <v>190060.54207755509</v>
      </c>
      <c r="M113" s="15">
        <v>24580.457922444912</v>
      </c>
    </row>
    <row r="114" spans="1:13" x14ac:dyDescent="0.25">
      <c r="A114" s="12">
        <v>45039</v>
      </c>
      <c r="B114" s="12" t="s">
        <v>16</v>
      </c>
      <c r="C114" s="12" t="s">
        <v>23</v>
      </c>
      <c r="D114" s="12" t="s">
        <v>27</v>
      </c>
      <c r="E114" s="13">
        <v>26428</v>
      </c>
      <c r="F114" s="14">
        <v>24</v>
      </c>
      <c r="G114" s="15">
        <v>11657</v>
      </c>
      <c r="H114" s="16">
        <v>0.05</v>
      </c>
      <c r="I114" s="13">
        <v>2</v>
      </c>
      <c r="J114" s="15">
        <v>13988.4</v>
      </c>
      <c r="K114" s="15">
        <v>265779.59999999998</v>
      </c>
      <c r="L114" s="15">
        <v>234920.64021241371</v>
      </c>
      <c r="M114" s="15">
        <v>30858.959787586329</v>
      </c>
    </row>
    <row r="115" spans="1:13" x14ac:dyDescent="0.25">
      <c r="A115" s="12">
        <v>45040</v>
      </c>
      <c r="B115" s="12" t="s">
        <v>24</v>
      </c>
      <c r="C115" s="12" t="s">
        <v>21</v>
      </c>
      <c r="D115" s="12" t="s">
        <v>18</v>
      </c>
      <c r="E115" s="13">
        <v>44578</v>
      </c>
      <c r="F115" s="14">
        <v>38</v>
      </c>
      <c r="G115" s="15">
        <v>35635</v>
      </c>
      <c r="H115" s="16">
        <v>0.15</v>
      </c>
      <c r="I115" s="13">
        <v>3</v>
      </c>
      <c r="J115" s="15">
        <v>203119.5</v>
      </c>
      <c r="K115" s="15">
        <v>1151010.5</v>
      </c>
      <c r="L115" s="15">
        <v>740640.26348960341</v>
      </c>
      <c r="M115" s="15">
        <v>410370.23651039659</v>
      </c>
    </row>
    <row r="116" spans="1:13" x14ac:dyDescent="0.25">
      <c r="A116" s="12">
        <v>45041</v>
      </c>
      <c r="B116" s="12" t="s">
        <v>13</v>
      </c>
      <c r="C116" s="12" t="s">
        <v>23</v>
      </c>
      <c r="D116" s="12" t="s">
        <v>26</v>
      </c>
      <c r="E116" s="13">
        <v>96486</v>
      </c>
      <c r="F116" s="14">
        <v>4</v>
      </c>
      <c r="G116" s="15">
        <v>7196</v>
      </c>
      <c r="H116" s="16">
        <v>0.2</v>
      </c>
      <c r="I116" s="13">
        <v>3</v>
      </c>
      <c r="J116" s="15">
        <v>5756.8</v>
      </c>
      <c r="K116" s="15">
        <v>23027.200000000001</v>
      </c>
      <c r="L116" s="15">
        <v>15041.21450913499</v>
      </c>
      <c r="M116" s="15">
        <v>7985.9854908650068</v>
      </c>
    </row>
    <row r="117" spans="1:13" x14ac:dyDescent="0.25">
      <c r="A117" s="12">
        <v>45042</v>
      </c>
      <c r="B117" s="12" t="s">
        <v>16</v>
      </c>
      <c r="C117" s="12" t="s">
        <v>21</v>
      </c>
      <c r="D117" s="12" t="s">
        <v>18</v>
      </c>
      <c r="E117" s="13">
        <v>74140</v>
      </c>
      <c r="F117" s="14">
        <v>24</v>
      </c>
      <c r="G117" s="15">
        <v>28362</v>
      </c>
      <c r="H117" s="16">
        <v>0.15</v>
      </c>
      <c r="I117" s="13">
        <v>4</v>
      </c>
      <c r="J117" s="15">
        <v>102103.2</v>
      </c>
      <c r="K117" s="15">
        <v>578584.80000000005</v>
      </c>
      <c r="L117" s="15">
        <v>496889.91133444861</v>
      </c>
      <c r="M117" s="15">
        <v>81694.888665551436</v>
      </c>
    </row>
    <row r="118" spans="1:13" x14ac:dyDescent="0.25">
      <c r="A118" s="12">
        <v>45043</v>
      </c>
      <c r="B118" s="12" t="s">
        <v>19</v>
      </c>
      <c r="C118" s="12" t="s">
        <v>21</v>
      </c>
      <c r="D118" s="12" t="s">
        <v>18</v>
      </c>
      <c r="E118" s="13">
        <v>93829</v>
      </c>
      <c r="F118" s="14">
        <v>35</v>
      </c>
      <c r="G118" s="15">
        <v>5690</v>
      </c>
      <c r="H118" s="16">
        <v>0.2</v>
      </c>
      <c r="I118" s="13">
        <v>4</v>
      </c>
      <c r="J118" s="15">
        <v>39830</v>
      </c>
      <c r="K118" s="15">
        <v>159320</v>
      </c>
      <c r="L118" s="15">
        <v>114364.4008809259</v>
      </c>
      <c r="M118" s="15">
        <v>44955.599119074133</v>
      </c>
    </row>
    <row r="119" spans="1:13" x14ac:dyDescent="0.25">
      <c r="A119" s="12">
        <v>45044</v>
      </c>
      <c r="B119" s="12" t="s">
        <v>24</v>
      </c>
      <c r="C119" s="12" t="s">
        <v>23</v>
      </c>
      <c r="D119" s="12" t="s">
        <v>27</v>
      </c>
      <c r="E119" s="13">
        <v>16364</v>
      </c>
      <c r="F119" s="14">
        <v>3</v>
      </c>
      <c r="G119" s="15">
        <v>5163</v>
      </c>
      <c r="H119" s="16">
        <v>0.05</v>
      </c>
      <c r="I119" s="13">
        <v>3</v>
      </c>
      <c r="J119" s="15">
        <v>774.45</v>
      </c>
      <c r="K119" s="15">
        <v>14714.55</v>
      </c>
      <c r="L119" s="15">
        <v>8848.0383543007356</v>
      </c>
      <c r="M119" s="15">
        <v>5866.5116456992637</v>
      </c>
    </row>
    <row r="120" spans="1:13" x14ac:dyDescent="0.25">
      <c r="A120" s="12">
        <v>45045</v>
      </c>
      <c r="B120" s="12" t="s">
        <v>16</v>
      </c>
      <c r="C120" s="12" t="s">
        <v>17</v>
      </c>
      <c r="D120" s="12" t="s">
        <v>15</v>
      </c>
      <c r="E120" s="13">
        <v>45349</v>
      </c>
      <c r="F120" s="14">
        <v>4</v>
      </c>
      <c r="G120" s="15">
        <v>40330</v>
      </c>
      <c r="H120" s="16">
        <v>0.1</v>
      </c>
      <c r="I120" s="13">
        <v>3</v>
      </c>
      <c r="J120" s="15">
        <v>16132</v>
      </c>
      <c r="K120" s="15">
        <v>145188</v>
      </c>
      <c r="L120" s="15">
        <v>99041.670527815018</v>
      </c>
      <c r="M120" s="15">
        <v>46146.329472184982</v>
      </c>
    </row>
    <row r="121" spans="1:13" x14ac:dyDescent="0.25">
      <c r="A121" s="12">
        <v>45046</v>
      </c>
      <c r="B121" s="12" t="s">
        <v>19</v>
      </c>
      <c r="C121" s="12" t="s">
        <v>20</v>
      </c>
      <c r="D121" s="12" t="s">
        <v>25</v>
      </c>
      <c r="E121" s="13">
        <v>10691</v>
      </c>
      <c r="F121" s="14">
        <v>37</v>
      </c>
      <c r="G121" s="15">
        <v>4831</v>
      </c>
      <c r="H121" s="16">
        <v>0.2</v>
      </c>
      <c r="I121" s="13">
        <v>1</v>
      </c>
      <c r="J121" s="15">
        <v>35749.4</v>
      </c>
      <c r="K121" s="15">
        <v>142997.6</v>
      </c>
      <c r="L121" s="15">
        <v>111436.4135152144</v>
      </c>
      <c r="M121" s="15">
        <v>31561.18648478559</v>
      </c>
    </row>
    <row r="122" spans="1:13" x14ac:dyDescent="0.25">
      <c r="A122" s="12">
        <v>45047</v>
      </c>
      <c r="B122" s="12" t="s">
        <v>16</v>
      </c>
      <c r="C122" s="12" t="s">
        <v>20</v>
      </c>
      <c r="D122" s="12" t="s">
        <v>25</v>
      </c>
      <c r="E122" s="13">
        <v>76467</v>
      </c>
      <c r="F122" s="14">
        <v>40</v>
      </c>
      <c r="G122" s="15">
        <v>45148</v>
      </c>
      <c r="H122" s="16">
        <v>0.1</v>
      </c>
      <c r="I122" s="13">
        <v>1</v>
      </c>
      <c r="J122" s="15">
        <v>180592</v>
      </c>
      <c r="K122" s="15">
        <v>1625328</v>
      </c>
      <c r="L122" s="15">
        <v>1364917.6061765349</v>
      </c>
      <c r="M122" s="15">
        <v>260410.3938234651</v>
      </c>
    </row>
    <row r="123" spans="1:13" x14ac:dyDescent="0.25">
      <c r="A123" s="12">
        <v>45048</v>
      </c>
      <c r="B123" s="12" t="s">
        <v>19</v>
      </c>
      <c r="C123" s="12" t="s">
        <v>21</v>
      </c>
      <c r="D123" s="12" t="s">
        <v>25</v>
      </c>
      <c r="E123" s="13">
        <v>55896</v>
      </c>
      <c r="F123" s="14">
        <v>48</v>
      </c>
      <c r="G123" s="15">
        <v>29049</v>
      </c>
      <c r="H123" s="16">
        <v>0.15</v>
      </c>
      <c r="I123" s="13">
        <v>5</v>
      </c>
      <c r="J123" s="15">
        <v>209152.8</v>
      </c>
      <c r="K123" s="15">
        <v>1185199.2</v>
      </c>
      <c r="L123" s="15">
        <v>758547.14468041121</v>
      </c>
      <c r="M123" s="15">
        <v>426652.05531958869</v>
      </c>
    </row>
    <row r="124" spans="1:13" x14ac:dyDescent="0.25">
      <c r="A124" s="12">
        <v>45049</v>
      </c>
      <c r="B124" s="12" t="s">
        <v>24</v>
      </c>
      <c r="C124" s="12" t="s">
        <v>21</v>
      </c>
      <c r="D124" s="12" t="s">
        <v>22</v>
      </c>
      <c r="E124" s="13">
        <v>67062</v>
      </c>
      <c r="F124" s="14">
        <v>35</v>
      </c>
      <c r="G124" s="15">
        <v>16746</v>
      </c>
      <c r="H124" s="16">
        <v>0.05</v>
      </c>
      <c r="I124" s="13">
        <v>4</v>
      </c>
      <c r="J124" s="15">
        <v>29305.5</v>
      </c>
      <c r="K124" s="15">
        <v>556804.5</v>
      </c>
      <c r="L124" s="15">
        <v>352547.67874301341</v>
      </c>
      <c r="M124" s="15">
        <v>204256.82125698659</v>
      </c>
    </row>
    <row r="125" spans="1:13" x14ac:dyDescent="0.25">
      <c r="A125" s="12">
        <v>45050</v>
      </c>
      <c r="B125" s="12" t="s">
        <v>13</v>
      </c>
      <c r="C125" s="12" t="s">
        <v>17</v>
      </c>
      <c r="D125" s="12" t="s">
        <v>27</v>
      </c>
      <c r="E125" s="13">
        <v>89762</v>
      </c>
      <c r="F125" s="14">
        <v>31</v>
      </c>
      <c r="G125" s="15">
        <v>26261</v>
      </c>
      <c r="H125" s="16">
        <v>0.2</v>
      </c>
      <c r="I125" s="13">
        <v>4</v>
      </c>
      <c r="J125" s="15">
        <v>162818.20000000001</v>
      </c>
      <c r="K125" s="15">
        <v>651272.80000000005</v>
      </c>
      <c r="L125" s="15">
        <v>570923.83930544474</v>
      </c>
      <c r="M125" s="15">
        <v>80348.96069455531</v>
      </c>
    </row>
    <row r="126" spans="1:13" x14ac:dyDescent="0.25">
      <c r="A126" s="12">
        <v>45051</v>
      </c>
      <c r="B126" s="12" t="s">
        <v>19</v>
      </c>
      <c r="C126" s="12" t="s">
        <v>14</v>
      </c>
      <c r="D126" s="12" t="s">
        <v>15</v>
      </c>
      <c r="E126" s="13">
        <v>23861</v>
      </c>
      <c r="F126" s="14">
        <v>44</v>
      </c>
      <c r="G126" s="15">
        <v>3762</v>
      </c>
      <c r="H126" s="16">
        <v>0.15</v>
      </c>
      <c r="I126" s="13">
        <v>3</v>
      </c>
      <c r="J126" s="15">
        <v>24829.200000000001</v>
      </c>
      <c r="K126" s="15">
        <v>140698.79999999999</v>
      </c>
      <c r="L126" s="15">
        <v>116124.9821923788</v>
      </c>
      <c r="M126" s="15">
        <v>24573.817807621192</v>
      </c>
    </row>
    <row r="127" spans="1:13" x14ac:dyDescent="0.25">
      <c r="A127" s="12">
        <v>45052</v>
      </c>
      <c r="B127" s="12" t="s">
        <v>16</v>
      </c>
      <c r="C127" s="12" t="s">
        <v>23</v>
      </c>
      <c r="D127" s="12" t="s">
        <v>22</v>
      </c>
      <c r="E127" s="13">
        <v>98302</v>
      </c>
      <c r="F127" s="14">
        <v>25</v>
      </c>
      <c r="G127" s="15">
        <v>46588</v>
      </c>
      <c r="H127" s="16">
        <v>0</v>
      </c>
      <c r="I127" s="13">
        <v>3</v>
      </c>
      <c r="J127" s="15">
        <v>0</v>
      </c>
      <c r="K127" s="15">
        <v>1164700</v>
      </c>
      <c r="L127" s="15">
        <v>904894.89030786848</v>
      </c>
      <c r="M127" s="15">
        <v>259805.10969213149</v>
      </c>
    </row>
    <row r="128" spans="1:13" x14ac:dyDescent="0.25">
      <c r="A128" s="12">
        <v>45053</v>
      </c>
      <c r="B128" s="12" t="s">
        <v>24</v>
      </c>
      <c r="C128" s="12" t="s">
        <v>21</v>
      </c>
      <c r="D128" s="12" t="s">
        <v>26</v>
      </c>
      <c r="E128" s="13">
        <v>73928</v>
      </c>
      <c r="F128" s="14">
        <v>40</v>
      </c>
      <c r="G128" s="15">
        <v>7536</v>
      </c>
      <c r="H128" s="16">
        <v>0.15</v>
      </c>
      <c r="I128" s="13">
        <v>5</v>
      </c>
      <c r="J128" s="15">
        <v>45216</v>
      </c>
      <c r="K128" s="15">
        <v>256224</v>
      </c>
      <c r="L128" s="15">
        <v>212859.63482397501</v>
      </c>
      <c r="M128" s="15">
        <v>43364.365176024992</v>
      </c>
    </row>
    <row r="129" spans="1:13" x14ac:dyDescent="0.25">
      <c r="A129" s="12">
        <v>45054</v>
      </c>
      <c r="B129" s="12" t="s">
        <v>19</v>
      </c>
      <c r="C129" s="12" t="s">
        <v>20</v>
      </c>
      <c r="D129" s="12" t="s">
        <v>15</v>
      </c>
      <c r="E129" s="13">
        <v>93231</v>
      </c>
      <c r="F129" s="14">
        <v>13</v>
      </c>
      <c r="G129" s="15">
        <v>22822</v>
      </c>
      <c r="H129" s="16">
        <v>0.1</v>
      </c>
      <c r="I129" s="13">
        <v>4</v>
      </c>
      <c r="J129" s="15">
        <v>29668.6</v>
      </c>
      <c r="K129" s="15">
        <v>267017.40000000002</v>
      </c>
      <c r="L129" s="15">
        <v>194563.91296042781</v>
      </c>
      <c r="M129" s="15">
        <v>72453.487039572268</v>
      </c>
    </row>
    <row r="130" spans="1:13" x14ac:dyDescent="0.25">
      <c r="A130" s="12">
        <v>45055</v>
      </c>
      <c r="B130" s="12" t="s">
        <v>16</v>
      </c>
      <c r="C130" s="12" t="s">
        <v>17</v>
      </c>
      <c r="D130" s="12" t="s">
        <v>18</v>
      </c>
      <c r="E130" s="13">
        <v>51347</v>
      </c>
      <c r="F130" s="14">
        <v>4</v>
      </c>
      <c r="G130" s="15">
        <v>19631</v>
      </c>
      <c r="H130" s="16">
        <v>0.05</v>
      </c>
      <c r="I130" s="13">
        <v>1</v>
      </c>
      <c r="J130" s="15">
        <v>3926.2</v>
      </c>
      <c r="K130" s="15">
        <v>74597.8</v>
      </c>
      <c r="L130" s="15">
        <v>61732.419043985043</v>
      </c>
      <c r="M130" s="15">
        <v>12865.380956014969</v>
      </c>
    </row>
    <row r="131" spans="1:13" x14ac:dyDescent="0.25">
      <c r="A131" s="12">
        <v>45056</v>
      </c>
      <c r="B131" s="12" t="s">
        <v>16</v>
      </c>
      <c r="C131" s="12" t="s">
        <v>23</v>
      </c>
      <c r="D131" s="12" t="s">
        <v>15</v>
      </c>
      <c r="E131" s="13">
        <v>13121</v>
      </c>
      <c r="F131" s="14">
        <v>46</v>
      </c>
      <c r="G131" s="15">
        <v>5177</v>
      </c>
      <c r="H131" s="16">
        <v>0.05</v>
      </c>
      <c r="I131" s="13">
        <v>2</v>
      </c>
      <c r="J131" s="15">
        <v>11907.1</v>
      </c>
      <c r="K131" s="15">
        <v>226234.9</v>
      </c>
      <c r="L131" s="15">
        <v>160975.38376520859</v>
      </c>
      <c r="M131" s="15">
        <v>65259.516234791372</v>
      </c>
    </row>
    <row r="132" spans="1:13" x14ac:dyDescent="0.25">
      <c r="A132" s="12">
        <v>45057</v>
      </c>
      <c r="B132" s="12" t="s">
        <v>16</v>
      </c>
      <c r="C132" s="12" t="s">
        <v>17</v>
      </c>
      <c r="D132" s="12" t="s">
        <v>15</v>
      </c>
      <c r="E132" s="13">
        <v>93793</v>
      </c>
      <c r="F132" s="14">
        <v>14</v>
      </c>
      <c r="G132" s="15">
        <v>8472</v>
      </c>
      <c r="H132" s="16">
        <v>0.15</v>
      </c>
      <c r="I132" s="13">
        <v>5</v>
      </c>
      <c r="J132" s="15">
        <v>17791.2</v>
      </c>
      <c r="K132" s="15">
        <v>100816.8</v>
      </c>
      <c r="L132" s="15">
        <v>67872.730108821663</v>
      </c>
      <c r="M132" s="15">
        <v>32944.06989117834</v>
      </c>
    </row>
    <row r="133" spans="1:13" x14ac:dyDescent="0.25">
      <c r="A133" s="12">
        <v>45058</v>
      </c>
      <c r="B133" s="12" t="s">
        <v>19</v>
      </c>
      <c r="C133" s="12" t="s">
        <v>23</v>
      </c>
      <c r="D133" s="12" t="s">
        <v>25</v>
      </c>
      <c r="E133" s="13">
        <v>38164</v>
      </c>
      <c r="F133" s="14">
        <v>13</v>
      </c>
      <c r="G133" s="15">
        <v>15829</v>
      </c>
      <c r="H133" s="16">
        <v>0</v>
      </c>
      <c r="I133" s="13">
        <v>2</v>
      </c>
      <c r="J133" s="15">
        <v>0</v>
      </c>
      <c r="K133" s="15">
        <v>205777</v>
      </c>
      <c r="L133" s="15">
        <v>168470.45843802101</v>
      </c>
      <c r="M133" s="15">
        <v>37306.541561979007</v>
      </c>
    </row>
    <row r="134" spans="1:13" x14ac:dyDescent="0.25">
      <c r="A134" s="12">
        <v>45059</v>
      </c>
      <c r="B134" s="12" t="s">
        <v>19</v>
      </c>
      <c r="C134" s="12" t="s">
        <v>23</v>
      </c>
      <c r="D134" s="12" t="s">
        <v>15</v>
      </c>
      <c r="E134" s="13">
        <v>35491</v>
      </c>
      <c r="F134" s="14">
        <v>27</v>
      </c>
      <c r="G134" s="15">
        <v>37532</v>
      </c>
      <c r="H134" s="16">
        <v>0.1</v>
      </c>
      <c r="I134" s="13">
        <v>1</v>
      </c>
      <c r="J134" s="15">
        <v>101336.4</v>
      </c>
      <c r="K134" s="15">
        <v>912027.6</v>
      </c>
      <c r="L134" s="15">
        <v>662042.37402080756</v>
      </c>
      <c r="M134" s="15">
        <v>249985.22597919239</v>
      </c>
    </row>
    <row r="135" spans="1:13" x14ac:dyDescent="0.25">
      <c r="A135" s="12">
        <v>45060</v>
      </c>
      <c r="B135" s="12" t="s">
        <v>19</v>
      </c>
      <c r="C135" s="12" t="s">
        <v>21</v>
      </c>
      <c r="D135" s="12" t="s">
        <v>18</v>
      </c>
      <c r="E135" s="13">
        <v>69222</v>
      </c>
      <c r="F135" s="14">
        <v>6</v>
      </c>
      <c r="G135" s="15">
        <v>36401</v>
      </c>
      <c r="H135" s="16">
        <v>0.15</v>
      </c>
      <c r="I135" s="13">
        <v>1</v>
      </c>
      <c r="J135" s="15">
        <v>32760.9</v>
      </c>
      <c r="K135" s="15">
        <v>185645.1</v>
      </c>
      <c r="L135" s="15">
        <v>166043.4152011041</v>
      </c>
      <c r="M135" s="15">
        <v>19601.684798895931</v>
      </c>
    </row>
    <row r="136" spans="1:13" x14ac:dyDescent="0.25">
      <c r="A136" s="12">
        <v>45061</v>
      </c>
      <c r="B136" s="12" t="s">
        <v>13</v>
      </c>
      <c r="C136" s="12" t="s">
        <v>17</v>
      </c>
      <c r="D136" s="12" t="s">
        <v>18</v>
      </c>
      <c r="E136" s="13">
        <v>33165</v>
      </c>
      <c r="F136" s="14">
        <v>17</v>
      </c>
      <c r="G136" s="15">
        <v>44880</v>
      </c>
      <c r="H136" s="16">
        <v>0.15</v>
      </c>
      <c r="I136" s="13">
        <v>2</v>
      </c>
      <c r="J136" s="15">
        <v>114444</v>
      </c>
      <c r="K136" s="15">
        <v>648516</v>
      </c>
      <c r="L136" s="15">
        <v>457103.61974691611</v>
      </c>
      <c r="M136" s="15">
        <v>191412.38025308389</v>
      </c>
    </row>
    <row r="137" spans="1:13" x14ac:dyDescent="0.25">
      <c r="A137" s="12">
        <v>45062</v>
      </c>
      <c r="B137" s="12" t="s">
        <v>19</v>
      </c>
      <c r="C137" s="12" t="s">
        <v>17</v>
      </c>
      <c r="D137" s="12" t="s">
        <v>27</v>
      </c>
      <c r="E137" s="13">
        <v>13748</v>
      </c>
      <c r="F137" s="14">
        <v>36</v>
      </c>
      <c r="G137" s="15">
        <v>20993</v>
      </c>
      <c r="H137" s="16">
        <v>0.05</v>
      </c>
      <c r="I137" s="13">
        <v>5</v>
      </c>
      <c r="J137" s="15">
        <v>37787.4</v>
      </c>
      <c r="K137" s="15">
        <v>717960.6</v>
      </c>
      <c r="L137" s="15">
        <v>629305.55156428099</v>
      </c>
      <c r="M137" s="15">
        <v>88655.048435718985</v>
      </c>
    </row>
    <row r="138" spans="1:13" x14ac:dyDescent="0.25">
      <c r="A138" s="12">
        <v>45063</v>
      </c>
      <c r="B138" s="12" t="s">
        <v>19</v>
      </c>
      <c r="C138" s="12" t="s">
        <v>20</v>
      </c>
      <c r="D138" s="12" t="s">
        <v>15</v>
      </c>
      <c r="E138" s="13">
        <v>36553</v>
      </c>
      <c r="F138" s="14">
        <v>40</v>
      </c>
      <c r="G138" s="15">
        <v>19095</v>
      </c>
      <c r="H138" s="16">
        <v>0.1</v>
      </c>
      <c r="I138" s="13">
        <v>2</v>
      </c>
      <c r="J138" s="15">
        <v>76380</v>
      </c>
      <c r="K138" s="15">
        <v>687420</v>
      </c>
      <c r="L138" s="15">
        <v>604853.13454079453</v>
      </c>
      <c r="M138" s="15">
        <v>82566.865459205466</v>
      </c>
    </row>
    <row r="139" spans="1:13" x14ac:dyDescent="0.25">
      <c r="A139" s="12">
        <v>45064</v>
      </c>
      <c r="B139" s="12" t="s">
        <v>19</v>
      </c>
      <c r="C139" s="12" t="s">
        <v>20</v>
      </c>
      <c r="D139" s="12" t="s">
        <v>25</v>
      </c>
      <c r="E139" s="13">
        <v>70380</v>
      </c>
      <c r="F139" s="14">
        <v>49</v>
      </c>
      <c r="G139" s="15">
        <v>22423</v>
      </c>
      <c r="H139" s="16">
        <v>0</v>
      </c>
      <c r="I139" s="13">
        <v>5</v>
      </c>
      <c r="J139" s="15">
        <v>0</v>
      </c>
      <c r="K139" s="15">
        <v>1098727</v>
      </c>
      <c r="L139" s="15">
        <v>738955.30889088218</v>
      </c>
      <c r="M139" s="15">
        <v>359771.69110911782</v>
      </c>
    </row>
    <row r="140" spans="1:13" x14ac:dyDescent="0.25">
      <c r="A140" s="12">
        <v>45065</v>
      </c>
      <c r="B140" s="12" t="s">
        <v>13</v>
      </c>
      <c r="C140" s="12" t="s">
        <v>21</v>
      </c>
      <c r="D140" s="12" t="s">
        <v>15</v>
      </c>
      <c r="E140" s="13">
        <v>54331</v>
      </c>
      <c r="F140" s="14">
        <v>35</v>
      </c>
      <c r="G140" s="15">
        <v>47426</v>
      </c>
      <c r="H140" s="16">
        <v>0.05</v>
      </c>
      <c r="I140" s="13">
        <v>5</v>
      </c>
      <c r="J140" s="15">
        <v>82995.5</v>
      </c>
      <c r="K140" s="15">
        <v>1576914.5</v>
      </c>
      <c r="L140" s="15">
        <v>1323766.666635982</v>
      </c>
      <c r="M140" s="15">
        <v>253147.8333640185</v>
      </c>
    </row>
    <row r="141" spans="1:13" x14ac:dyDescent="0.25">
      <c r="A141" s="12">
        <v>45066</v>
      </c>
      <c r="B141" s="12" t="s">
        <v>19</v>
      </c>
      <c r="C141" s="12" t="s">
        <v>21</v>
      </c>
      <c r="D141" s="12" t="s">
        <v>26</v>
      </c>
      <c r="E141" s="13">
        <v>49560</v>
      </c>
      <c r="F141" s="14">
        <v>17</v>
      </c>
      <c r="G141" s="15">
        <v>10235</v>
      </c>
      <c r="H141" s="16">
        <v>0.15</v>
      </c>
      <c r="I141" s="13">
        <v>3</v>
      </c>
      <c r="J141" s="15">
        <v>26099.25</v>
      </c>
      <c r="K141" s="15">
        <v>147895.75</v>
      </c>
      <c r="L141" s="15">
        <v>107952.4136232703</v>
      </c>
      <c r="M141" s="15">
        <v>39943.336376729712</v>
      </c>
    </row>
    <row r="142" spans="1:13" x14ac:dyDescent="0.25">
      <c r="A142" s="12">
        <v>45067</v>
      </c>
      <c r="B142" s="12" t="s">
        <v>16</v>
      </c>
      <c r="C142" s="12" t="s">
        <v>14</v>
      </c>
      <c r="D142" s="12" t="s">
        <v>26</v>
      </c>
      <c r="E142" s="13">
        <v>63865</v>
      </c>
      <c r="F142" s="14">
        <v>41</v>
      </c>
      <c r="G142" s="15">
        <v>34957</v>
      </c>
      <c r="H142" s="16">
        <v>0.05</v>
      </c>
      <c r="I142" s="13">
        <v>4</v>
      </c>
      <c r="J142" s="15">
        <v>71661.850000000006</v>
      </c>
      <c r="K142" s="15">
        <v>1361575.15</v>
      </c>
      <c r="L142" s="15">
        <v>1191728.750432211</v>
      </c>
      <c r="M142" s="15">
        <v>169846.3995677889</v>
      </c>
    </row>
    <row r="143" spans="1:13" x14ac:dyDescent="0.25">
      <c r="A143" s="12">
        <v>45068</v>
      </c>
      <c r="B143" s="12" t="s">
        <v>19</v>
      </c>
      <c r="C143" s="12" t="s">
        <v>20</v>
      </c>
      <c r="D143" s="12" t="s">
        <v>25</v>
      </c>
      <c r="E143" s="13">
        <v>56686</v>
      </c>
      <c r="F143" s="14">
        <v>2</v>
      </c>
      <c r="G143" s="15">
        <v>43031</v>
      </c>
      <c r="H143" s="16">
        <v>0.05</v>
      </c>
      <c r="I143" s="13">
        <v>4</v>
      </c>
      <c r="J143" s="15">
        <v>4303.1000000000004</v>
      </c>
      <c r="K143" s="15">
        <v>81758.899999999994</v>
      </c>
      <c r="L143" s="15">
        <v>60095.839618187172</v>
      </c>
      <c r="M143" s="15">
        <v>21663.060381812818</v>
      </c>
    </row>
    <row r="144" spans="1:13" x14ac:dyDescent="0.25">
      <c r="A144" s="12">
        <v>45069</v>
      </c>
      <c r="B144" s="12" t="s">
        <v>16</v>
      </c>
      <c r="C144" s="12" t="s">
        <v>23</v>
      </c>
      <c r="D144" s="12" t="s">
        <v>27</v>
      </c>
      <c r="E144" s="13">
        <v>85910</v>
      </c>
      <c r="F144" s="14">
        <v>13</v>
      </c>
      <c r="G144" s="15">
        <v>8227</v>
      </c>
      <c r="H144" s="16">
        <v>0.2</v>
      </c>
      <c r="I144" s="13">
        <v>1</v>
      </c>
      <c r="J144" s="15">
        <v>21390.2</v>
      </c>
      <c r="K144" s="15">
        <v>85560.8</v>
      </c>
      <c r="L144" s="15">
        <v>70441.446449507683</v>
      </c>
      <c r="M144" s="15">
        <v>15119.35355049232</v>
      </c>
    </row>
    <row r="145" spans="1:13" x14ac:dyDescent="0.25">
      <c r="A145" s="12">
        <v>45070</v>
      </c>
      <c r="B145" s="12" t="s">
        <v>16</v>
      </c>
      <c r="C145" s="12" t="s">
        <v>17</v>
      </c>
      <c r="D145" s="12" t="s">
        <v>27</v>
      </c>
      <c r="E145" s="13">
        <v>14675</v>
      </c>
      <c r="F145" s="14">
        <v>2</v>
      </c>
      <c r="G145" s="15">
        <v>8264</v>
      </c>
      <c r="H145" s="16">
        <v>0.05</v>
      </c>
      <c r="I145" s="13">
        <v>3</v>
      </c>
      <c r="J145" s="15">
        <v>826.40000000000009</v>
      </c>
      <c r="K145" s="15">
        <v>15701.6</v>
      </c>
      <c r="L145" s="15">
        <v>11620.600641517891</v>
      </c>
      <c r="M145" s="15">
        <v>4080.9993584821132</v>
      </c>
    </row>
    <row r="146" spans="1:13" x14ac:dyDescent="0.25">
      <c r="A146" s="12">
        <v>45071</v>
      </c>
      <c r="B146" s="12" t="s">
        <v>16</v>
      </c>
      <c r="C146" s="12" t="s">
        <v>21</v>
      </c>
      <c r="D146" s="12" t="s">
        <v>18</v>
      </c>
      <c r="E146" s="13">
        <v>76706</v>
      </c>
      <c r="F146" s="14">
        <v>28</v>
      </c>
      <c r="G146" s="15">
        <v>46271</v>
      </c>
      <c r="H146" s="16">
        <v>0.05</v>
      </c>
      <c r="I146" s="13">
        <v>4</v>
      </c>
      <c r="J146" s="15">
        <v>64779.4</v>
      </c>
      <c r="K146" s="15">
        <v>1230808.6000000001</v>
      </c>
      <c r="L146" s="15">
        <v>822598.89876536478</v>
      </c>
      <c r="M146" s="15">
        <v>408209.70123463531</v>
      </c>
    </row>
    <row r="147" spans="1:13" x14ac:dyDescent="0.25">
      <c r="A147" s="12">
        <v>45072</v>
      </c>
      <c r="B147" s="12" t="s">
        <v>13</v>
      </c>
      <c r="C147" s="12" t="s">
        <v>17</v>
      </c>
      <c r="D147" s="12" t="s">
        <v>18</v>
      </c>
      <c r="E147" s="13">
        <v>87986</v>
      </c>
      <c r="F147" s="14">
        <v>43</v>
      </c>
      <c r="G147" s="15">
        <v>28099</v>
      </c>
      <c r="H147" s="16">
        <v>0.1</v>
      </c>
      <c r="I147" s="13">
        <v>5</v>
      </c>
      <c r="J147" s="15">
        <v>120825.7</v>
      </c>
      <c r="K147" s="15">
        <v>1087431.3</v>
      </c>
      <c r="L147" s="15">
        <v>717492.65096204635</v>
      </c>
      <c r="M147" s="15">
        <v>369938.6490379537</v>
      </c>
    </row>
    <row r="148" spans="1:13" x14ac:dyDescent="0.25">
      <c r="A148" s="12">
        <v>45073</v>
      </c>
      <c r="B148" s="12" t="s">
        <v>13</v>
      </c>
      <c r="C148" s="12" t="s">
        <v>17</v>
      </c>
      <c r="D148" s="12" t="s">
        <v>22</v>
      </c>
      <c r="E148" s="13">
        <v>86216</v>
      </c>
      <c r="F148" s="14">
        <v>26</v>
      </c>
      <c r="G148" s="15">
        <v>1318</v>
      </c>
      <c r="H148" s="16">
        <v>0.05</v>
      </c>
      <c r="I148" s="13">
        <v>5</v>
      </c>
      <c r="J148" s="15">
        <v>1713.4</v>
      </c>
      <c r="K148" s="15">
        <v>32554.6</v>
      </c>
      <c r="L148" s="15">
        <v>23687.682706961288</v>
      </c>
      <c r="M148" s="15">
        <v>8866.9172930387103</v>
      </c>
    </row>
    <row r="149" spans="1:13" x14ac:dyDescent="0.25">
      <c r="A149" s="12">
        <v>45074</v>
      </c>
      <c r="B149" s="12" t="s">
        <v>13</v>
      </c>
      <c r="C149" s="12" t="s">
        <v>14</v>
      </c>
      <c r="D149" s="12" t="s">
        <v>25</v>
      </c>
      <c r="E149" s="13">
        <v>20068</v>
      </c>
      <c r="F149" s="14">
        <v>22</v>
      </c>
      <c r="G149" s="15">
        <v>47707</v>
      </c>
      <c r="H149" s="16">
        <v>0</v>
      </c>
      <c r="I149" s="13">
        <v>2</v>
      </c>
      <c r="J149" s="15">
        <v>0</v>
      </c>
      <c r="K149" s="15">
        <v>1049554</v>
      </c>
      <c r="L149" s="15">
        <v>867612.13177436928</v>
      </c>
      <c r="M149" s="15">
        <v>181941.86822563069</v>
      </c>
    </row>
    <row r="150" spans="1:13" x14ac:dyDescent="0.25">
      <c r="A150" s="12">
        <v>45075</v>
      </c>
      <c r="B150" s="12" t="s">
        <v>19</v>
      </c>
      <c r="C150" s="12" t="s">
        <v>20</v>
      </c>
      <c r="D150" s="12" t="s">
        <v>15</v>
      </c>
      <c r="E150" s="13">
        <v>64460</v>
      </c>
      <c r="F150" s="14">
        <v>47</v>
      </c>
      <c r="G150" s="15">
        <v>48345</v>
      </c>
      <c r="H150" s="16">
        <v>0.15</v>
      </c>
      <c r="I150" s="13">
        <v>2</v>
      </c>
      <c r="J150" s="15">
        <v>340832.25</v>
      </c>
      <c r="K150" s="15">
        <v>1931382.75</v>
      </c>
      <c r="L150" s="15">
        <v>1509417.038698504</v>
      </c>
      <c r="M150" s="15">
        <v>421965.71130149579</v>
      </c>
    </row>
    <row r="151" spans="1:13" x14ac:dyDescent="0.25">
      <c r="A151" s="12">
        <v>45076</v>
      </c>
      <c r="B151" s="12" t="s">
        <v>16</v>
      </c>
      <c r="C151" s="12" t="s">
        <v>21</v>
      </c>
      <c r="D151" s="12" t="s">
        <v>25</v>
      </c>
      <c r="E151" s="13">
        <v>56418</v>
      </c>
      <c r="F151" s="14">
        <v>43</v>
      </c>
      <c r="G151" s="15">
        <v>37789</v>
      </c>
      <c r="H151" s="16">
        <v>0.1</v>
      </c>
      <c r="I151" s="13">
        <v>5</v>
      </c>
      <c r="J151" s="15">
        <v>162492.70000000001</v>
      </c>
      <c r="K151" s="15">
        <v>1462434.3</v>
      </c>
      <c r="L151" s="15">
        <v>1179583.108060559</v>
      </c>
      <c r="M151" s="15">
        <v>282851.19193944061</v>
      </c>
    </row>
    <row r="152" spans="1:13" x14ac:dyDescent="0.25">
      <c r="A152" s="12">
        <v>45077</v>
      </c>
      <c r="B152" s="12" t="s">
        <v>13</v>
      </c>
      <c r="C152" s="12" t="s">
        <v>17</v>
      </c>
      <c r="D152" s="12" t="s">
        <v>22</v>
      </c>
      <c r="E152" s="13">
        <v>36206</v>
      </c>
      <c r="F152" s="14">
        <v>3</v>
      </c>
      <c r="G152" s="15">
        <v>34392</v>
      </c>
      <c r="H152" s="16">
        <v>0.05</v>
      </c>
      <c r="I152" s="13">
        <v>5</v>
      </c>
      <c r="J152" s="15">
        <v>5158.8</v>
      </c>
      <c r="K152" s="15">
        <v>98017.2</v>
      </c>
      <c r="L152" s="15">
        <v>67112.171515488881</v>
      </c>
      <c r="M152" s="15">
        <v>30905.02848451112</v>
      </c>
    </row>
    <row r="153" spans="1:13" x14ac:dyDescent="0.25">
      <c r="A153" s="12">
        <v>45078</v>
      </c>
      <c r="B153" s="12" t="s">
        <v>13</v>
      </c>
      <c r="C153" s="12" t="s">
        <v>21</v>
      </c>
      <c r="D153" s="12" t="s">
        <v>18</v>
      </c>
      <c r="E153" s="13">
        <v>10287</v>
      </c>
      <c r="F153" s="14">
        <v>35</v>
      </c>
      <c r="G153" s="15">
        <v>6160</v>
      </c>
      <c r="H153" s="16">
        <v>0</v>
      </c>
      <c r="I153" s="13">
        <v>2</v>
      </c>
      <c r="J153" s="15">
        <v>0</v>
      </c>
      <c r="K153" s="15">
        <v>215600</v>
      </c>
      <c r="L153" s="15">
        <v>160499.23817653791</v>
      </c>
      <c r="M153" s="15">
        <v>55100.76182346209</v>
      </c>
    </row>
    <row r="154" spans="1:13" x14ac:dyDescent="0.25">
      <c r="A154" s="12">
        <v>45079</v>
      </c>
      <c r="B154" s="12" t="s">
        <v>19</v>
      </c>
      <c r="C154" s="12" t="s">
        <v>23</v>
      </c>
      <c r="D154" s="12" t="s">
        <v>25</v>
      </c>
      <c r="E154" s="13">
        <v>32337</v>
      </c>
      <c r="F154" s="14">
        <v>12</v>
      </c>
      <c r="G154" s="15">
        <v>30021</v>
      </c>
      <c r="H154" s="16">
        <v>0.15</v>
      </c>
      <c r="I154" s="13">
        <v>4</v>
      </c>
      <c r="J154" s="15">
        <v>54037.8</v>
      </c>
      <c r="K154" s="15">
        <v>306214.2</v>
      </c>
      <c r="L154" s="15">
        <v>187806.85816391121</v>
      </c>
      <c r="M154" s="15">
        <v>118407.3418360889</v>
      </c>
    </row>
    <row r="155" spans="1:13" x14ac:dyDescent="0.25">
      <c r="A155" s="12">
        <v>45080</v>
      </c>
      <c r="B155" s="12" t="s">
        <v>13</v>
      </c>
      <c r="C155" s="12" t="s">
        <v>14</v>
      </c>
      <c r="D155" s="12" t="s">
        <v>25</v>
      </c>
      <c r="E155" s="13">
        <v>30666</v>
      </c>
      <c r="F155" s="14">
        <v>24</v>
      </c>
      <c r="G155" s="15">
        <v>38909</v>
      </c>
      <c r="H155" s="16">
        <v>0.1</v>
      </c>
      <c r="I155" s="13">
        <v>1</v>
      </c>
      <c r="J155" s="15">
        <v>93381.6</v>
      </c>
      <c r="K155" s="15">
        <v>840434.4</v>
      </c>
      <c r="L155" s="15">
        <v>710385.34964589414</v>
      </c>
      <c r="M155" s="15">
        <v>130049.0503541059</v>
      </c>
    </row>
    <row r="156" spans="1:13" x14ac:dyDescent="0.25">
      <c r="A156" s="12">
        <v>45081</v>
      </c>
      <c r="B156" s="12" t="s">
        <v>19</v>
      </c>
      <c r="C156" s="12" t="s">
        <v>23</v>
      </c>
      <c r="D156" s="12" t="s">
        <v>18</v>
      </c>
      <c r="E156" s="13">
        <v>11161</v>
      </c>
      <c r="F156" s="14">
        <v>5</v>
      </c>
      <c r="G156" s="15">
        <v>34970</v>
      </c>
      <c r="H156" s="16">
        <v>0</v>
      </c>
      <c r="I156" s="13">
        <v>2</v>
      </c>
      <c r="J156" s="15">
        <v>0</v>
      </c>
      <c r="K156" s="15">
        <v>174850</v>
      </c>
      <c r="L156" s="15">
        <v>156834.79337029261</v>
      </c>
      <c r="M156" s="15">
        <v>18015.206629707362</v>
      </c>
    </row>
    <row r="157" spans="1:13" x14ac:dyDescent="0.25">
      <c r="A157" s="12">
        <v>45082</v>
      </c>
      <c r="B157" s="12" t="s">
        <v>24</v>
      </c>
      <c r="C157" s="12" t="s">
        <v>21</v>
      </c>
      <c r="D157" s="12" t="s">
        <v>22</v>
      </c>
      <c r="E157" s="13">
        <v>48751</v>
      </c>
      <c r="F157" s="14">
        <v>20</v>
      </c>
      <c r="G157" s="15">
        <v>18885</v>
      </c>
      <c r="H157" s="16">
        <v>0.05</v>
      </c>
      <c r="I157" s="13">
        <v>4</v>
      </c>
      <c r="J157" s="15">
        <v>18885</v>
      </c>
      <c r="K157" s="15">
        <v>358815</v>
      </c>
      <c r="L157" s="15">
        <v>259087.29325670141</v>
      </c>
      <c r="M157" s="15">
        <v>99727.706743298622</v>
      </c>
    </row>
    <row r="158" spans="1:13" x14ac:dyDescent="0.25">
      <c r="A158" s="12">
        <v>45083</v>
      </c>
      <c r="B158" s="12" t="s">
        <v>13</v>
      </c>
      <c r="C158" s="12" t="s">
        <v>21</v>
      </c>
      <c r="D158" s="12" t="s">
        <v>18</v>
      </c>
      <c r="E158" s="13">
        <v>92063</v>
      </c>
      <c r="F158" s="14">
        <v>39</v>
      </c>
      <c r="G158" s="15">
        <v>23796</v>
      </c>
      <c r="H158" s="16">
        <v>0.2</v>
      </c>
      <c r="I158" s="13">
        <v>4</v>
      </c>
      <c r="J158" s="15">
        <v>185608.8</v>
      </c>
      <c r="K158" s="15">
        <v>742435.2</v>
      </c>
      <c r="L158" s="15">
        <v>447903.06060163438</v>
      </c>
      <c r="M158" s="15">
        <v>294532.13939836557</v>
      </c>
    </row>
    <row r="159" spans="1:13" x14ac:dyDescent="0.25">
      <c r="A159" s="12">
        <v>45084</v>
      </c>
      <c r="B159" s="12" t="s">
        <v>24</v>
      </c>
      <c r="C159" s="12" t="s">
        <v>20</v>
      </c>
      <c r="D159" s="12" t="s">
        <v>27</v>
      </c>
      <c r="E159" s="13">
        <v>99389</v>
      </c>
      <c r="F159" s="14">
        <v>39</v>
      </c>
      <c r="G159" s="15">
        <v>24116</v>
      </c>
      <c r="H159" s="16">
        <v>0.2</v>
      </c>
      <c r="I159" s="13">
        <v>4</v>
      </c>
      <c r="J159" s="15">
        <v>188104.8</v>
      </c>
      <c r="K159" s="15">
        <v>752419.2</v>
      </c>
      <c r="L159" s="15">
        <v>489778.09260504361</v>
      </c>
      <c r="M159" s="15">
        <v>262641.10739495629</v>
      </c>
    </row>
    <row r="160" spans="1:13" x14ac:dyDescent="0.25">
      <c r="A160" s="12">
        <v>45085</v>
      </c>
      <c r="B160" s="12" t="s">
        <v>19</v>
      </c>
      <c r="C160" s="12" t="s">
        <v>17</v>
      </c>
      <c r="D160" s="12" t="s">
        <v>15</v>
      </c>
      <c r="E160" s="13">
        <v>24758</v>
      </c>
      <c r="F160" s="14">
        <v>13</v>
      </c>
      <c r="G160" s="15">
        <v>26882</v>
      </c>
      <c r="H160" s="16">
        <v>0.1</v>
      </c>
      <c r="I160" s="13">
        <v>3</v>
      </c>
      <c r="J160" s="15">
        <v>34946.6</v>
      </c>
      <c r="K160" s="15">
        <v>314519.40000000002</v>
      </c>
      <c r="L160" s="15">
        <v>250281.34862218061</v>
      </c>
      <c r="M160" s="15">
        <v>64238.051377819473</v>
      </c>
    </row>
    <row r="161" spans="1:13" x14ac:dyDescent="0.25">
      <c r="A161" s="12">
        <v>45086</v>
      </c>
      <c r="B161" s="12" t="s">
        <v>16</v>
      </c>
      <c r="C161" s="12" t="s">
        <v>17</v>
      </c>
      <c r="D161" s="12" t="s">
        <v>18</v>
      </c>
      <c r="E161" s="13">
        <v>75780</v>
      </c>
      <c r="F161" s="14">
        <v>41</v>
      </c>
      <c r="G161" s="15">
        <v>11639</v>
      </c>
      <c r="H161" s="16">
        <v>0</v>
      </c>
      <c r="I161" s="13">
        <v>3</v>
      </c>
      <c r="J161" s="15">
        <v>0</v>
      </c>
      <c r="K161" s="15">
        <v>477199</v>
      </c>
      <c r="L161" s="15">
        <v>373944.49157026899</v>
      </c>
      <c r="M161" s="15">
        <v>103254.50842973099</v>
      </c>
    </row>
    <row r="162" spans="1:13" x14ac:dyDescent="0.25">
      <c r="A162" s="12">
        <v>45087</v>
      </c>
      <c r="B162" s="12" t="s">
        <v>13</v>
      </c>
      <c r="C162" s="12" t="s">
        <v>23</v>
      </c>
      <c r="D162" s="12" t="s">
        <v>22</v>
      </c>
      <c r="E162" s="13">
        <v>13178</v>
      </c>
      <c r="F162" s="14">
        <v>45</v>
      </c>
      <c r="G162" s="15">
        <v>32560</v>
      </c>
      <c r="H162" s="16">
        <v>0.15</v>
      </c>
      <c r="I162" s="13">
        <v>4</v>
      </c>
      <c r="J162" s="15">
        <v>219780</v>
      </c>
      <c r="K162" s="15">
        <v>1245420</v>
      </c>
      <c r="L162" s="15">
        <v>1041618.743719868</v>
      </c>
      <c r="M162" s="15">
        <v>203801.25628013149</v>
      </c>
    </row>
    <row r="163" spans="1:13" x14ac:dyDescent="0.25">
      <c r="A163" s="12">
        <v>45088</v>
      </c>
      <c r="B163" s="12" t="s">
        <v>19</v>
      </c>
      <c r="C163" s="12" t="s">
        <v>14</v>
      </c>
      <c r="D163" s="12" t="s">
        <v>26</v>
      </c>
      <c r="E163" s="13">
        <v>41831</v>
      </c>
      <c r="F163" s="14">
        <v>12</v>
      </c>
      <c r="G163" s="15">
        <v>22919</v>
      </c>
      <c r="H163" s="16">
        <v>0</v>
      </c>
      <c r="I163" s="13">
        <v>5</v>
      </c>
      <c r="J163" s="15">
        <v>0</v>
      </c>
      <c r="K163" s="15">
        <v>275028</v>
      </c>
      <c r="L163" s="15">
        <v>185964.36352998021</v>
      </c>
      <c r="M163" s="15">
        <v>89063.636470019817</v>
      </c>
    </row>
    <row r="164" spans="1:13" x14ac:dyDescent="0.25">
      <c r="A164" s="12">
        <v>45089</v>
      </c>
      <c r="B164" s="12" t="s">
        <v>16</v>
      </c>
      <c r="C164" s="12" t="s">
        <v>17</v>
      </c>
      <c r="D164" s="12" t="s">
        <v>27</v>
      </c>
      <c r="E164" s="13">
        <v>12176</v>
      </c>
      <c r="F164" s="14">
        <v>13</v>
      </c>
      <c r="G164" s="15">
        <v>28285</v>
      </c>
      <c r="H164" s="16">
        <v>0.2</v>
      </c>
      <c r="I164" s="13">
        <v>3</v>
      </c>
      <c r="J164" s="15">
        <v>73541</v>
      </c>
      <c r="K164" s="15">
        <v>294164</v>
      </c>
      <c r="L164" s="15">
        <v>243888.30564150211</v>
      </c>
      <c r="M164" s="15">
        <v>50275.694358497858</v>
      </c>
    </row>
    <row r="165" spans="1:13" x14ac:dyDescent="0.25">
      <c r="A165" s="12">
        <v>45090</v>
      </c>
      <c r="B165" s="12" t="s">
        <v>16</v>
      </c>
      <c r="C165" s="12" t="s">
        <v>20</v>
      </c>
      <c r="D165" s="12" t="s">
        <v>26</v>
      </c>
      <c r="E165" s="13">
        <v>43654</v>
      </c>
      <c r="F165" s="14">
        <v>10</v>
      </c>
      <c r="G165" s="15">
        <v>16202</v>
      </c>
      <c r="H165" s="16">
        <v>0.1</v>
      </c>
      <c r="I165" s="13">
        <v>2</v>
      </c>
      <c r="J165" s="15">
        <v>16202</v>
      </c>
      <c r="K165" s="15">
        <v>145818</v>
      </c>
      <c r="L165" s="15">
        <v>117586.93621516151</v>
      </c>
      <c r="M165" s="15">
        <v>28231.06378483845</v>
      </c>
    </row>
    <row r="166" spans="1:13" x14ac:dyDescent="0.25">
      <c r="A166" s="12">
        <v>45091</v>
      </c>
      <c r="B166" s="12" t="s">
        <v>24</v>
      </c>
      <c r="C166" s="12" t="s">
        <v>23</v>
      </c>
      <c r="D166" s="12" t="s">
        <v>18</v>
      </c>
      <c r="E166" s="13">
        <v>36627</v>
      </c>
      <c r="F166" s="14">
        <v>33</v>
      </c>
      <c r="G166" s="15">
        <v>29717</v>
      </c>
      <c r="H166" s="16">
        <v>0.05</v>
      </c>
      <c r="I166" s="13">
        <v>3</v>
      </c>
      <c r="J166" s="15">
        <v>49033.05</v>
      </c>
      <c r="K166" s="15">
        <v>931627.95</v>
      </c>
      <c r="L166" s="15">
        <v>649199.67262062815</v>
      </c>
      <c r="M166" s="15">
        <v>282428.27737937181</v>
      </c>
    </row>
    <row r="167" spans="1:13" x14ac:dyDescent="0.25">
      <c r="A167" s="12">
        <v>45092</v>
      </c>
      <c r="B167" s="12" t="s">
        <v>19</v>
      </c>
      <c r="C167" s="12" t="s">
        <v>23</v>
      </c>
      <c r="D167" s="12" t="s">
        <v>27</v>
      </c>
      <c r="E167" s="13">
        <v>62550</v>
      </c>
      <c r="F167" s="14">
        <v>40</v>
      </c>
      <c r="G167" s="15">
        <v>39791</v>
      </c>
      <c r="H167" s="16">
        <v>0</v>
      </c>
      <c r="I167" s="13">
        <v>5</v>
      </c>
      <c r="J167" s="15">
        <v>0</v>
      </c>
      <c r="K167" s="15">
        <v>1591640</v>
      </c>
      <c r="L167" s="15">
        <v>1215450.2267920149</v>
      </c>
      <c r="M167" s="15">
        <v>376189.7732079851</v>
      </c>
    </row>
    <row r="168" spans="1:13" x14ac:dyDescent="0.25">
      <c r="A168" s="12">
        <v>45093</v>
      </c>
      <c r="B168" s="12" t="s">
        <v>16</v>
      </c>
      <c r="C168" s="12" t="s">
        <v>20</v>
      </c>
      <c r="D168" s="12" t="s">
        <v>15</v>
      </c>
      <c r="E168" s="13">
        <v>54910</v>
      </c>
      <c r="F168" s="14">
        <v>16</v>
      </c>
      <c r="G168" s="15">
        <v>12897</v>
      </c>
      <c r="H168" s="16">
        <v>0.2</v>
      </c>
      <c r="I168" s="13">
        <v>1</v>
      </c>
      <c r="J168" s="15">
        <v>41270.400000000001</v>
      </c>
      <c r="K168" s="15">
        <v>165081.60000000001</v>
      </c>
      <c r="L168" s="15">
        <v>106342.6187834992</v>
      </c>
      <c r="M168" s="15">
        <v>58738.98121650079</v>
      </c>
    </row>
    <row r="169" spans="1:13" x14ac:dyDescent="0.25">
      <c r="A169" s="12">
        <v>45094</v>
      </c>
      <c r="B169" s="12" t="s">
        <v>13</v>
      </c>
      <c r="C169" s="12" t="s">
        <v>14</v>
      </c>
      <c r="D169" s="12" t="s">
        <v>18</v>
      </c>
      <c r="E169" s="13">
        <v>68251</v>
      </c>
      <c r="F169" s="14">
        <v>45</v>
      </c>
      <c r="G169" s="15">
        <v>41379</v>
      </c>
      <c r="H169" s="16">
        <v>0.15</v>
      </c>
      <c r="I169" s="13">
        <v>3</v>
      </c>
      <c r="J169" s="15">
        <v>279308.25</v>
      </c>
      <c r="K169" s="15">
        <v>1582746.75</v>
      </c>
      <c r="L169" s="15">
        <v>1164536.5490934099</v>
      </c>
      <c r="M169" s="15">
        <v>418210.20090659033</v>
      </c>
    </row>
    <row r="170" spans="1:13" x14ac:dyDescent="0.25">
      <c r="A170" s="12">
        <v>45095</v>
      </c>
      <c r="B170" s="12" t="s">
        <v>13</v>
      </c>
      <c r="C170" s="12" t="s">
        <v>20</v>
      </c>
      <c r="D170" s="12" t="s">
        <v>15</v>
      </c>
      <c r="E170" s="13">
        <v>45422</v>
      </c>
      <c r="F170" s="14">
        <v>35</v>
      </c>
      <c r="G170" s="15">
        <v>35669</v>
      </c>
      <c r="H170" s="16">
        <v>0.1</v>
      </c>
      <c r="I170" s="13">
        <v>4</v>
      </c>
      <c r="J170" s="15">
        <v>124841.5</v>
      </c>
      <c r="K170" s="15">
        <v>1123573.5</v>
      </c>
      <c r="L170" s="15">
        <v>971171.09369856608</v>
      </c>
      <c r="M170" s="15">
        <v>152402.40630143389</v>
      </c>
    </row>
    <row r="171" spans="1:13" x14ac:dyDescent="0.25">
      <c r="A171" s="12">
        <v>45096</v>
      </c>
      <c r="B171" s="12" t="s">
        <v>24</v>
      </c>
      <c r="C171" s="12" t="s">
        <v>14</v>
      </c>
      <c r="D171" s="12" t="s">
        <v>25</v>
      </c>
      <c r="E171" s="13">
        <v>21984</v>
      </c>
      <c r="F171" s="14">
        <v>3</v>
      </c>
      <c r="G171" s="15">
        <v>27440</v>
      </c>
      <c r="H171" s="16">
        <v>0.05</v>
      </c>
      <c r="I171" s="13">
        <v>4</v>
      </c>
      <c r="J171" s="15">
        <v>4116</v>
      </c>
      <c r="K171" s="15">
        <v>78204</v>
      </c>
      <c r="L171" s="15">
        <v>56804.055200359457</v>
      </c>
      <c r="M171" s="15">
        <v>21399.94479964054</v>
      </c>
    </row>
    <row r="172" spans="1:13" x14ac:dyDescent="0.25">
      <c r="A172" s="12">
        <v>45097</v>
      </c>
      <c r="B172" s="12" t="s">
        <v>16</v>
      </c>
      <c r="C172" s="12" t="s">
        <v>20</v>
      </c>
      <c r="D172" s="12" t="s">
        <v>26</v>
      </c>
      <c r="E172" s="13">
        <v>99312</v>
      </c>
      <c r="F172" s="14">
        <v>5</v>
      </c>
      <c r="G172" s="15">
        <v>42749</v>
      </c>
      <c r="H172" s="16">
        <v>0</v>
      </c>
      <c r="I172" s="13">
        <v>4</v>
      </c>
      <c r="J172" s="15">
        <v>0</v>
      </c>
      <c r="K172" s="15">
        <v>213745</v>
      </c>
      <c r="L172" s="15">
        <v>182082.9557026767</v>
      </c>
      <c r="M172" s="15">
        <v>31662.044297323271</v>
      </c>
    </row>
    <row r="173" spans="1:13" x14ac:dyDescent="0.25">
      <c r="A173" s="12">
        <v>45098</v>
      </c>
      <c r="B173" s="12" t="s">
        <v>19</v>
      </c>
      <c r="C173" s="12" t="s">
        <v>20</v>
      </c>
      <c r="D173" s="12" t="s">
        <v>27</v>
      </c>
      <c r="E173" s="13">
        <v>71386</v>
      </c>
      <c r="F173" s="14">
        <v>26</v>
      </c>
      <c r="G173" s="15">
        <v>28841</v>
      </c>
      <c r="H173" s="16">
        <v>0.15</v>
      </c>
      <c r="I173" s="13">
        <v>1</v>
      </c>
      <c r="J173" s="15">
        <v>112479.9</v>
      </c>
      <c r="K173" s="15">
        <v>637386.1</v>
      </c>
      <c r="L173" s="15">
        <v>495297.44714842562</v>
      </c>
      <c r="M173" s="15">
        <v>142088.65285157441</v>
      </c>
    </row>
    <row r="174" spans="1:13" x14ac:dyDescent="0.25">
      <c r="A174" s="12">
        <v>45099</v>
      </c>
      <c r="B174" s="12" t="s">
        <v>13</v>
      </c>
      <c r="C174" s="12" t="s">
        <v>21</v>
      </c>
      <c r="D174" s="12" t="s">
        <v>15</v>
      </c>
      <c r="E174" s="13">
        <v>93291</v>
      </c>
      <c r="F174" s="14">
        <v>11</v>
      </c>
      <c r="G174" s="15">
        <v>10567</v>
      </c>
      <c r="H174" s="16">
        <v>0.05</v>
      </c>
      <c r="I174" s="13">
        <v>5</v>
      </c>
      <c r="J174" s="15">
        <v>5811.85</v>
      </c>
      <c r="K174" s="15">
        <v>110425.15</v>
      </c>
      <c r="L174" s="15">
        <v>72611.494447750418</v>
      </c>
      <c r="M174" s="15">
        <v>37813.655552249576</v>
      </c>
    </row>
    <row r="175" spans="1:13" x14ac:dyDescent="0.25">
      <c r="A175" s="12">
        <v>45100</v>
      </c>
      <c r="B175" s="12" t="s">
        <v>16</v>
      </c>
      <c r="C175" s="12" t="s">
        <v>23</v>
      </c>
      <c r="D175" s="12" t="s">
        <v>22</v>
      </c>
      <c r="E175" s="13">
        <v>17135</v>
      </c>
      <c r="F175" s="14">
        <v>7</v>
      </c>
      <c r="G175" s="15">
        <v>46644</v>
      </c>
      <c r="H175" s="16">
        <v>0.2</v>
      </c>
      <c r="I175" s="13">
        <v>2</v>
      </c>
      <c r="J175" s="15">
        <v>65301.600000000013</v>
      </c>
      <c r="K175" s="15">
        <v>261206.39999999999</v>
      </c>
      <c r="L175" s="15">
        <v>202260.441058517</v>
      </c>
      <c r="M175" s="15">
        <v>58945.958941483033</v>
      </c>
    </row>
    <row r="176" spans="1:13" x14ac:dyDescent="0.25">
      <c r="A176" s="12">
        <v>45101</v>
      </c>
      <c r="B176" s="12" t="s">
        <v>16</v>
      </c>
      <c r="C176" s="12" t="s">
        <v>20</v>
      </c>
      <c r="D176" s="12" t="s">
        <v>15</v>
      </c>
      <c r="E176" s="13">
        <v>10320</v>
      </c>
      <c r="F176" s="14">
        <v>10</v>
      </c>
      <c r="G176" s="15">
        <v>14324</v>
      </c>
      <c r="H176" s="16">
        <v>0.2</v>
      </c>
      <c r="I176" s="13">
        <v>5</v>
      </c>
      <c r="J176" s="15">
        <v>28648</v>
      </c>
      <c r="K176" s="15">
        <v>114592</v>
      </c>
      <c r="L176" s="15">
        <v>86149.692496429867</v>
      </c>
      <c r="M176" s="15">
        <v>28442.307503570129</v>
      </c>
    </row>
    <row r="177" spans="1:13" x14ac:dyDescent="0.25">
      <c r="A177" s="12">
        <v>45102</v>
      </c>
      <c r="B177" s="12" t="s">
        <v>24</v>
      </c>
      <c r="C177" s="12" t="s">
        <v>20</v>
      </c>
      <c r="D177" s="12" t="s">
        <v>22</v>
      </c>
      <c r="E177" s="13">
        <v>31684</v>
      </c>
      <c r="F177" s="14">
        <v>42</v>
      </c>
      <c r="G177" s="15">
        <v>13944</v>
      </c>
      <c r="H177" s="16">
        <v>0.15</v>
      </c>
      <c r="I177" s="13">
        <v>1</v>
      </c>
      <c r="J177" s="15">
        <v>87847.2</v>
      </c>
      <c r="K177" s="15">
        <v>497800.8</v>
      </c>
      <c r="L177" s="15">
        <v>358213.67267214839</v>
      </c>
      <c r="M177" s="15">
        <v>139587.1273278516</v>
      </c>
    </row>
    <row r="178" spans="1:13" x14ac:dyDescent="0.25">
      <c r="A178" s="12">
        <v>45103</v>
      </c>
      <c r="B178" s="12" t="s">
        <v>13</v>
      </c>
      <c r="C178" s="12" t="s">
        <v>17</v>
      </c>
      <c r="D178" s="12" t="s">
        <v>18</v>
      </c>
      <c r="E178" s="13">
        <v>65913</v>
      </c>
      <c r="F178" s="14">
        <v>34</v>
      </c>
      <c r="G178" s="15">
        <v>46147</v>
      </c>
      <c r="H178" s="16">
        <v>0.2</v>
      </c>
      <c r="I178" s="13">
        <v>4</v>
      </c>
      <c r="J178" s="15">
        <v>313799.59999999998</v>
      </c>
      <c r="K178" s="15">
        <v>1255198.3999999999</v>
      </c>
      <c r="L178" s="15">
        <v>798167.0208815604</v>
      </c>
      <c r="M178" s="15">
        <v>457031.37911843951</v>
      </c>
    </row>
    <row r="179" spans="1:13" x14ac:dyDescent="0.25">
      <c r="A179" s="12">
        <v>45104</v>
      </c>
      <c r="B179" s="12" t="s">
        <v>13</v>
      </c>
      <c r="C179" s="12" t="s">
        <v>23</v>
      </c>
      <c r="D179" s="12" t="s">
        <v>27</v>
      </c>
      <c r="E179" s="13">
        <v>98774</v>
      </c>
      <c r="F179" s="14">
        <v>3</v>
      </c>
      <c r="G179" s="15">
        <v>49380</v>
      </c>
      <c r="H179" s="16">
        <v>0.1</v>
      </c>
      <c r="I179" s="13">
        <v>5</v>
      </c>
      <c r="J179" s="15">
        <v>14814</v>
      </c>
      <c r="K179" s="15">
        <v>133326</v>
      </c>
      <c r="L179" s="15">
        <v>96663.029794828733</v>
      </c>
      <c r="M179" s="15">
        <v>36662.970205171267</v>
      </c>
    </row>
    <row r="180" spans="1:13" x14ac:dyDescent="0.25">
      <c r="A180" s="12">
        <v>45105</v>
      </c>
      <c r="B180" s="12" t="s">
        <v>19</v>
      </c>
      <c r="C180" s="12" t="s">
        <v>17</v>
      </c>
      <c r="D180" s="12" t="s">
        <v>15</v>
      </c>
      <c r="E180" s="13">
        <v>31889</v>
      </c>
      <c r="F180" s="14">
        <v>8</v>
      </c>
      <c r="G180" s="15">
        <v>33807</v>
      </c>
      <c r="H180" s="16">
        <v>0.15</v>
      </c>
      <c r="I180" s="13">
        <v>2</v>
      </c>
      <c r="J180" s="15">
        <v>40568.400000000001</v>
      </c>
      <c r="K180" s="15">
        <v>229887.6</v>
      </c>
      <c r="L180" s="15">
        <v>142950.7104132075</v>
      </c>
      <c r="M180" s="15">
        <v>86936.889586792531</v>
      </c>
    </row>
    <row r="181" spans="1:13" x14ac:dyDescent="0.25">
      <c r="A181" s="12">
        <v>45106</v>
      </c>
      <c r="B181" s="12" t="s">
        <v>13</v>
      </c>
      <c r="C181" s="12" t="s">
        <v>23</v>
      </c>
      <c r="D181" s="12" t="s">
        <v>15</v>
      </c>
      <c r="E181" s="13">
        <v>58899</v>
      </c>
      <c r="F181" s="14">
        <v>31</v>
      </c>
      <c r="G181" s="15">
        <v>11474</v>
      </c>
      <c r="H181" s="16">
        <v>0.2</v>
      </c>
      <c r="I181" s="13">
        <v>4</v>
      </c>
      <c r="J181" s="15">
        <v>71138.8</v>
      </c>
      <c r="K181" s="15">
        <v>284555.2</v>
      </c>
      <c r="L181" s="15">
        <v>179164.69415237461</v>
      </c>
      <c r="M181" s="15">
        <v>105390.50584762541</v>
      </c>
    </row>
    <row r="182" spans="1:13" x14ac:dyDescent="0.25">
      <c r="A182" s="12">
        <v>45107</v>
      </c>
      <c r="B182" s="12" t="s">
        <v>19</v>
      </c>
      <c r="C182" s="12" t="s">
        <v>17</v>
      </c>
      <c r="D182" s="12" t="s">
        <v>27</v>
      </c>
      <c r="E182" s="13">
        <v>20770</v>
      </c>
      <c r="F182" s="14">
        <v>11</v>
      </c>
      <c r="G182" s="15">
        <v>47114</v>
      </c>
      <c r="H182" s="16">
        <v>0</v>
      </c>
      <c r="I182" s="13">
        <v>2</v>
      </c>
      <c r="J182" s="15">
        <v>0</v>
      </c>
      <c r="K182" s="15">
        <v>518254</v>
      </c>
      <c r="L182" s="15">
        <v>375617.52205755352</v>
      </c>
      <c r="M182" s="15">
        <v>142636.47794244651</v>
      </c>
    </row>
    <row r="183" spans="1:13" x14ac:dyDescent="0.25">
      <c r="A183" s="12">
        <v>45108</v>
      </c>
      <c r="B183" s="12" t="s">
        <v>13</v>
      </c>
      <c r="C183" s="12" t="s">
        <v>20</v>
      </c>
      <c r="D183" s="12" t="s">
        <v>15</v>
      </c>
      <c r="E183" s="13">
        <v>49321</v>
      </c>
      <c r="F183" s="14">
        <v>45</v>
      </c>
      <c r="G183" s="15">
        <v>38883</v>
      </c>
      <c r="H183" s="16">
        <v>0.2</v>
      </c>
      <c r="I183" s="13">
        <v>3</v>
      </c>
      <c r="J183" s="15">
        <v>349947</v>
      </c>
      <c r="K183" s="15">
        <v>1399788</v>
      </c>
      <c r="L183" s="15">
        <v>968113.60016450158</v>
      </c>
      <c r="M183" s="15">
        <v>431674.39983549842</v>
      </c>
    </row>
    <row r="184" spans="1:13" x14ac:dyDescent="0.25">
      <c r="A184" s="12">
        <v>45109</v>
      </c>
      <c r="B184" s="12" t="s">
        <v>24</v>
      </c>
      <c r="C184" s="12" t="s">
        <v>20</v>
      </c>
      <c r="D184" s="12" t="s">
        <v>22</v>
      </c>
      <c r="E184" s="13">
        <v>95962</v>
      </c>
      <c r="F184" s="14">
        <v>7</v>
      </c>
      <c r="G184" s="15">
        <v>29790</v>
      </c>
      <c r="H184" s="16">
        <v>0.1</v>
      </c>
      <c r="I184" s="13">
        <v>2</v>
      </c>
      <c r="J184" s="15">
        <v>20853</v>
      </c>
      <c r="K184" s="15">
        <v>187677</v>
      </c>
      <c r="L184" s="15">
        <v>164717.21473345341</v>
      </c>
      <c r="M184" s="15">
        <v>22959.78526654662</v>
      </c>
    </row>
    <row r="185" spans="1:13" x14ac:dyDescent="0.25">
      <c r="A185" s="12">
        <v>45110</v>
      </c>
      <c r="B185" s="12" t="s">
        <v>13</v>
      </c>
      <c r="C185" s="12" t="s">
        <v>21</v>
      </c>
      <c r="D185" s="12" t="s">
        <v>15</v>
      </c>
      <c r="E185" s="13">
        <v>51777</v>
      </c>
      <c r="F185" s="14">
        <v>45</v>
      </c>
      <c r="G185" s="15">
        <v>16516</v>
      </c>
      <c r="H185" s="16">
        <v>0.05</v>
      </c>
      <c r="I185" s="13">
        <v>4</v>
      </c>
      <c r="J185" s="15">
        <v>37161</v>
      </c>
      <c r="K185" s="15">
        <v>706059</v>
      </c>
      <c r="L185" s="15">
        <v>503216.53957229649</v>
      </c>
      <c r="M185" s="15">
        <v>202842.46042770351</v>
      </c>
    </row>
    <row r="186" spans="1:13" x14ac:dyDescent="0.25">
      <c r="A186" s="12">
        <v>45111</v>
      </c>
      <c r="B186" s="12" t="s">
        <v>19</v>
      </c>
      <c r="C186" s="12" t="s">
        <v>17</v>
      </c>
      <c r="D186" s="12" t="s">
        <v>26</v>
      </c>
      <c r="E186" s="13">
        <v>56250</v>
      </c>
      <c r="F186" s="14">
        <v>2</v>
      </c>
      <c r="G186" s="15">
        <v>32612</v>
      </c>
      <c r="H186" s="16">
        <v>0.05</v>
      </c>
      <c r="I186" s="13">
        <v>3</v>
      </c>
      <c r="J186" s="15">
        <v>3261.2</v>
      </c>
      <c r="K186" s="15">
        <v>61962.8</v>
      </c>
      <c r="L186" s="15">
        <v>51265.383373898752</v>
      </c>
      <c r="M186" s="15">
        <v>10697.41662610126</v>
      </c>
    </row>
    <row r="187" spans="1:13" x14ac:dyDescent="0.25">
      <c r="A187" s="12">
        <v>45112</v>
      </c>
      <c r="B187" s="12" t="s">
        <v>19</v>
      </c>
      <c r="C187" s="12" t="s">
        <v>14</v>
      </c>
      <c r="D187" s="12" t="s">
        <v>18</v>
      </c>
      <c r="E187" s="13">
        <v>83034</v>
      </c>
      <c r="F187" s="14">
        <v>6</v>
      </c>
      <c r="G187" s="15">
        <v>29013</v>
      </c>
      <c r="H187" s="16">
        <v>0.2</v>
      </c>
      <c r="I187" s="13">
        <v>4</v>
      </c>
      <c r="J187" s="15">
        <v>34815.599999999999</v>
      </c>
      <c r="K187" s="15">
        <v>139262.39999999999</v>
      </c>
      <c r="L187" s="15">
        <v>105710.5029347479</v>
      </c>
      <c r="M187" s="15">
        <v>33551.897065252117</v>
      </c>
    </row>
    <row r="188" spans="1:13" x14ac:dyDescent="0.25">
      <c r="A188" s="12">
        <v>45113</v>
      </c>
      <c r="B188" s="12" t="s">
        <v>24</v>
      </c>
      <c r="C188" s="12" t="s">
        <v>21</v>
      </c>
      <c r="D188" s="12" t="s">
        <v>25</v>
      </c>
      <c r="E188" s="13">
        <v>50130</v>
      </c>
      <c r="F188" s="14">
        <v>41</v>
      </c>
      <c r="G188" s="15">
        <v>3456</v>
      </c>
      <c r="H188" s="16">
        <v>0.05</v>
      </c>
      <c r="I188" s="13">
        <v>4</v>
      </c>
      <c r="J188" s="15">
        <v>7084.8</v>
      </c>
      <c r="K188" s="15">
        <v>134611.20000000001</v>
      </c>
      <c r="L188" s="15">
        <v>109200.06502762419</v>
      </c>
      <c r="M188" s="15">
        <v>25411.134972375861</v>
      </c>
    </row>
    <row r="189" spans="1:13" x14ac:dyDescent="0.25">
      <c r="A189" s="12">
        <v>45114</v>
      </c>
      <c r="B189" s="12" t="s">
        <v>13</v>
      </c>
      <c r="C189" s="12" t="s">
        <v>17</v>
      </c>
      <c r="D189" s="12" t="s">
        <v>22</v>
      </c>
      <c r="E189" s="13">
        <v>91931</v>
      </c>
      <c r="F189" s="14">
        <v>32</v>
      </c>
      <c r="G189" s="15">
        <v>8577</v>
      </c>
      <c r="H189" s="16">
        <v>0.2</v>
      </c>
      <c r="I189" s="13">
        <v>3</v>
      </c>
      <c r="J189" s="15">
        <v>54892.800000000003</v>
      </c>
      <c r="K189" s="15">
        <v>219571.20000000001</v>
      </c>
      <c r="L189" s="15">
        <v>148876.91355896121</v>
      </c>
      <c r="M189" s="15">
        <v>70694.28644103877</v>
      </c>
    </row>
    <row r="190" spans="1:13" x14ac:dyDescent="0.25">
      <c r="A190" s="12">
        <v>45115</v>
      </c>
      <c r="B190" s="12" t="s">
        <v>13</v>
      </c>
      <c r="C190" s="12" t="s">
        <v>17</v>
      </c>
      <c r="D190" s="12" t="s">
        <v>26</v>
      </c>
      <c r="E190" s="13">
        <v>59346</v>
      </c>
      <c r="F190" s="14">
        <v>20</v>
      </c>
      <c r="G190" s="15">
        <v>36990</v>
      </c>
      <c r="H190" s="16">
        <v>0.1</v>
      </c>
      <c r="I190" s="13">
        <v>2</v>
      </c>
      <c r="J190" s="15">
        <v>73980</v>
      </c>
      <c r="K190" s="15">
        <v>665820</v>
      </c>
      <c r="L190" s="15">
        <v>587633.75070456485</v>
      </c>
      <c r="M190" s="15">
        <v>78186.249295435147</v>
      </c>
    </row>
    <row r="191" spans="1:13" x14ac:dyDescent="0.25">
      <c r="A191" s="12">
        <v>45116</v>
      </c>
      <c r="B191" s="12" t="s">
        <v>24</v>
      </c>
      <c r="C191" s="12" t="s">
        <v>21</v>
      </c>
      <c r="D191" s="12" t="s">
        <v>18</v>
      </c>
      <c r="E191" s="13">
        <v>12537</v>
      </c>
      <c r="F191" s="14">
        <v>34</v>
      </c>
      <c r="G191" s="15">
        <v>45327</v>
      </c>
      <c r="H191" s="16">
        <v>0.05</v>
      </c>
      <c r="I191" s="13">
        <v>1</v>
      </c>
      <c r="J191" s="15">
        <v>77055.900000000009</v>
      </c>
      <c r="K191" s="15">
        <v>1464062.1</v>
      </c>
      <c r="L191" s="15">
        <v>1111262.0033935129</v>
      </c>
      <c r="M191" s="15">
        <v>352800.09660648741</v>
      </c>
    </row>
    <row r="192" spans="1:13" x14ac:dyDescent="0.25">
      <c r="A192" s="12">
        <v>45117</v>
      </c>
      <c r="B192" s="12" t="s">
        <v>13</v>
      </c>
      <c r="C192" s="12" t="s">
        <v>20</v>
      </c>
      <c r="D192" s="12" t="s">
        <v>27</v>
      </c>
      <c r="E192" s="13">
        <v>94762</v>
      </c>
      <c r="F192" s="14">
        <v>16</v>
      </c>
      <c r="G192" s="15">
        <v>38355</v>
      </c>
      <c r="H192" s="16">
        <v>0</v>
      </c>
      <c r="I192" s="13">
        <v>1</v>
      </c>
      <c r="J192" s="15">
        <v>0</v>
      </c>
      <c r="K192" s="15">
        <v>613680</v>
      </c>
      <c r="L192" s="15">
        <v>521258.08681989962</v>
      </c>
      <c r="M192" s="15">
        <v>92421.913180100382</v>
      </c>
    </row>
    <row r="193" spans="1:13" x14ac:dyDescent="0.25">
      <c r="A193" s="12">
        <v>45118</v>
      </c>
      <c r="B193" s="12" t="s">
        <v>13</v>
      </c>
      <c r="C193" s="12" t="s">
        <v>17</v>
      </c>
      <c r="D193" s="12" t="s">
        <v>22</v>
      </c>
      <c r="E193" s="13">
        <v>25216</v>
      </c>
      <c r="F193" s="14">
        <v>25</v>
      </c>
      <c r="G193" s="15">
        <v>43606</v>
      </c>
      <c r="H193" s="16">
        <v>0.2</v>
      </c>
      <c r="I193" s="13">
        <v>1</v>
      </c>
      <c r="J193" s="15">
        <v>218030</v>
      </c>
      <c r="K193" s="15">
        <v>872120</v>
      </c>
      <c r="L193" s="15">
        <v>618781.09505831636</v>
      </c>
      <c r="M193" s="15">
        <v>253338.90494168361</v>
      </c>
    </row>
    <row r="194" spans="1:13" x14ac:dyDescent="0.25">
      <c r="A194" s="12">
        <v>45119</v>
      </c>
      <c r="B194" s="12" t="s">
        <v>19</v>
      </c>
      <c r="C194" s="12" t="s">
        <v>20</v>
      </c>
      <c r="D194" s="12" t="s">
        <v>25</v>
      </c>
      <c r="E194" s="13">
        <v>94149</v>
      </c>
      <c r="F194" s="14">
        <v>12</v>
      </c>
      <c r="G194" s="15">
        <v>35438</v>
      </c>
      <c r="H194" s="16">
        <v>0.05</v>
      </c>
      <c r="I194" s="13">
        <v>1</v>
      </c>
      <c r="J194" s="15">
        <v>21262.799999999999</v>
      </c>
      <c r="K194" s="15">
        <v>403993.2</v>
      </c>
      <c r="L194" s="15">
        <v>254541.33107377149</v>
      </c>
      <c r="M194" s="15">
        <v>149451.86892622849</v>
      </c>
    </row>
    <row r="195" spans="1:13" x14ac:dyDescent="0.25">
      <c r="A195" s="12">
        <v>45120</v>
      </c>
      <c r="B195" s="12" t="s">
        <v>13</v>
      </c>
      <c r="C195" s="12" t="s">
        <v>21</v>
      </c>
      <c r="D195" s="12" t="s">
        <v>18</v>
      </c>
      <c r="E195" s="13">
        <v>13009</v>
      </c>
      <c r="F195" s="14">
        <v>7</v>
      </c>
      <c r="G195" s="15">
        <v>36659</v>
      </c>
      <c r="H195" s="16">
        <v>0.1</v>
      </c>
      <c r="I195" s="13">
        <v>5</v>
      </c>
      <c r="J195" s="15">
        <v>25661.3</v>
      </c>
      <c r="K195" s="15">
        <v>230951.7</v>
      </c>
      <c r="L195" s="15">
        <v>185249.47510527939</v>
      </c>
      <c r="M195" s="15">
        <v>45702.224894720654</v>
      </c>
    </row>
    <row r="196" spans="1:13" x14ac:dyDescent="0.25">
      <c r="A196" s="12">
        <v>45121</v>
      </c>
      <c r="B196" s="12" t="s">
        <v>13</v>
      </c>
      <c r="C196" s="12" t="s">
        <v>20</v>
      </c>
      <c r="D196" s="12" t="s">
        <v>25</v>
      </c>
      <c r="E196" s="13">
        <v>99904</v>
      </c>
      <c r="F196" s="14">
        <v>39</v>
      </c>
      <c r="G196" s="15">
        <v>40210</v>
      </c>
      <c r="H196" s="16">
        <v>0.1</v>
      </c>
      <c r="I196" s="13">
        <v>1</v>
      </c>
      <c r="J196" s="15">
        <v>156819</v>
      </c>
      <c r="K196" s="15">
        <v>1411371</v>
      </c>
      <c r="L196" s="15">
        <v>850108.12279009179</v>
      </c>
      <c r="M196" s="15">
        <v>561262.87720990821</v>
      </c>
    </row>
    <row r="197" spans="1:13" x14ac:dyDescent="0.25">
      <c r="A197" s="12">
        <v>45122</v>
      </c>
      <c r="B197" s="12" t="s">
        <v>24</v>
      </c>
      <c r="C197" s="12" t="s">
        <v>23</v>
      </c>
      <c r="D197" s="12" t="s">
        <v>27</v>
      </c>
      <c r="E197" s="13">
        <v>39327</v>
      </c>
      <c r="F197" s="14">
        <v>17</v>
      </c>
      <c r="G197" s="15">
        <v>18500</v>
      </c>
      <c r="H197" s="16">
        <v>0</v>
      </c>
      <c r="I197" s="13">
        <v>3</v>
      </c>
      <c r="J197" s="15">
        <v>0</v>
      </c>
      <c r="K197" s="15">
        <v>314500</v>
      </c>
      <c r="L197" s="15">
        <v>233543.89233895569</v>
      </c>
      <c r="M197" s="15">
        <v>80956.107661044283</v>
      </c>
    </row>
    <row r="198" spans="1:13" x14ac:dyDescent="0.25">
      <c r="A198" s="12">
        <v>45123</v>
      </c>
      <c r="B198" s="12" t="s">
        <v>24</v>
      </c>
      <c r="C198" s="12" t="s">
        <v>14</v>
      </c>
      <c r="D198" s="12" t="s">
        <v>27</v>
      </c>
      <c r="E198" s="13">
        <v>24209</v>
      </c>
      <c r="F198" s="14">
        <v>45</v>
      </c>
      <c r="G198" s="15">
        <v>14306</v>
      </c>
      <c r="H198" s="16">
        <v>0.1</v>
      </c>
      <c r="I198" s="13">
        <v>1</v>
      </c>
      <c r="J198" s="15">
        <v>64377</v>
      </c>
      <c r="K198" s="15">
        <v>579393</v>
      </c>
      <c r="L198" s="15">
        <v>381148.22183748841</v>
      </c>
      <c r="M198" s="15">
        <v>198244.77816251159</v>
      </c>
    </row>
    <row r="199" spans="1:13" x14ac:dyDescent="0.25">
      <c r="A199" s="12">
        <v>45124</v>
      </c>
      <c r="B199" s="12" t="s">
        <v>16</v>
      </c>
      <c r="C199" s="12" t="s">
        <v>17</v>
      </c>
      <c r="D199" s="12" t="s">
        <v>22</v>
      </c>
      <c r="E199" s="13">
        <v>58443</v>
      </c>
      <c r="F199" s="14">
        <v>11</v>
      </c>
      <c r="G199" s="15">
        <v>48060</v>
      </c>
      <c r="H199" s="16">
        <v>0.1</v>
      </c>
      <c r="I199" s="13">
        <v>4</v>
      </c>
      <c r="J199" s="15">
        <v>52866</v>
      </c>
      <c r="K199" s="15">
        <v>475794</v>
      </c>
      <c r="L199" s="15">
        <v>375026.85022719571</v>
      </c>
      <c r="M199" s="15">
        <v>100767.1497728043</v>
      </c>
    </row>
    <row r="200" spans="1:13" x14ac:dyDescent="0.25">
      <c r="A200" s="12">
        <v>45125</v>
      </c>
      <c r="B200" s="12" t="s">
        <v>19</v>
      </c>
      <c r="C200" s="12" t="s">
        <v>14</v>
      </c>
      <c r="D200" s="12" t="s">
        <v>15</v>
      </c>
      <c r="E200" s="13">
        <v>25029</v>
      </c>
      <c r="F200" s="14">
        <v>6</v>
      </c>
      <c r="G200" s="15">
        <v>13309</v>
      </c>
      <c r="H200" s="16">
        <v>0.05</v>
      </c>
      <c r="I200" s="13">
        <v>1</v>
      </c>
      <c r="J200" s="15">
        <v>3992.7</v>
      </c>
      <c r="K200" s="15">
        <v>75861.3</v>
      </c>
      <c r="L200" s="15">
        <v>67806.799446621764</v>
      </c>
      <c r="M200" s="15">
        <v>8054.5005533782387</v>
      </c>
    </row>
    <row r="201" spans="1:13" x14ac:dyDescent="0.25">
      <c r="A201" s="12">
        <v>45126</v>
      </c>
      <c r="B201" s="12" t="s">
        <v>13</v>
      </c>
      <c r="C201" s="12" t="s">
        <v>20</v>
      </c>
      <c r="D201" s="12" t="s">
        <v>27</v>
      </c>
      <c r="E201" s="13">
        <v>77613</v>
      </c>
      <c r="F201" s="14">
        <v>23</v>
      </c>
      <c r="G201" s="15">
        <v>15355</v>
      </c>
      <c r="H201" s="16">
        <v>0.2</v>
      </c>
      <c r="I201" s="13">
        <v>2</v>
      </c>
      <c r="J201" s="15">
        <v>70633</v>
      </c>
      <c r="K201" s="15">
        <v>282532</v>
      </c>
      <c r="L201" s="15">
        <v>208881.80457857539</v>
      </c>
      <c r="M201" s="15">
        <v>73650.195421424578</v>
      </c>
    </row>
    <row r="202" spans="1:13" x14ac:dyDescent="0.25">
      <c r="A202" s="12">
        <v>45127</v>
      </c>
      <c r="B202" s="12" t="s">
        <v>13</v>
      </c>
      <c r="C202" s="12" t="s">
        <v>17</v>
      </c>
      <c r="D202" s="12" t="s">
        <v>18</v>
      </c>
      <c r="E202" s="13">
        <v>89443</v>
      </c>
      <c r="F202" s="14">
        <v>27</v>
      </c>
      <c r="G202" s="15">
        <v>42376</v>
      </c>
      <c r="H202" s="16">
        <v>0.15</v>
      </c>
      <c r="I202" s="13">
        <v>3</v>
      </c>
      <c r="J202" s="15">
        <v>171622.8</v>
      </c>
      <c r="K202" s="15">
        <v>972529.2</v>
      </c>
      <c r="L202" s="15">
        <v>822029.79762609035</v>
      </c>
      <c r="M202" s="15">
        <v>150499.4023739096</v>
      </c>
    </row>
    <row r="203" spans="1:13" x14ac:dyDescent="0.25">
      <c r="A203" s="12">
        <v>45128</v>
      </c>
      <c r="B203" s="12" t="s">
        <v>16</v>
      </c>
      <c r="C203" s="12" t="s">
        <v>20</v>
      </c>
      <c r="D203" s="12" t="s">
        <v>15</v>
      </c>
      <c r="E203" s="13">
        <v>66997</v>
      </c>
      <c r="F203" s="14">
        <v>46</v>
      </c>
      <c r="G203" s="15">
        <v>29888</v>
      </c>
      <c r="H203" s="16">
        <v>0.1</v>
      </c>
      <c r="I203" s="13">
        <v>3</v>
      </c>
      <c r="J203" s="15">
        <v>137484.79999999999</v>
      </c>
      <c r="K203" s="15">
        <v>1237363.2</v>
      </c>
      <c r="L203" s="15">
        <v>930911.95994257112</v>
      </c>
      <c r="M203" s="15">
        <v>306451.24005742877</v>
      </c>
    </row>
    <row r="204" spans="1:13" x14ac:dyDescent="0.25">
      <c r="A204" s="12">
        <v>45129</v>
      </c>
      <c r="B204" s="12" t="s">
        <v>13</v>
      </c>
      <c r="C204" s="12" t="s">
        <v>23</v>
      </c>
      <c r="D204" s="12" t="s">
        <v>26</v>
      </c>
      <c r="E204" s="13">
        <v>72559</v>
      </c>
      <c r="F204" s="14">
        <v>6</v>
      </c>
      <c r="G204" s="15">
        <v>6958</v>
      </c>
      <c r="H204" s="16">
        <v>0.1</v>
      </c>
      <c r="I204" s="13">
        <v>5</v>
      </c>
      <c r="J204" s="15">
        <v>4174.8</v>
      </c>
      <c r="K204" s="15">
        <v>37573.199999999997</v>
      </c>
      <c r="L204" s="15">
        <v>28133.008997003311</v>
      </c>
      <c r="M204" s="15">
        <v>9440.1910029966857</v>
      </c>
    </row>
    <row r="205" spans="1:13" x14ac:dyDescent="0.25">
      <c r="A205" s="12">
        <v>45130</v>
      </c>
      <c r="B205" s="12" t="s">
        <v>19</v>
      </c>
      <c r="C205" s="12" t="s">
        <v>21</v>
      </c>
      <c r="D205" s="12" t="s">
        <v>25</v>
      </c>
      <c r="E205" s="13">
        <v>74892</v>
      </c>
      <c r="F205" s="14">
        <v>38</v>
      </c>
      <c r="G205" s="15">
        <v>36024</v>
      </c>
      <c r="H205" s="16">
        <v>0.15</v>
      </c>
      <c r="I205" s="13">
        <v>4</v>
      </c>
      <c r="J205" s="15">
        <v>205336.8</v>
      </c>
      <c r="K205" s="15">
        <v>1163575.2</v>
      </c>
      <c r="L205" s="15">
        <v>1022930.430648059</v>
      </c>
      <c r="M205" s="15">
        <v>140644.76935194139</v>
      </c>
    </row>
    <row r="206" spans="1:13" x14ac:dyDescent="0.25">
      <c r="A206" s="12">
        <v>45131</v>
      </c>
      <c r="B206" s="12" t="s">
        <v>16</v>
      </c>
      <c r="C206" s="12" t="s">
        <v>17</v>
      </c>
      <c r="D206" s="12" t="s">
        <v>15</v>
      </c>
      <c r="E206" s="13">
        <v>80409</v>
      </c>
      <c r="F206" s="14">
        <v>2</v>
      </c>
      <c r="G206" s="15">
        <v>7353</v>
      </c>
      <c r="H206" s="16">
        <v>0.1</v>
      </c>
      <c r="I206" s="13">
        <v>3</v>
      </c>
      <c r="J206" s="15">
        <v>1470.6</v>
      </c>
      <c r="K206" s="15">
        <v>13235.4</v>
      </c>
      <c r="L206" s="15">
        <v>11474.956277762951</v>
      </c>
      <c r="M206" s="15">
        <v>1760.4437222370509</v>
      </c>
    </row>
    <row r="207" spans="1:13" x14ac:dyDescent="0.25">
      <c r="A207" s="12">
        <v>45132</v>
      </c>
      <c r="B207" s="12" t="s">
        <v>19</v>
      </c>
      <c r="C207" s="12" t="s">
        <v>23</v>
      </c>
      <c r="D207" s="12" t="s">
        <v>25</v>
      </c>
      <c r="E207" s="13">
        <v>18635</v>
      </c>
      <c r="F207" s="14">
        <v>22</v>
      </c>
      <c r="G207" s="15">
        <v>40977</v>
      </c>
      <c r="H207" s="16">
        <v>0.05</v>
      </c>
      <c r="I207" s="13">
        <v>2</v>
      </c>
      <c r="J207" s="15">
        <v>45074.7</v>
      </c>
      <c r="K207" s="15">
        <v>856419.3</v>
      </c>
      <c r="L207" s="15">
        <v>715743.98530078796</v>
      </c>
      <c r="M207" s="15">
        <v>140675.31469921209</v>
      </c>
    </row>
    <row r="208" spans="1:13" x14ac:dyDescent="0.25">
      <c r="A208" s="12">
        <v>45133</v>
      </c>
      <c r="B208" s="12" t="s">
        <v>16</v>
      </c>
      <c r="C208" s="12" t="s">
        <v>23</v>
      </c>
      <c r="D208" s="12" t="s">
        <v>15</v>
      </c>
      <c r="E208" s="13">
        <v>43065</v>
      </c>
      <c r="F208" s="14">
        <v>20</v>
      </c>
      <c r="G208" s="15">
        <v>32722</v>
      </c>
      <c r="H208" s="16">
        <v>0.05</v>
      </c>
      <c r="I208" s="13">
        <v>1</v>
      </c>
      <c r="J208" s="15">
        <v>32722</v>
      </c>
      <c r="K208" s="15">
        <v>621718</v>
      </c>
      <c r="L208" s="15">
        <v>428287.06033218128</v>
      </c>
      <c r="M208" s="15">
        <v>193430.93966781869</v>
      </c>
    </row>
    <row r="209" spans="1:13" x14ac:dyDescent="0.25">
      <c r="A209" s="12">
        <v>45134</v>
      </c>
      <c r="B209" s="12" t="s">
        <v>16</v>
      </c>
      <c r="C209" s="12" t="s">
        <v>17</v>
      </c>
      <c r="D209" s="12" t="s">
        <v>26</v>
      </c>
      <c r="E209" s="13">
        <v>43783</v>
      </c>
      <c r="F209" s="14">
        <v>25</v>
      </c>
      <c r="G209" s="15">
        <v>18820</v>
      </c>
      <c r="H209" s="16">
        <v>0.15</v>
      </c>
      <c r="I209" s="13">
        <v>3</v>
      </c>
      <c r="J209" s="15">
        <v>70575</v>
      </c>
      <c r="K209" s="15">
        <v>399925</v>
      </c>
      <c r="L209" s="15">
        <v>305343.74719751911</v>
      </c>
      <c r="M209" s="15">
        <v>94581.252802480944</v>
      </c>
    </row>
    <row r="210" spans="1:13" x14ac:dyDescent="0.25">
      <c r="A210" s="12">
        <v>45135</v>
      </c>
      <c r="B210" s="12" t="s">
        <v>24</v>
      </c>
      <c r="C210" s="12" t="s">
        <v>20</v>
      </c>
      <c r="D210" s="12" t="s">
        <v>27</v>
      </c>
      <c r="E210" s="13">
        <v>44152</v>
      </c>
      <c r="F210" s="14">
        <v>15</v>
      </c>
      <c r="G210" s="15">
        <v>29118</v>
      </c>
      <c r="H210" s="16">
        <v>0.1</v>
      </c>
      <c r="I210" s="13">
        <v>2</v>
      </c>
      <c r="J210" s="15">
        <v>43677</v>
      </c>
      <c r="K210" s="15">
        <v>393093</v>
      </c>
      <c r="L210" s="15">
        <v>262259.53053954948</v>
      </c>
      <c r="M210" s="15">
        <v>130833.46946045051</v>
      </c>
    </row>
    <row r="211" spans="1:13" x14ac:dyDescent="0.25">
      <c r="A211" s="12">
        <v>45136</v>
      </c>
      <c r="B211" s="12" t="s">
        <v>19</v>
      </c>
      <c r="C211" s="12" t="s">
        <v>23</v>
      </c>
      <c r="D211" s="12" t="s">
        <v>26</v>
      </c>
      <c r="E211" s="13">
        <v>68741</v>
      </c>
      <c r="F211" s="14">
        <v>49</v>
      </c>
      <c r="G211" s="15">
        <v>46115</v>
      </c>
      <c r="H211" s="16">
        <v>0.1</v>
      </c>
      <c r="I211" s="13">
        <v>1</v>
      </c>
      <c r="J211" s="15">
        <v>225963.5</v>
      </c>
      <c r="K211" s="15">
        <v>2033671.5</v>
      </c>
      <c r="L211" s="15">
        <v>1491037.1211574059</v>
      </c>
      <c r="M211" s="15">
        <v>542634.37884259387</v>
      </c>
    </row>
    <row r="212" spans="1:13" x14ac:dyDescent="0.25">
      <c r="A212" s="12">
        <v>45137</v>
      </c>
      <c r="B212" s="12" t="s">
        <v>13</v>
      </c>
      <c r="C212" s="12" t="s">
        <v>14</v>
      </c>
      <c r="D212" s="12" t="s">
        <v>27</v>
      </c>
      <c r="E212" s="13">
        <v>61502</v>
      </c>
      <c r="F212" s="14">
        <v>29</v>
      </c>
      <c r="G212" s="15">
        <v>17852</v>
      </c>
      <c r="H212" s="16">
        <v>0.2</v>
      </c>
      <c r="I212" s="13">
        <v>5</v>
      </c>
      <c r="J212" s="15">
        <v>103541.6</v>
      </c>
      <c r="K212" s="15">
        <v>414166.4</v>
      </c>
      <c r="L212" s="15">
        <v>308663.27468360867</v>
      </c>
      <c r="M212" s="15">
        <v>105503.12531639131</v>
      </c>
    </row>
    <row r="213" spans="1:13" x14ac:dyDescent="0.25">
      <c r="A213" s="12">
        <v>45138</v>
      </c>
      <c r="B213" s="12" t="s">
        <v>13</v>
      </c>
      <c r="C213" s="12" t="s">
        <v>23</v>
      </c>
      <c r="D213" s="12" t="s">
        <v>27</v>
      </c>
      <c r="E213" s="13">
        <v>39092</v>
      </c>
      <c r="F213" s="14">
        <v>8</v>
      </c>
      <c r="G213" s="15">
        <v>7797</v>
      </c>
      <c r="H213" s="16">
        <v>0.1</v>
      </c>
      <c r="I213" s="13">
        <v>3</v>
      </c>
      <c r="J213" s="15">
        <v>6237.6</v>
      </c>
      <c r="K213" s="15">
        <v>56138.400000000001</v>
      </c>
      <c r="L213" s="15">
        <v>47689.122369312587</v>
      </c>
      <c r="M213" s="15">
        <v>8449.2776306874075</v>
      </c>
    </row>
    <row r="214" spans="1:13" x14ac:dyDescent="0.25">
      <c r="A214" s="12">
        <v>45139</v>
      </c>
      <c r="B214" s="12" t="s">
        <v>19</v>
      </c>
      <c r="C214" s="12" t="s">
        <v>20</v>
      </c>
      <c r="D214" s="12" t="s">
        <v>25</v>
      </c>
      <c r="E214" s="13">
        <v>27653</v>
      </c>
      <c r="F214" s="14">
        <v>37</v>
      </c>
      <c r="G214" s="15">
        <v>28440</v>
      </c>
      <c r="H214" s="16">
        <v>0.05</v>
      </c>
      <c r="I214" s="13">
        <v>3</v>
      </c>
      <c r="J214" s="15">
        <v>52614</v>
      </c>
      <c r="K214" s="15">
        <v>999666</v>
      </c>
      <c r="L214" s="15">
        <v>868518.3275552924</v>
      </c>
      <c r="M214" s="15">
        <v>131147.6724447076</v>
      </c>
    </row>
    <row r="215" spans="1:13" x14ac:dyDescent="0.25">
      <c r="A215" s="12">
        <v>45140</v>
      </c>
      <c r="B215" s="12" t="s">
        <v>13</v>
      </c>
      <c r="C215" s="12" t="s">
        <v>20</v>
      </c>
      <c r="D215" s="12" t="s">
        <v>18</v>
      </c>
      <c r="E215" s="13">
        <v>50469</v>
      </c>
      <c r="F215" s="14">
        <v>49</v>
      </c>
      <c r="G215" s="15">
        <v>49524</v>
      </c>
      <c r="H215" s="16">
        <v>0</v>
      </c>
      <c r="I215" s="13">
        <v>2</v>
      </c>
      <c r="J215" s="15">
        <v>0</v>
      </c>
      <c r="K215" s="15">
        <v>2426676</v>
      </c>
      <c r="L215" s="15">
        <v>1757850.1663608111</v>
      </c>
      <c r="M215" s="15">
        <v>668825.83363918937</v>
      </c>
    </row>
    <row r="216" spans="1:13" x14ac:dyDescent="0.25">
      <c r="A216" s="12">
        <v>45141</v>
      </c>
      <c r="B216" s="12" t="s">
        <v>13</v>
      </c>
      <c r="C216" s="12" t="s">
        <v>14</v>
      </c>
      <c r="D216" s="12" t="s">
        <v>26</v>
      </c>
      <c r="E216" s="13">
        <v>96483</v>
      </c>
      <c r="F216" s="14">
        <v>33</v>
      </c>
      <c r="G216" s="15">
        <v>3703</v>
      </c>
      <c r="H216" s="16">
        <v>0</v>
      </c>
      <c r="I216" s="13">
        <v>4</v>
      </c>
      <c r="J216" s="15">
        <v>0</v>
      </c>
      <c r="K216" s="15">
        <v>122199</v>
      </c>
      <c r="L216" s="15">
        <v>73968.43964505136</v>
      </c>
      <c r="M216" s="15">
        <v>48230.56035494864</v>
      </c>
    </row>
    <row r="217" spans="1:13" x14ac:dyDescent="0.25">
      <c r="A217" s="12">
        <v>45142</v>
      </c>
      <c r="B217" s="12" t="s">
        <v>19</v>
      </c>
      <c r="C217" s="12" t="s">
        <v>23</v>
      </c>
      <c r="D217" s="12" t="s">
        <v>15</v>
      </c>
      <c r="E217" s="13">
        <v>69754</v>
      </c>
      <c r="F217" s="14">
        <v>22</v>
      </c>
      <c r="G217" s="15">
        <v>39767</v>
      </c>
      <c r="H217" s="16">
        <v>0</v>
      </c>
      <c r="I217" s="13">
        <v>5</v>
      </c>
      <c r="J217" s="15">
        <v>0</v>
      </c>
      <c r="K217" s="15">
        <v>874874</v>
      </c>
      <c r="L217" s="15">
        <v>751107.45789356146</v>
      </c>
      <c r="M217" s="15">
        <v>123766.5421064385</v>
      </c>
    </row>
    <row r="218" spans="1:13" x14ac:dyDescent="0.25">
      <c r="A218" s="12">
        <v>45143</v>
      </c>
      <c r="B218" s="12" t="s">
        <v>16</v>
      </c>
      <c r="C218" s="12" t="s">
        <v>20</v>
      </c>
      <c r="D218" s="12" t="s">
        <v>26</v>
      </c>
      <c r="E218" s="13">
        <v>39978</v>
      </c>
      <c r="F218" s="14">
        <v>47</v>
      </c>
      <c r="G218" s="15">
        <v>38441</v>
      </c>
      <c r="H218" s="16">
        <v>0</v>
      </c>
      <c r="I218" s="13">
        <v>4</v>
      </c>
      <c r="J218" s="15">
        <v>0</v>
      </c>
      <c r="K218" s="15">
        <v>1806727</v>
      </c>
      <c r="L218" s="15">
        <v>1178498.398191818</v>
      </c>
      <c r="M218" s="15">
        <v>628228.60180818173</v>
      </c>
    </row>
    <row r="219" spans="1:13" x14ac:dyDescent="0.25">
      <c r="A219" s="12">
        <v>45144</v>
      </c>
      <c r="B219" s="12" t="s">
        <v>19</v>
      </c>
      <c r="C219" s="12" t="s">
        <v>17</v>
      </c>
      <c r="D219" s="12" t="s">
        <v>25</v>
      </c>
      <c r="E219" s="13">
        <v>97592</v>
      </c>
      <c r="F219" s="14">
        <v>5</v>
      </c>
      <c r="G219" s="15">
        <v>17773</v>
      </c>
      <c r="H219" s="16">
        <v>0.1</v>
      </c>
      <c r="I219" s="13">
        <v>3</v>
      </c>
      <c r="J219" s="15">
        <v>8886.5</v>
      </c>
      <c r="K219" s="15">
        <v>79978.5</v>
      </c>
      <c r="L219" s="15">
        <v>62908.255994702347</v>
      </c>
      <c r="M219" s="15">
        <v>17070.244005297649</v>
      </c>
    </row>
    <row r="220" spans="1:13" x14ac:dyDescent="0.25">
      <c r="A220" s="12">
        <v>45145</v>
      </c>
      <c r="B220" s="12" t="s">
        <v>16</v>
      </c>
      <c r="C220" s="12" t="s">
        <v>21</v>
      </c>
      <c r="D220" s="12" t="s">
        <v>27</v>
      </c>
      <c r="E220" s="13">
        <v>53169</v>
      </c>
      <c r="F220" s="14">
        <v>39</v>
      </c>
      <c r="G220" s="15">
        <v>25868</v>
      </c>
      <c r="H220" s="16">
        <v>0.1</v>
      </c>
      <c r="I220" s="13">
        <v>4</v>
      </c>
      <c r="J220" s="15">
        <v>100885.2</v>
      </c>
      <c r="K220" s="15">
        <v>907966.8</v>
      </c>
      <c r="L220" s="15">
        <v>551581.90456808894</v>
      </c>
      <c r="M220" s="15">
        <v>356384.89543191111</v>
      </c>
    </row>
    <row r="221" spans="1:13" x14ac:dyDescent="0.25">
      <c r="A221" s="12">
        <v>45146</v>
      </c>
      <c r="B221" s="12" t="s">
        <v>13</v>
      </c>
      <c r="C221" s="12" t="s">
        <v>21</v>
      </c>
      <c r="D221" s="12" t="s">
        <v>25</v>
      </c>
      <c r="E221" s="13">
        <v>58287</v>
      </c>
      <c r="F221" s="14">
        <v>18</v>
      </c>
      <c r="G221" s="15">
        <v>12150</v>
      </c>
      <c r="H221" s="16">
        <v>0.2</v>
      </c>
      <c r="I221" s="13">
        <v>1</v>
      </c>
      <c r="J221" s="15">
        <v>43740</v>
      </c>
      <c r="K221" s="15">
        <v>174960</v>
      </c>
      <c r="L221" s="15">
        <v>125945.2958734765</v>
      </c>
      <c r="M221" s="15">
        <v>49014.704126523502</v>
      </c>
    </row>
    <row r="222" spans="1:13" x14ac:dyDescent="0.25">
      <c r="A222" s="12">
        <v>45147</v>
      </c>
      <c r="B222" s="12" t="s">
        <v>13</v>
      </c>
      <c r="C222" s="12" t="s">
        <v>21</v>
      </c>
      <c r="D222" s="12" t="s">
        <v>22</v>
      </c>
      <c r="E222" s="13">
        <v>64745</v>
      </c>
      <c r="F222" s="14">
        <v>38</v>
      </c>
      <c r="G222" s="15">
        <v>31484</v>
      </c>
      <c r="H222" s="16">
        <v>0.1</v>
      </c>
      <c r="I222" s="13">
        <v>5</v>
      </c>
      <c r="J222" s="15">
        <v>119639.2</v>
      </c>
      <c r="K222" s="15">
        <v>1076752.8</v>
      </c>
      <c r="L222" s="15">
        <v>964542.33479746466</v>
      </c>
      <c r="M222" s="15">
        <v>112210.4652025354</v>
      </c>
    </row>
    <row r="223" spans="1:13" x14ac:dyDescent="0.25">
      <c r="A223" s="12">
        <v>45148</v>
      </c>
      <c r="B223" s="12" t="s">
        <v>13</v>
      </c>
      <c r="C223" s="12" t="s">
        <v>23</v>
      </c>
      <c r="D223" s="12" t="s">
        <v>22</v>
      </c>
      <c r="E223" s="13">
        <v>15543</v>
      </c>
      <c r="F223" s="14">
        <v>37</v>
      </c>
      <c r="G223" s="15">
        <v>42441</v>
      </c>
      <c r="H223" s="16">
        <v>0</v>
      </c>
      <c r="I223" s="13">
        <v>4</v>
      </c>
      <c r="J223" s="15">
        <v>0</v>
      </c>
      <c r="K223" s="15">
        <v>1570317</v>
      </c>
      <c r="L223" s="15">
        <v>989626.46208135632</v>
      </c>
      <c r="M223" s="15">
        <v>580690.53791864368</v>
      </c>
    </row>
    <row r="224" spans="1:13" x14ac:dyDescent="0.25">
      <c r="A224" s="12">
        <v>45149</v>
      </c>
      <c r="B224" s="12" t="s">
        <v>24</v>
      </c>
      <c r="C224" s="12" t="s">
        <v>14</v>
      </c>
      <c r="D224" s="12" t="s">
        <v>15</v>
      </c>
      <c r="E224" s="13">
        <v>66392</v>
      </c>
      <c r="F224" s="14">
        <v>30</v>
      </c>
      <c r="G224" s="15">
        <v>7882</v>
      </c>
      <c r="H224" s="16">
        <v>0.15</v>
      </c>
      <c r="I224" s="13">
        <v>1</v>
      </c>
      <c r="J224" s="15">
        <v>35469</v>
      </c>
      <c r="K224" s="15">
        <v>200991</v>
      </c>
      <c r="L224" s="15">
        <v>146142.15309406799</v>
      </c>
      <c r="M224" s="15">
        <v>54848.846905931983</v>
      </c>
    </row>
    <row r="225" spans="1:13" x14ac:dyDescent="0.25">
      <c r="A225" s="12">
        <v>45150</v>
      </c>
      <c r="B225" s="12" t="s">
        <v>16</v>
      </c>
      <c r="C225" s="12" t="s">
        <v>20</v>
      </c>
      <c r="D225" s="12" t="s">
        <v>25</v>
      </c>
      <c r="E225" s="13">
        <v>31067</v>
      </c>
      <c r="F225" s="14">
        <v>31</v>
      </c>
      <c r="G225" s="15">
        <v>1301</v>
      </c>
      <c r="H225" s="16">
        <v>0.15</v>
      </c>
      <c r="I225" s="13">
        <v>2</v>
      </c>
      <c r="J225" s="15">
        <v>6049.65</v>
      </c>
      <c r="K225" s="15">
        <v>34281.35</v>
      </c>
      <c r="L225" s="15">
        <v>23727.664483483299</v>
      </c>
      <c r="M225" s="15">
        <v>10553.6855165167</v>
      </c>
    </row>
    <row r="226" spans="1:13" x14ac:dyDescent="0.25">
      <c r="A226" s="12">
        <v>45151</v>
      </c>
      <c r="B226" s="12" t="s">
        <v>24</v>
      </c>
      <c r="C226" s="12" t="s">
        <v>17</v>
      </c>
      <c r="D226" s="12" t="s">
        <v>15</v>
      </c>
      <c r="E226" s="13">
        <v>61033</v>
      </c>
      <c r="F226" s="14">
        <v>10</v>
      </c>
      <c r="G226" s="15">
        <v>41502</v>
      </c>
      <c r="H226" s="16">
        <v>0.05</v>
      </c>
      <c r="I226" s="13">
        <v>4</v>
      </c>
      <c r="J226" s="15">
        <v>20751</v>
      </c>
      <c r="K226" s="15">
        <v>394269</v>
      </c>
      <c r="L226" s="15">
        <v>343615.85679605033</v>
      </c>
      <c r="M226" s="15">
        <v>50653.14320394973</v>
      </c>
    </row>
    <row r="227" spans="1:13" x14ac:dyDescent="0.25">
      <c r="A227" s="12">
        <v>45152</v>
      </c>
      <c r="B227" s="12" t="s">
        <v>24</v>
      </c>
      <c r="C227" s="12" t="s">
        <v>17</v>
      </c>
      <c r="D227" s="12" t="s">
        <v>15</v>
      </c>
      <c r="E227" s="13">
        <v>55256</v>
      </c>
      <c r="F227" s="14">
        <v>15</v>
      </c>
      <c r="G227" s="15">
        <v>47165</v>
      </c>
      <c r="H227" s="16">
        <v>0.05</v>
      </c>
      <c r="I227" s="13">
        <v>5</v>
      </c>
      <c r="J227" s="15">
        <v>35373.75</v>
      </c>
      <c r="K227" s="15">
        <v>672101.25</v>
      </c>
      <c r="L227" s="15">
        <v>578546.12195990048</v>
      </c>
      <c r="M227" s="15">
        <v>93555.128040099517</v>
      </c>
    </row>
    <row r="228" spans="1:13" x14ac:dyDescent="0.25">
      <c r="A228" s="12">
        <v>45153</v>
      </c>
      <c r="B228" s="12" t="s">
        <v>19</v>
      </c>
      <c r="C228" s="12" t="s">
        <v>23</v>
      </c>
      <c r="D228" s="12" t="s">
        <v>22</v>
      </c>
      <c r="E228" s="13">
        <v>79345</v>
      </c>
      <c r="F228" s="14">
        <v>42</v>
      </c>
      <c r="G228" s="15">
        <v>48465</v>
      </c>
      <c r="H228" s="16">
        <v>0.1</v>
      </c>
      <c r="I228" s="13">
        <v>1</v>
      </c>
      <c r="J228" s="15">
        <v>203553</v>
      </c>
      <c r="K228" s="15">
        <v>1831977</v>
      </c>
      <c r="L228" s="15">
        <v>1229823.7985428569</v>
      </c>
      <c r="M228" s="15">
        <v>602153.2014571426</v>
      </c>
    </row>
    <row r="229" spans="1:13" x14ac:dyDescent="0.25">
      <c r="A229" s="12">
        <v>45154</v>
      </c>
      <c r="B229" s="12" t="s">
        <v>24</v>
      </c>
      <c r="C229" s="12" t="s">
        <v>21</v>
      </c>
      <c r="D229" s="12" t="s">
        <v>15</v>
      </c>
      <c r="E229" s="13">
        <v>32191</v>
      </c>
      <c r="F229" s="14">
        <v>48</v>
      </c>
      <c r="G229" s="15">
        <v>20233</v>
      </c>
      <c r="H229" s="16">
        <v>0.15</v>
      </c>
      <c r="I229" s="13">
        <v>4</v>
      </c>
      <c r="J229" s="15">
        <v>145677.6</v>
      </c>
      <c r="K229" s="15">
        <v>825506.4</v>
      </c>
      <c r="L229" s="15">
        <v>515410.15134359041</v>
      </c>
      <c r="M229" s="15">
        <v>310096.24865640962</v>
      </c>
    </row>
    <row r="230" spans="1:13" x14ac:dyDescent="0.25">
      <c r="A230" s="12">
        <v>45155</v>
      </c>
      <c r="B230" s="12" t="s">
        <v>19</v>
      </c>
      <c r="C230" s="12" t="s">
        <v>23</v>
      </c>
      <c r="D230" s="12" t="s">
        <v>22</v>
      </c>
      <c r="E230" s="13">
        <v>96803</v>
      </c>
      <c r="F230" s="14">
        <v>44</v>
      </c>
      <c r="G230" s="15">
        <v>10469</v>
      </c>
      <c r="H230" s="16">
        <v>0</v>
      </c>
      <c r="I230" s="13">
        <v>2</v>
      </c>
      <c r="J230" s="15">
        <v>0</v>
      </c>
      <c r="K230" s="15">
        <v>460636</v>
      </c>
      <c r="L230" s="15">
        <v>363046.35638602113</v>
      </c>
      <c r="M230" s="15">
        <v>97589.643613978929</v>
      </c>
    </row>
    <row r="231" spans="1:13" x14ac:dyDescent="0.25">
      <c r="A231" s="12">
        <v>45156</v>
      </c>
      <c r="B231" s="12" t="s">
        <v>19</v>
      </c>
      <c r="C231" s="12" t="s">
        <v>14</v>
      </c>
      <c r="D231" s="12" t="s">
        <v>27</v>
      </c>
      <c r="E231" s="13">
        <v>82742</v>
      </c>
      <c r="F231" s="14">
        <v>18</v>
      </c>
      <c r="G231" s="15">
        <v>36469</v>
      </c>
      <c r="H231" s="16">
        <v>0</v>
      </c>
      <c r="I231" s="13">
        <v>4</v>
      </c>
      <c r="J231" s="15">
        <v>0</v>
      </c>
      <c r="K231" s="15">
        <v>656442</v>
      </c>
      <c r="L231" s="15">
        <v>460107.1649899098</v>
      </c>
      <c r="M231" s="15">
        <v>196334.8350100902</v>
      </c>
    </row>
    <row r="232" spans="1:13" x14ac:dyDescent="0.25">
      <c r="A232" s="12">
        <v>45157</v>
      </c>
      <c r="B232" s="12" t="s">
        <v>24</v>
      </c>
      <c r="C232" s="12" t="s">
        <v>14</v>
      </c>
      <c r="D232" s="12" t="s">
        <v>25</v>
      </c>
      <c r="E232" s="13">
        <v>96593</v>
      </c>
      <c r="F232" s="14">
        <v>23</v>
      </c>
      <c r="G232" s="15">
        <v>17233</v>
      </c>
      <c r="H232" s="16">
        <v>0</v>
      </c>
      <c r="I232" s="13">
        <v>1</v>
      </c>
      <c r="J232" s="15">
        <v>0</v>
      </c>
      <c r="K232" s="15">
        <v>396359</v>
      </c>
      <c r="L232" s="15">
        <v>317731.40909286862</v>
      </c>
      <c r="M232" s="15">
        <v>78627.590907131438</v>
      </c>
    </row>
    <row r="233" spans="1:13" x14ac:dyDescent="0.25">
      <c r="A233" s="12">
        <v>45158</v>
      </c>
      <c r="B233" s="12" t="s">
        <v>16</v>
      </c>
      <c r="C233" s="12" t="s">
        <v>20</v>
      </c>
      <c r="D233" s="12" t="s">
        <v>15</v>
      </c>
      <c r="E233" s="13">
        <v>38992</v>
      </c>
      <c r="F233" s="14">
        <v>33</v>
      </c>
      <c r="G233" s="15">
        <v>32949</v>
      </c>
      <c r="H233" s="16">
        <v>0.1</v>
      </c>
      <c r="I233" s="13">
        <v>4</v>
      </c>
      <c r="J233" s="15">
        <v>108731.7</v>
      </c>
      <c r="K233" s="15">
        <v>978585.3</v>
      </c>
      <c r="L233" s="15">
        <v>596580.75633826468</v>
      </c>
      <c r="M233" s="15">
        <v>382004.54366173543</v>
      </c>
    </row>
    <row r="234" spans="1:13" x14ac:dyDescent="0.25">
      <c r="A234" s="12">
        <v>45159</v>
      </c>
      <c r="B234" s="12" t="s">
        <v>16</v>
      </c>
      <c r="C234" s="12" t="s">
        <v>20</v>
      </c>
      <c r="D234" s="12" t="s">
        <v>22</v>
      </c>
      <c r="E234" s="13">
        <v>91531</v>
      </c>
      <c r="F234" s="14">
        <v>16</v>
      </c>
      <c r="G234" s="15">
        <v>26643</v>
      </c>
      <c r="H234" s="16">
        <v>0.1</v>
      </c>
      <c r="I234" s="13">
        <v>5</v>
      </c>
      <c r="J234" s="15">
        <v>42628.800000000003</v>
      </c>
      <c r="K234" s="15">
        <v>383659.2</v>
      </c>
      <c r="L234" s="15">
        <v>245549.47315464221</v>
      </c>
      <c r="M234" s="15">
        <v>138109.7268453578</v>
      </c>
    </row>
    <row r="235" spans="1:13" x14ac:dyDescent="0.25">
      <c r="A235" s="12">
        <v>45160</v>
      </c>
      <c r="B235" s="12" t="s">
        <v>16</v>
      </c>
      <c r="C235" s="12" t="s">
        <v>14</v>
      </c>
      <c r="D235" s="12" t="s">
        <v>26</v>
      </c>
      <c r="E235" s="13">
        <v>58803</v>
      </c>
      <c r="F235" s="14">
        <v>38</v>
      </c>
      <c r="G235" s="15">
        <v>26205</v>
      </c>
      <c r="H235" s="16">
        <v>0.2</v>
      </c>
      <c r="I235" s="13">
        <v>3</v>
      </c>
      <c r="J235" s="15">
        <v>199158</v>
      </c>
      <c r="K235" s="15">
        <v>796632</v>
      </c>
      <c r="L235" s="15">
        <v>642015.02536144084</v>
      </c>
      <c r="M235" s="15">
        <v>154616.97463855919</v>
      </c>
    </row>
    <row r="236" spans="1:13" x14ac:dyDescent="0.25">
      <c r="A236" s="12">
        <v>45161</v>
      </c>
      <c r="B236" s="12" t="s">
        <v>16</v>
      </c>
      <c r="C236" s="12" t="s">
        <v>14</v>
      </c>
      <c r="D236" s="12" t="s">
        <v>15</v>
      </c>
      <c r="E236" s="13">
        <v>73477</v>
      </c>
      <c r="F236" s="14">
        <v>35</v>
      </c>
      <c r="G236" s="15">
        <v>28863</v>
      </c>
      <c r="H236" s="16">
        <v>0</v>
      </c>
      <c r="I236" s="13">
        <v>1</v>
      </c>
      <c r="J236" s="15">
        <v>0</v>
      </c>
      <c r="K236" s="15">
        <v>1010205</v>
      </c>
      <c r="L236" s="15">
        <v>670484.36935195792</v>
      </c>
      <c r="M236" s="15">
        <v>339720.63064804208</v>
      </c>
    </row>
    <row r="237" spans="1:13" x14ac:dyDescent="0.25">
      <c r="A237" s="12">
        <v>45162</v>
      </c>
      <c r="B237" s="12" t="s">
        <v>16</v>
      </c>
      <c r="C237" s="12" t="s">
        <v>14</v>
      </c>
      <c r="D237" s="12" t="s">
        <v>18</v>
      </c>
      <c r="E237" s="13">
        <v>23210</v>
      </c>
      <c r="F237" s="14">
        <v>34</v>
      </c>
      <c r="G237" s="15">
        <v>31220</v>
      </c>
      <c r="H237" s="16">
        <v>0</v>
      </c>
      <c r="I237" s="13">
        <v>1</v>
      </c>
      <c r="J237" s="15">
        <v>0</v>
      </c>
      <c r="K237" s="15">
        <v>1061480</v>
      </c>
      <c r="L237" s="15">
        <v>909981.64982048224</v>
      </c>
      <c r="M237" s="15">
        <v>151498.35017951779</v>
      </c>
    </row>
    <row r="238" spans="1:13" x14ac:dyDescent="0.25">
      <c r="A238" s="12">
        <v>45163</v>
      </c>
      <c r="B238" s="12" t="s">
        <v>24</v>
      </c>
      <c r="C238" s="12" t="s">
        <v>23</v>
      </c>
      <c r="D238" s="12" t="s">
        <v>27</v>
      </c>
      <c r="E238" s="13">
        <v>93329</v>
      </c>
      <c r="F238" s="14">
        <v>28</v>
      </c>
      <c r="G238" s="15">
        <v>10472</v>
      </c>
      <c r="H238" s="16">
        <v>0.1</v>
      </c>
      <c r="I238" s="13">
        <v>1</v>
      </c>
      <c r="J238" s="15">
        <v>29321.599999999999</v>
      </c>
      <c r="K238" s="15">
        <v>263894.40000000002</v>
      </c>
      <c r="L238" s="15">
        <v>162975.1821473201</v>
      </c>
      <c r="M238" s="15">
        <v>100919.2178526799</v>
      </c>
    </row>
    <row r="239" spans="1:13" x14ac:dyDescent="0.25">
      <c r="A239" s="12">
        <v>45164</v>
      </c>
      <c r="B239" s="12" t="s">
        <v>24</v>
      </c>
      <c r="C239" s="12" t="s">
        <v>14</v>
      </c>
      <c r="D239" s="12" t="s">
        <v>27</v>
      </c>
      <c r="E239" s="13">
        <v>36270</v>
      </c>
      <c r="F239" s="14">
        <v>2</v>
      </c>
      <c r="G239" s="15">
        <v>33851</v>
      </c>
      <c r="H239" s="16">
        <v>0.1</v>
      </c>
      <c r="I239" s="13">
        <v>1</v>
      </c>
      <c r="J239" s="15">
        <v>6770.2000000000007</v>
      </c>
      <c r="K239" s="15">
        <v>60931.8</v>
      </c>
      <c r="L239" s="15">
        <v>40497.991523608223</v>
      </c>
      <c r="M239" s="15">
        <v>20433.80847639178</v>
      </c>
    </row>
    <row r="240" spans="1:13" x14ac:dyDescent="0.25">
      <c r="A240" s="12">
        <v>45165</v>
      </c>
      <c r="B240" s="12" t="s">
        <v>13</v>
      </c>
      <c r="C240" s="12" t="s">
        <v>17</v>
      </c>
      <c r="D240" s="12" t="s">
        <v>26</v>
      </c>
      <c r="E240" s="13">
        <v>72008</v>
      </c>
      <c r="F240" s="14">
        <v>30</v>
      </c>
      <c r="G240" s="15">
        <v>45987</v>
      </c>
      <c r="H240" s="16">
        <v>0.2</v>
      </c>
      <c r="I240" s="13">
        <v>4</v>
      </c>
      <c r="J240" s="15">
        <v>275922</v>
      </c>
      <c r="K240" s="15">
        <v>1103688</v>
      </c>
      <c r="L240" s="15">
        <v>992842.48905899655</v>
      </c>
      <c r="M240" s="15">
        <v>110845.51094100341</v>
      </c>
    </row>
    <row r="241" spans="1:13" x14ac:dyDescent="0.25">
      <c r="A241" s="12">
        <v>45166</v>
      </c>
      <c r="B241" s="12" t="s">
        <v>16</v>
      </c>
      <c r="C241" s="12" t="s">
        <v>21</v>
      </c>
      <c r="D241" s="12" t="s">
        <v>22</v>
      </c>
      <c r="E241" s="13">
        <v>15197</v>
      </c>
      <c r="F241" s="14">
        <v>13</v>
      </c>
      <c r="G241" s="15">
        <v>36645</v>
      </c>
      <c r="H241" s="16">
        <v>0.2</v>
      </c>
      <c r="I241" s="13">
        <v>5</v>
      </c>
      <c r="J241" s="15">
        <v>95277</v>
      </c>
      <c r="K241" s="15">
        <v>381108</v>
      </c>
      <c r="L241" s="15">
        <v>278179.43019139417</v>
      </c>
      <c r="M241" s="15">
        <v>102928.5698086058</v>
      </c>
    </row>
    <row r="242" spans="1:13" x14ac:dyDescent="0.25">
      <c r="A242" s="12">
        <v>45167</v>
      </c>
      <c r="B242" s="12" t="s">
        <v>24</v>
      </c>
      <c r="C242" s="12" t="s">
        <v>14</v>
      </c>
      <c r="D242" s="12" t="s">
        <v>15</v>
      </c>
      <c r="E242" s="13">
        <v>17452</v>
      </c>
      <c r="F242" s="14">
        <v>41</v>
      </c>
      <c r="G242" s="15">
        <v>22912</v>
      </c>
      <c r="H242" s="16">
        <v>0.05</v>
      </c>
      <c r="I242" s="13">
        <v>2</v>
      </c>
      <c r="J242" s="15">
        <v>46969.600000000013</v>
      </c>
      <c r="K242" s="15">
        <v>892422.4</v>
      </c>
      <c r="L242" s="15">
        <v>723656.13137343095</v>
      </c>
      <c r="M242" s="15">
        <v>168766.2686265691</v>
      </c>
    </row>
    <row r="243" spans="1:13" x14ac:dyDescent="0.25">
      <c r="A243" s="12">
        <v>45168</v>
      </c>
      <c r="B243" s="12" t="s">
        <v>13</v>
      </c>
      <c r="C243" s="12" t="s">
        <v>21</v>
      </c>
      <c r="D243" s="12" t="s">
        <v>22</v>
      </c>
      <c r="E243" s="13">
        <v>51486</v>
      </c>
      <c r="F243" s="14">
        <v>16</v>
      </c>
      <c r="G243" s="15">
        <v>24578</v>
      </c>
      <c r="H243" s="16">
        <v>0.15</v>
      </c>
      <c r="I243" s="13">
        <v>5</v>
      </c>
      <c r="J243" s="15">
        <v>58987.199999999997</v>
      </c>
      <c r="K243" s="15">
        <v>334260.8</v>
      </c>
      <c r="L243" s="15">
        <v>218873.6090524153</v>
      </c>
      <c r="M243" s="15">
        <v>115387.19094758471</v>
      </c>
    </row>
    <row r="244" spans="1:13" x14ac:dyDescent="0.25">
      <c r="A244" s="12">
        <v>45169</v>
      </c>
      <c r="B244" s="12" t="s">
        <v>16</v>
      </c>
      <c r="C244" s="12" t="s">
        <v>23</v>
      </c>
      <c r="D244" s="12" t="s">
        <v>27</v>
      </c>
      <c r="E244" s="13">
        <v>24859</v>
      </c>
      <c r="F244" s="14">
        <v>5</v>
      </c>
      <c r="G244" s="15">
        <v>23080</v>
      </c>
      <c r="H244" s="16">
        <v>0</v>
      </c>
      <c r="I244" s="13">
        <v>1</v>
      </c>
      <c r="J244" s="15">
        <v>0</v>
      </c>
      <c r="K244" s="15">
        <v>115400</v>
      </c>
      <c r="L244" s="15">
        <v>90353.65560519931</v>
      </c>
      <c r="M244" s="15">
        <v>25046.34439480069</v>
      </c>
    </row>
    <row r="245" spans="1:13" x14ac:dyDescent="0.25">
      <c r="A245" s="12">
        <v>45170</v>
      </c>
      <c r="B245" s="12" t="s">
        <v>19</v>
      </c>
      <c r="C245" s="12" t="s">
        <v>21</v>
      </c>
      <c r="D245" s="12" t="s">
        <v>22</v>
      </c>
      <c r="E245" s="13">
        <v>37236</v>
      </c>
      <c r="F245" s="14">
        <v>28</v>
      </c>
      <c r="G245" s="15">
        <v>15355</v>
      </c>
      <c r="H245" s="16">
        <v>0</v>
      </c>
      <c r="I245" s="13">
        <v>4</v>
      </c>
      <c r="J245" s="15">
        <v>0</v>
      </c>
      <c r="K245" s="15">
        <v>429940</v>
      </c>
      <c r="L245" s="15">
        <v>351618.61291042442</v>
      </c>
      <c r="M245" s="15">
        <v>78321.387089575641</v>
      </c>
    </row>
    <row r="246" spans="1:13" x14ac:dyDescent="0.25">
      <c r="A246" s="12">
        <v>45171</v>
      </c>
      <c r="B246" s="12" t="s">
        <v>13</v>
      </c>
      <c r="C246" s="12" t="s">
        <v>23</v>
      </c>
      <c r="D246" s="12" t="s">
        <v>27</v>
      </c>
      <c r="E246" s="13">
        <v>41899</v>
      </c>
      <c r="F246" s="14">
        <v>39</v>
      </c>
      <c r="G246" s="15">
        <v>36669</v>
      </c>
      <c r="H246" s="16">
        <v>0.2</v>
      </c>
      <c r="I246" s="13">
        <v>4</v>
      </c>
      <c r="J246" s="15">
        <v>286018.2</v>
      </c>
      <c r="K246" s="15">
        <v>1144072.8</v>
      </c>
      <c r="L246" s="15">
        <v>794378.92959911388</v>
      </c>
      <c r="M246" s="15">
        <v>349693.87040088623</v>
      </c>
    </row>
    <row r="247" spans="1:13" x14ac:dyDescent="0.25">
      <c r="A247" s="12">
        <v>45172</v>
      </c>
      <c r="B247" s="12" t="s">
        <v>24</v>
      </c>
      <c r="C247" s="12" t="s">
        <v>17</v>
      </c>
      <c r="D247" s="12" t="s">
        <v>22</v>
      </c>
      <c r="E247" s="13">
        <v>42083</v>
      </c>
      <c r="F247" s="14">
        <v>45</v>
      </c>
      <c r="G247" s="15">
        <v>46904</v>
      </c>
      <c r="H247" s="16">
        <v>0.2</v>
      </c>
      <c r="I247" s="13">
        <v>1</v>
      </c>
      <c r="J247" s="15">
        <v>422136</v>
      </c>
      <c r="K247" s="15">
        <v>1688544</v>
      </c>
      <c r="L247" s="15">
        <v>1433015.173513259</v>
      </c>
      <c r="M247" s="15">
        <v>255528.82648674099</v>
      </c>
    </row>
    <row r="248" spans="1:13" x14ac:dyDescent="0.25">
      <c r="A248" s="12">
        <v>45173</v>
      </c>
      <c r="B248" s="12" t="s">
        <v>19</v>
      </c>
      <c r="C248" s="12" t="s">
        <v>23</v>
      </c>
      <c r="D248" s="12" t="s">
        <v>26</v>
      </c>
      <c r="E248" s="13">
        <v>77708</v>
      </c>
      <c r="F248" s="14">
        <v>20</v>
      </c>
      <c r="G248" s="15">
        <v>20069</v>
      </c>
      <c r="H248" s="16">
        <v>0.05</v>
      </c>
      <c r="I248" s="13">
        <v>4</v>
      </c>
      <c r="J248" s="15">
        <v>20069</v>
      </c>
      <c r="K248" s="15">
        <v>381311</v>
      </c>
      <c r="L248" s="15">
        <v>297813.52807945339</v>
      </c>
      <c r="M248" s="15">
        <v>83497.471920546552</v>
      </c>
    </row>
    <row r="249" spans="1:13" x14ac:dyDescent="0.25">
      <c r="A249" s="12">
        <v>45174</v>
      </c>
      <c r="B249" s="12" t="s">
        <v>19</v>
      </c>
      <c r="C249" s="12" t="s">
        <v>23</v>
      </c>
      <c r="D249" s="12" t="s">
        <v>25</v>
      </c>
      <c r="E249" s="13">
        <v>26663</v>
      </c>
      <c r="F249" s="14">
        <v>24</v>
      </c>
      <c r="G249" s="15">
        <v>49006</v>
      </c>
      <c r="H249" s="16">
        <v>0.15</v>
      </c>
      <c r="I249" s="13">
        <v>1</v>
      </c>
      <c r="J249" s="15">
        <v>176421.6</v>
      </c>
      <c r="K249" s="15">
        <v>999722.4</v>
      </c>
      <c r="L249" s="15">
        <v>716537.93672026834</v>
      </c>
      <c r="M249" s="15">
        <v>283184.46327973169</v>
      </c>
    </row>
    <row r="250" spans="1:13" x14ac:dyDescent="0.25">
      <c r="A250" s="12">
        <v>45175</v>
      </c>
      <c r="B250" s="12" t="s">
        <v>19</v>
      </c>
      <c r="C250" s="12" t="s">
        <v>20</v>
      </c>
      <c r="D250" s="12" t="s">
        <v>26</v>
      </c>
      <c r="E250" s="13">
        <v>29053</v>
      </c>
      <c r="F250" s="14">
        <v>27</v>
      </c>
      <c r="G250" s="15">
        <v>26238</v>
      </c>
      <c r="H250" s="16">
        <v>0.05</v>
      </c>
      <c r="I250" s="13">
        <v>5</v>
      </c>
      <c r="J250" s="15">
        <v>35421.300000000003</v>
      </c>
      <c r="K250" s="15">
        <v>673004.7</v>
      </c>
      <c r="L250" s="15">
        <v>516391.60549175832</v>
      </c>
      <c r="M250" s="15">
        <v>156613.0945082416</v>
      </c>
    </row>
    <row r="251" spans="1:13" x14ac:dyDescent="0.25">
      <c r="A251" s="12">
        <v>45176</v>
      </c>
      <c r="B251" s="12" t="s">
        <v>13</v>
      </c>
      <c r="C251" s="12" t="s">
        <v>14</v>
      </c>
      <c r="D251" s="12" t="s">
        <v>26</v>
      </c>
      <c r="E251" s="13">
        <v>21085</v>
      </c>
      <c r="F251" s="14">
        <v>30</v>
      </c>
      <c r="G251" s="15">
        <v>7272</v>
      </c>
      <c r="H251" s="16">
        <v>0.15</v>
      </c>
      <c r="I251" s="13">
        <v>3</v>
      </c>
      <c r="J251" s="15">
        <v>32724</v>
      </c>
      <c r="K251" s="15">
        <v>185436</v>
      </c>
      <c r="L251" s="15">
        <v>143347.26735153841</v>
      </c>
      <c r="M251" s="15">
        <v>42088.732648461591</v>
      </c>
    </row>
    <row r="252" spans="1:13" x14ac:dyDescent="0.25">
      <c r="A252" s="12">
        <v>45177</v>
      </c>
      <c r="B252" s="12" t="s">
        <v>24</v>
      </c>
      <c r="C252" s="12" t="s">
        <v>14</v>
      </c>
      <c r="D252" s="12" t="s">
        <v>25</v>
      </c>
      <c r="E252" s="13">
        <v>40564</v>
      </c>
      <c r="F252" s="14">
        <v>45</v>
      </c>
      <c r="G252" s="15">
        <v>25374</v>
      </c>
      <c r="H252" s="16">
        <v>0</v>
      </c>
      <c r="I252" s="13">
        <v>4</v>
      </c>
      <c r="J252" s="15">
        <v>0</v>
      </c>
      <c r="K252" s="15">
        <v>1141830</v>
      </c>
      <c r="L252" s="15">
        <v>741801.94897699112</v>
      </c>
      <c r="M252" s="15">
        <v>400028.05102300888</v>
      </c>
    </row>
    <row r="253" spans="1:13" x14ac:dyDescent="0.25">
      <c r="A253" s="12">
        <v>45178</v>
      </c>
      <c r="B253" s="12" t="s">
        <v>19</v>
      </c>
      <c r="C253" s="12" t="s">
        <v>17</v>
      </c>
      <c r="D253" s="12" t="s">
        <v>25</v>
      </c>
      <c r="E253" s="13">
        <v>99745</v>
      </c>
      <c r="F253" s="14">
        <v>27</v>
      </c>
      <c r="G253" s="15">
        <v>20231</v>
      </c>
      <c r="H253" s="16">
        <v>0.05</v>
      </c>
      <c r="I253" s="13">
        <v>1</v>
      </c>
      <c r="J253" s="15">
        <v>27311.85</v>
      </c>
      <c r="K253" s="15">
        <v>518925.15</v>
      </c>
      <c r="L253" s="15">
        <v>374051.47663292132</v>
      </c>
      <c r="M253" s="15">
        <v>144873.67336707879</v>
      </c>
    </row>
    <row r="254" spans="1:13" x14ac:dyDescent="0.25">
      <c r="A254" s="12">
        <v>45179</v>
      </c>
      <c r="B254" s="12" t="s">
        <v>16</v>
      </c>
      <c r="C254" s="12" t="s">
        <v>17</v>
      </c>
      <c r="D254" s="12" t="s">
        <v>15</v>
      </c>
      <c r="E254" s="13">
        <v>69095</v>
      </c>
      <c r="F254" s="14">
        <v>26</v>
      </c>
      <c r="G254" s="15">
        <v>10631</v>
      </c>
      <c r="H254" s="16">
        <v>0.2</v>
      </c>
      <c r="I254" s="13">
        <v>1</v>
      </c>
      <c r="J254" s="15">
        <v>55281.2</v>
      </c>
      <c r="K254" s="15">
        <v>221124.8</v>
      </c>
      <c r="L254" s="15">
        <v>155457.18602690779</v>
      </c>
      <c r="M254" s="15">
        <v>65667.613973092142</v>
      </c>
    </row>
    <row r="255" spans="1:13" x14ac:dyDescent="0.25">
      <c r="A255" s="12">
        <v>45180</v>
      </c>
      <c r="B255" s="12" t="s">
        <v>19</v>
      </c>
      <c r="C255" s="12" t="s">
        <v>14</v>
      </c>
      <c r="D255" s="12" t="s">
        <v>15</v>
      </c>
      <c r="E255" s="13">
        <v>79517</v>
      </c>
      <c r="F255" s="14">
        <v>7</v>
      </c>
      <c r="G255" s="15">
        <v>1288</v>
      </c>
      <c r="H255" s="16">
        <v>0.05</v>
      </c>
      <c r="I255" s="13">
        <v>4</v>
      </c>
      <c r="J255" s="15">
        <v>450.8</v>
      </c>
      <c r="K255" s="15">
        <v>8565.2000000000007</v>
      </c>
      <c r="L255" s="15">
        <v>6169.2635998304186</v>
      </c>
      <c r="M255" s="15">
        <v>2395.9364001695808</v>
      </c>
    </row>
    <row r="256" spans="1:13" x14ac:dyDescent="0.25">
      <c r="A256" s="12">
        <v>45181</v>
      </c>
      <c r="B256" s="12" t="s">
        <v>19</v>
      </c>
      <c r="C256" s="12" t="s">
        <v>20</v>
      </c>
      <c r="D256" s="12" t="s">
        <v>26</v>
      </c>
      <c r="E256" s="13">
        <v>31153</v>
      </c>
      <c r="F256" s="14">
        <v>42</v>
      </c>
      <c r="G256" s="15">
        <v>16684</v>
      </c>
      <c r="H256" s="16">
        <v>0.05</v>
      </c>
      <c r="I256" s="13">
        <v>2</v>
      </c>
      <c r="J256" s="15">
        <v>35036.400000000001</v>
      </c>
      <c r="K256" s="15">
        <v>665691.6</v>
      </c>
      <c r="L256" s="15">
        <v>551414.43762770784</v>
      </c>
      <c r="M256" s="15">
        <v>114277.16237229211</v>
      </c>
    </row>
    <row r="257" spans="1:13" x14ac:dyDescent="0.25">
      <c r="A257" s="12">
        <v>45182</v>
      </c>
      <c r="B257" s="12" t="s">
        <v>13</v>
      </c>
      <c r="C257" s="12" t="s">
        <v>14</v>
      </c>
      <c r="D257" s="12" t="s">
        <v>26</v>
      </c>
      <c r="E257" s="13">
        <v>15247</v>
      </c>
      <c r="F257" s="14">
        <v>47</v>
      </c>
      <c r="G257" s="15">
        <v>31397</v>
      </c>
      <c r="H257" s="16">
        <v>0</v>
      </c>
      <c r="I257" s="13">
        <v>1</v>
      </c>
      <c r="J257" s="15">
        <v>0</v>
      </c>
      <c r="K257" s="15">
        <v>1475659</v>
      </c>
      <c r="L257" s="15">
        <v>1099014.043147159</v>
      </c>
      <c r="M257" s="15">
        <v>376644.95685284119</v>
      </c>
    </row>
    <row r="258" spans="1:13" x14ac:dyDescent="0.25">
      <c r="A258" s="12">
        <v>45183</v>
      </c>
      <c r="B258" s="12" t="s">
        <v>13</v>
      </c>
      <c r="C258" s="12" t="s">
        <v>20</v>
      </c>
      <c r="D258" s="12" t="s">
        <v>27</v>
      </c>
      <c r="E258" s="13">
        <v>20553</v>
      </c>
      <c r="F258" s="14">
        <v>38</v>
      </c>
      <c r="G258" s="15">
        <v>3389</v>
      </c>
      <c r="H258" s="16">
        <v>0.2</v>
      </c>
      <c r="I258" s="13">
        <v>4</v>
      </c>
      <c r="J258" s="15">
        <v>25756.400000000001</v>
      </c>
      <c r="K258" s="15">
        <v>103025.60000000001</v>
      </c>
      <c r="L258" s="15">
        <v>90878.350763150156</v>
      </c>
      <c r="M258" s="15">
        <v>12147.24923684985</v>
      </c>
    </row>
    <row r="259" spans="1:13" x14ac:dyDescent="0.25">
      <c r="A259" s="12">
        <v>45184</v>
      </c>
      <c r="B259" s="12" t="s">
        <v>24</v>
      </c>
      <c r="C259" s="12" t="s">
        <v>17</v>
      </c>
      <c r="D259" s="12" t="s">
        <v>27</v>
      </c>
      <c r="E259" s="13">
        <v>30811</v>
      </c>
      <c r="F259" s="14">
        <v>5</v>
      </c>
      <c r="G259" s="15">
        <v>10069</v>
      </c>
      <c r="H259" s="16">
        <v>0.2</v>
      </c>
      <c r="I259" s="13">
        <v>1</v>
      </c>
      <c r="J259" s="15">
        <v>10069</v>
      </c>
      <c r="K259" s="15">
        <v>40276</v>
      </c>
      <c r="L259" s="15">
        <v>27714.033367327309</v>
      </c>
      <c r="M259" s="15">
        <v>12561.966632672689</v>
      </c>
    </row>
    <row r="260" spans="1:13" x14ac:dyDescent="0.25">
      <c r="A260" s="12">
        <v>45185</v>
      </c>
      <c r="B260" s="12" t="s">
        <v>16</v>
      </c>
      <c r="C260" s="12" t="s">
        <v>21</v>
      </c>
      <c r="D260" s="12" t="s">
        <v>15</v>
      </c>
      <c r="E260" s="13">
        <v>16135</v>
      </c>
      <c r="F260" s="14">
        <v>23</v>
      </c>
      <c r="G260" s="15">
        <v>22157</v>
      </c>
      <c r="H260" s="16">
        <v>0.1</v>
      </c>
      <c r="I260" s="13">
        <v>2</v>
      </c>
      <c r="J260" s="15">
        <v>50961.100000000013</v>
      </c>
      <c r="K260" s="15">
        <v>458649.9</v>
      </c>
      <c r="L260" s="15">
        <v>332388.66138300748</v>
      </c>
      <c r="M260" s="15">
        <v>126261.2386169925</v>
      </c>
    </row>
    <row r="261" spans="1:13" x14ac:dyDescent="0.25">
      <c r="A261" s="12">
        <v>45186</v>
      </c>
      <c r="B261" s="12" t="s">
        <v>13</v>
      </c>
      <c r="C261" s="12" t="s">
        <v>17</v>
      </c>
      <c r="D261" s="12" t="s">
        <v>18</v>
      </c>
      <c r="E261" s="13">
        <v>15573</v>
      </c>
      <c r="F261" s="14">
        <v>28</v>
      </c>
      <c r="G261" s="15">
        <v>10641</v>
      </c>
      <c r="H261" s="16">
        <v>0.1</v>
      </c>
      <c r="I261" s="13">
        <v>3</v>
      </c>
      <c r="J261" s="15">
        <v>29794.799999999999</v>
      </c>
      <c r="K261" s="15">
        <v>268153.2</v>
      </c>
      <c r="L261" s="15">
        <v>224199.41609752449</v>
      </c>
      <c r="M261" s="15">
        <v>43953.783902475458</v>
      </c>
    </row>
    <row r="262" spans="1:13" x14ac:dyDescent="0.25">
      <c r="A262" s="12">
        <v>45187</v>
      </c>
      <c r="B262" s="12" t="s">
        <v>19</v>
      </c>
      <c r="C262" s="12" t="s">
        <v>17</v>
      </c>
      <c r="D262" s="12" t="s">
        <v>18</v>
      </c>
      <c r="E262" s="13">
        <v>89267</v>
      </c>
      <c r="F262" s="14">
        <v>34</v>
      </c>
      <c r="G262" s="15">
        <v>20156</v>
      </c>
      <c r="H262" s="16">
        <v>0.1</v>
      </c>
      <c r="I262" s="13">
        <v>2</v>
      </c>
      <c r="J262" s="15">
        <v>68530.400000000009</v>
      </c>
      <c r="K262" s="15">
        <v>616773.6</v>
      </c>
      <c r="L262" s="15">
        <v>471096.22623329249</v>
      </c>
      <c r="M262" s="15">
        <v>145677.3737667074</v>
      </c>
    </row>
    <row r="263" spans="1:13" x14ac:dyDescent="0.25">
      <c r="A263" s="12">
        <v>45188</v>
      </c>
      <c r="B263" s="12" t="s">
        <v>24</v>
      </c>
      <c r="C263" s="12" t="s">
        <v>23</v>
      </c>
      <c r="D263" s="12" t="s">
        <v>15</v>
      </c>
      <c r="E263" s="13">
        <v>17189</v>
      </c>
      <c r="F263" s="14">
        <v>15</v>
      </c>
      <c r="G263" s="15">
        <v>22118</v>
      </c>
      <c r="H263" s="16">
        <v>0</v>
      </c>
      <c r="I263" s="13">
        <v>5</v>
      </c>
      <c r="J263" s="15">
        <v>0</v>
      </c>
      <c r="K263" s="15">
        <v>331770</v>
      </c>
      <c r="L263" s="15">
        <v>253508.2584417717</v>
      </c>
      <c r="M263" s="15">
        <v>78261.74155822827</v>
      </c>
    </row>
    <row r="264" spans="1:13" x14ac:dyDescent="0.25">
      <c r="A264" s="12">
        <v>45189</v>
      </c>
      <c r="B264" s="12" t="s">
        <v>19</v>
      </c>
      <c r="C264" s="12" t="s">
        <v>23</v>
      </c>
      <c r="D264" s="12" t="s">
        <v>27</v>
      </c>
      <c r="E264" s="13">
        <v>90077</v>
      </c>
      <c r="F264" s="14">
        <v>32</v>
      </c>
      <c r="G264" s="15">
        <v>12434</v>
      </c>
      <c r="H264" s="16">
        <v>0.05</v>
      </c>
      <c r="I264" s="13">
        <v>4</v>
      </c>
      <c r="J264" s="15">
        <v>19894.400000000001</v>
      </c>
      <c r="K264" s="15">
        <v>377993.6</v>
      </c>
      <c r="L264" s="15">
        <v>232844.83207167481</v>
      </c>
      <c r="M264" s="15">
        <v>145148.76792832511</v>
      </c>
    </row>
    <row r="265" spans="1:13" x14ac:dyDescent="0.25">
      <c r="A265" s="12">
        <v>45190</v>
      </c>
      <c r="B265" s="12" t="s">
        <v>19</v>
      </c>
      <c r="C265" s="12" t="s">
        <v>23</v>
      </c>
      <c r="D265" s="12" t="s">
        <v>27</v>
      </c>
      <c r="E265" s="13">
        <v>53646</v>
      </c>
      <c r="F265" s="14">
        <v>26</v>
      </c>
      <c r="G265" s="15">
        <v>43037</v>
      </c>
      <c r="H265" s="16">
        <v>0.2</v>
      </c>
      <c r="I265" s="13">
        <v>2</v>
      </c>
      <c r="J265" s="15">
        <v>223792.4</v>
      </c>
      <c r="K265" s="15">
        <v>895169.6</v>
      </c>
      <c r="L265" s="15">
        <v>644146.05019074446</v>
      </c>
      <c r="M265" s="15">
        <v>251023.54980925549</v>
      </c>
    </row>
    <row r="266" spans="1:13" x14ac:dyDescent="0.25">
      <c r="A266" s="12">
        <v>45191</v>
      </c>
      <c r="B266" s="12" t="s">
        <v>13</v>
      </c>
      <c r="C266" s="12" t="s">
        <v>23</v>
      </c>
      <c r="D266" s="12" t="s">
        <v>18</v>
      </c>
      <c r="E266" s="13">
        <v>86623</v>
      </c>
      <c r="F266" s="14">
        <v>48</v>
      </c>
      <c r="G266" s="15">
        <v>23786</v>
      </c>
      <c r="H266" s="16">
        <v>0.2</v>
      </c>
      <c r="I266" s="13">
        <v>3</v>
      </c>
      <c r="J266" s="15">
        <v>228345.60000000001</v>
      </c>
      <c r="K266" s="15">
        <v>913382.40000000002</v>
      </c>
      <c r="L266" s="15">
        <v>622214.46788409597</v>
      </c>
      <c r="M266" s="15">
        <v>291167.93211590411</v>
      </c>
    </row>
    <row r="267" spans="1:13" x14ac:dyDescent="0.25">
      <c r="A267" s="12">
        <v>45192</v>
      </c>
      <c r="B267" s="12" t="s">
        <v>24</v>
      </c>
      <c r="C267" s="12" t="s">
        <v>20</v>
      </c>
      <c r="D267" s="12" t="s">
        <v>22</v>
      </c>
      <c r="E267" s="13">
        <v>63687</v>
      </c>
      <c r="F267" s="14">
        <v>31</v>
      </c>
      <c r="G267" s="15">
        <v>8112</v>
      </c>
      <c r="H267" s="16">
        <v>0.05</v>
      </c>
      <c r="I267" s="13">
        <v>1</v>
      </c>
      <c r="J267" s="15">
        <v>12573.6</v>
      </c>
      <c r="K267" s="15">
        <v>238898.4</v>
      </c>
      <c r="L267" s="15">
        <v>214960.90857244711</v>
      </c>
      <c r="M267" s="15">
        <v>23937.49142755289</v>
      </c>
    </row>
    <row r="268" spans="1:13" x14ac:dyDescent="0.25">
      <c r="A268" s="12">
        <v>45193</v>
      </c>
      <c r="B268" s="12" t="s">
        <v>16</v>
      </c>
      <c r="C268" s="12" t="s">
        <v>14</v>
      </c>
      <c r="D268" s="12" t="s">
        <v>22</v>
      </c>
      <c r="E268" s="13">
        <v>78312</v>
      </c>
      <c r="F268" s="14">
        <v>19</v>
      </c>
      <c r="G268" s="15">
        <v>32569</v>
      </c>
      <c r="H268" s="16">
        <v>0.2</v>
      </c>
      <c r="I268" s="13">
        <v>4</v>
      </c>
      <c r="J268" s="15">
        <v>123762.2</v>
      </c>
      <c r="K268" s="15">
        <v>495048.8</v>
      </c>
      <c r="L268" s="15">
        <v>342824.52230713208</v>
      </c>
      <c r="M268" s="15">
        <v>152224.27769286791</v>
      </c>
    </row>
    <row r="269" spans="1:13" x14ac:dyDescent="0.25">
      <c r="A269" s="12">
        <v>45194</v>
      </c>
      <c r="B269" s="12" t="s">
        <v>16</v>
      </c>
      <c r="C269" s="12" t="s">
        <v>21</v>
      </c>
      <c r="D269" s="12" t="s">
        <v>27</v>
      </c>
      <c r="E269" s="13">
        <v>37564</v>
      </c>
      <c r="F269" s="14">
        <v>9</v>
      </c>
      <c r="G269" s="15">
        <v>16705</v>
      </c>
      <c r="H269" s="16">
        <v>0.05</v>
      </c>
      <c r="I269" s="13">
        <v>2</v>
      </c>
      <c r="J269" s="15">
        <v>7517.25</v>
      </c>
      <c r="K269" s="15">
        <v>142827.75</v>
      </c>
      <c r="L269" s="15">
        <v>123595.8449842213</v>
      </c>
      <c r="M269" s="15">
        <v>19231.905015778731</v>
      </c>
    </row>
    <row r="270" spans="1:13" x14ac:dyDescent="0.25">
      <c r="A270" s="12">
        <v>45195</v>
      </c>
      <c r="B270" s="12" t="s">
        <v>13</v>
      </c>
      <c r="C270" s="12" t="s">
        <v>17</v>
      </c>
      <c r="D270" s="12" t="s">
        <v>22</v>
      </c>
      <c r="E270" s="13">
        <v>38835</v>
      </c>
      <c r="F270" s="14">
        <v>29</v>
      </c>
      <c r="G270" s="15">
        <v>27831</v>
      </c>
      <c r="H270" s="16">
        <v>0</v>
      </c>
      <c r="I270" s="13">
        <v>3</v>
      </c>
      <c r="J270" s="15">
        <v>0</v>
      </c>
      <c r="K270" s="15">
        <v>807099</v>
      </c>
      <c r="L270" s="15">
        <v>647995.67139523034</v>
      </c>
      <c r="M270" s="15">
        <v>159103.32860476969</v>
      </c>
    </row>
    <row r="271" spans="1:13" x14ac:dyDescent="0.25">
      <c r="A271" s="12">
        <v>45196</v>
      </c>
      <c r="B271" s="12" t="s">
        <v>13</v>
      </c>
      <c r="C271" s="12" t="s">
        <v>20</v>
      </c>
      <c r="D271" s="12" t="s">
        <v>25</v>
      </c>
      <c r="E271" s="13">
        <v>71587</v>
      </c>
      <c r="F271" s="14">
        <v>39</v>
      </c>
      <c r="G271" s="15">
        <v>14434</v>
      </c>
      <c r="H271" s="16">
        <v>0</v>
      </c>
      <c r="I271" s="13">
        <v>2</v>
      </c>
      <c r="J271" s="15">
        <v>0</v>
      </c>
      <c r="K271" s="15">
        <v>562926</v>
      </c>
      <c r="L271" s="15">
        <v>395328.81316825998</v>
      </c>
      <c r="M271" s="15">
        <v>167597.18683173999</v>
      </c>
    </row>
    <row r="272" spans="1:13" x14ac:dyDescent="0.25">
      <c r="A272" s="12">
        <v>45197</v>
      </c>
      <c r="B272" s="12" t="s">
        <v>24</v>
      </c>
      <c r="C272" s="12" t="s">
        <v>21</v>
      </c>
      <c r="D272" s="12" t="s">
        <v>15</v>
      </c>
      <c r="E272" s="13">
        <v>17697</v>
      </c>
      <c r="F272" s="14">
        <v>4</v>
      </c>
      <c r="G272" s="15">
        <v>10595</v>
      </c>
      <c r="H272" s="16">
        <v>0</v>
      </c>
      <c r="I272" s="13">
        <v>5</v>
      </c>
      <c r="J272" s="15">
        <v>0</v>
      </c>
      <c r="K272" s="15">
        <v>42380</v>
      </c>
      <c r="L272" s="15">
        <v>32338.496086648611</v>
      </c>
      <c r="M272" s="15">
        <v>10041.503913351389</v>
      </c>
    </row>
    <row r="273" spans="1:13" x14ac:dyDescent="0.25">
      <c r="A273" s="12">
        <v>45198</v>
      </c>
      <c r="B273" s="12" t="s">
        <v>16</v>
      </c>
      <c r="C273" s="12" t="s">
        <v>20</v>
      </c>
      <c r="D273" s="12" t="s">
        <v>15</v>
      </c>
      <c r="E273" s="13">
        <v>90165</v>
      </c>
      <c r="F273" s="14">
        <v>3</v>
      </c>
      <c r="G273" s="15">
        <v>26458</v>
      </c>
      <c r="H273" s="16">
        <v>0.05</v>
      </c>
      <c r="I273" s="13">
        <v>4</v>
      </c>
      <c r="J273" s="15">
        <v>3968.7</v>
      </c>
      <c r="K273" s="15">
        <v>75405.3</v>
      </c>
      <c r="L273" s="15">
        <v>64257.438056499886</v>
      </c>
      <c r="M273" s="15">
        <v>11147.86194350012</v>
      </c>
    </row>
    <row r="274" spans="1:13" x14ac:dyDescent="0.25">
      <c r="A274" s="12">
        <v>45199</v>
      </c>
      <c r="B274" s="12" t="s">
        <v>16</v>
      </c>
      <c r="C274" s="12" t="s">
        <v>20</v>
      </c>
      <c r="D274" s="12" t="s">
        <v>27</v>
      </c>
      <c r="E274" s="13">
        <v>83922</v>
      </c>
      <c r="F274" s="14">
        <v>29</v>
      </c>
      <c r="G274" s="15">
        <v>37508</v>
      </c>
      <c r="H274" s="16">
        <v>0.05</v>
      </c>
      <c r="I274" s="13">
        <v>1</v>
      </c>
      <c r="J274" s="15">
        <v>54386.600000000013</v>
      </c>
      <c r="K274" s="15">
        <v>1033345.4</v>
      </c>
      <c r="L274" s="15">
        <v>893854.61018282163</v>
      </c>
      <c r="M274" s="15">
        <v>139490.78981717839</v>
      </c>
    </row>
    <row r="275" spans="1:13" x14ac:dyDescent="0.25">
      <c r="A275" s="12">
        <v>45200</v>
      </c>
      <c r="B275" s="12" t="s">
        <v>16</v>
      </c>
      <c r="C275" s="12" t="s">
        <v>17</v>
      </c>
      <c r="D275" s="12" t="s">
        <v>26</v>
      </c>
      <c r="E275" s="13">
        <v>27046</v>
      </c>
      <c r="F275" s="14">
        <v>11</v>
      </c>
      <c r="G275" s="15">
        <v>19206</v>
      </c>
      <c r="H275" s="16">
        <v>0.15</v>
      </c>
      <c r="I275" s="13">
        <v>3</v>
      </c>
      <c r="J275" s="15">
        <v>31689.9</v>
      </c>
      <c r="K275" s="15">
        <v>179576.1</v>
      </c>
      <c r="L275" s="15">
        <v>116386.5319612473</v>
      </c>
      <c r="M275" s="15">
        <v>63189.568038752703</v>
      </c>
    </row>
    <row r="276" spans="1:13" x14ac:dyDescent="0.25">
      <c r="A276" s="12">
        <v>45201</v>
      </c>
      <c r="B276" s="12" t="s">
        <v>19</v>
      </c>
      <c r="C276" s="12" t="s">
        <v>14</v>
      </c>
      <c r="D276" s="12" t="s">
        <v>18</v>
      </c>
      <c r="E276" s="13">
        <v>67823</v>
      </c>
      <c r="F276" s="14">
        <v>33</v>
      </c>
      <c r="G276" s="15">
        <v>44016</v>
      </c>
      <c r="H276" s="16">
        <v>0.2</v>
      </c>
      <c r="I276" s="13">
        <v>2</v>
      </c>
      <c r="J276" s="15">
        <v>290505.59999999998</v>
      </c>
      <c r="K276" s="15">
        <v>1162022.3999999999</v>
      </c>
      <c r="L276" s="15">
        <v>815590.91895667673</v>
      </c>
      <c r="M276" s="15">
        <v>346431.48104332318</v>
      </c>
    </row>
    <row r="277" spans="1:13" x14ac:dyDescent="0.25">
      <c r="A277" s="12">
        <v>45202</v>
      </c>
      <c r="B277" s="12" t="s">
        <v>16</v>
      </c>
      <c r="C277" s="12" t="s">
        <v>23</v>
      </c>
      <c r="D277" s="12" t="s">
        <v>27</v>
      </c>
      <c r="E277" s="13">
        <v>83580</v>
      </c>
      <c r="F277" s="14">
        <v>38</v>
      </c>
      <c r="G277" s="15">
        <v>38566</v>
      </c>
      <c r="H277" s="16">
        <v>0.2</v>
      </c>
      <c r="I277" s="13">
        <v>4</v>
      </c>
      <c r="J277" s="15">
        <v>293101.59999999998</v>
      </c>
      <c r="K277" s="15">
        <v>1172406.3999999999</v>
      </c>
      <c r="L277" s="15">
        <v>821349.18057322339</v>
      </c>
      <c r="M277" s="15">
        <v>351057.21942677652</v>
      </c>
    </row>
    <row r="278" spans="1:13" x14ac:dyDescent="0.25">
      <c r="A278" s="12">
        <v>45203</v>
      </c>
      <c r="B278" s="12" t="s">
        <v>19</v>
      </c>
      <c r="C278" s="12" t="s">
        <v>14</v>
      </c>
      <c r="D278" s="12" t="s">
        <v>22</v>
      </c>
      <c r="E278" s="13">
        <v>63370</v>
      </c>
      <c r="F278" s="14">
        <v>11</v>
      </c>
      <c r="G278" s="15">
        <v>31972</v>
      </c>
      <c r="H278" s="16">
        <v>0.15</v>
      </c>
      <c r="I278" s="13">
        <v>2</v>
      </c>
      <c r="J278" s="15">
        <v>52753.8</v>
      </c>
      <c r="K278" s="15">
        <v>298938.2</v>
      </c>
      <c r="L278" s="15">
        <v>183133.55869749299</v>
      </c>
      <c r="M278" s="15">
        <v>115804.64130250701</v>
      </c>
    </row>
    <row r="279" spans="1:13" x14ac:dyDescent="0.25">
      <c r="A279" s="12">
        <v>45204</v>
      </c>
      <c r="B279" s="12" t="s">
        <v>24</v>
      </c>
      <c r="C279" s="12" t="s">
        <v>17</v>
      </c>
      <c r="D279" s="12" t="s">
        <v>18</v>
      </c>
      <c r="E279" s="13">
        <v>19615</v>
      </c>
      <c r="F279" s="14">
        <v>27</v>
      </c>
      <c r="G279" s="15">
        <v>35129</v>
      </c>
      <c r="H279" s="16">
        <v>0.15</v>
      </c>
      <c r="I279" s="13">
        <v>4</v>
      </c>
      <c r="J279" s="15">
        <v>142272.45000000001</v>
      </c>
      <c r="K279" s="15">
        <v>806210.55</v>
      </c>
      <c r="L279" s="15">
        <v>628418.00802028971</v>
      </c>
      <c r="M279" s="15">
        <v>177792.54197971031</v>
      </c>
    </row>
    <row r="280" spans="1:13" x14ac:dyDescent="0.25">
      <c r="A280" s="12">
        <v>45205</v>
      </c>
      <c r="B280" s="12" t="s">
        <v>19</v>
      </c>
      <c r="C280" s="12" t="s">
        <v>17</v>
      </c>
      <c r="D280" s="12" t="s">
        <v>26</v>
      </c>
      <c r="E280" s="13">
        <v>15060</v>
      </c>
      <c r="F280" s="14">
        <v>33</v>
      </c>
      <c r="G280" s="15">
        <v>47410</v>
      </c>
      <c r="H280" s="16">
        <v>0</v>
      </c>
      <c r="I280" s="13">
        <v>5</v>
      </c>
      <c r="J280" s="15">
        <v>0</v>
      </c>
      <c r="K280" s="15">
        <v>1564530</v>
      </c>
      <c r="L280" s="15">
        <v>1339935.4852523601</v>
      </c>
      <c r="M280" s="15">
        <v>224594.51474763971</v>
      </c>
    </row>
    <row r="281" spans="1:13" x14ac:dyDescent="0.25">
      <c r="A281" s="12">
        <v>45206</v>
      </c>
      <c r="B281" s="12" t="s">
        <v>24</v>
      </c>
      <c r="C281" s="12" t="s">
        <v>17</v>
      </c>
      <c r="D281" s="12" t="s">
        <v>22</v>
      </c>
      <c r="E281" s="13">
        <v>86436</v>
      </c>
      <c r="F281" s="14">
        <v>21</v>
      </c>
      <c r="G281" s="15">
        <v>23504</v>
      </c>
      <c r="H281" s="16">
        <v>0.15</v>
      </c>
      <c r="I281" s="13">
        <v>2</v>
      </c>
      <c r="J281" s="15">
        <v>74037.599999999991</v>
      </c>
      <c r="K281" s="15">
        <v>419546.4</v>
      </c>
      <c r="L281" s="15">
        <v>299754.28822331992</v>
      </c>
      <c r="M281" s="15">
        <v>119792.1117766801</v>
      </c>
    </row>
    <row r="282" spans="1:13" x14ac:dyDescent="0.25">
      <c r="A282" s="12">
        <v>45207</v>
      </c>
      <c r="B282" s="12" t="s">
        <v>16</v>
      </c>
      <c r="C282" s="12" t="s">
        <v>21</v>
      </c>
      <c r="D282" s="12" t="s">
        <v>25</v>
      </c>
      <c r="E282" s="13">
        <v>70519</v>
      </c>
      <c r="F282" s="14">
        <v>39</v>
      </c>
      <c r="G282" s="15">
        <v>20931</v>
      </c>
      <c r="H282" s="16">
        <v>0.05</v>
      </c>
      <c r="I282" s="13">
        <v>5</v>
      </c>
      <c r="J282" s="15">
        <v>40815.449999999997</v>
      </c>
      <c r="K282" s="15">
        <v>775493.55</v>
      </c>
      <c r="L282" s="15">
        <v>637464.06063101534</v>
      </c>
      <c r="M282" s="15">
        <v>138029.48936898471</v>
      </c>
    </row>
    <row r="283" spans="1:13" x14ac:dyDescent="0.25">
      <c r="A283" s="12">
        <v>45208</v>
      </c>
      <c r="B283" s="12" t="s">
        <v>16</v>
      </c>
      <c r="C283" s="12" t="s">
        <v>14</v>
      </c>
      <c r="D283" s="12" t="s">
        <v>22</v>
      </c>
      <c r="E283" s="13">
        <v>81117</v>
      </c>
      <c r="F283" s="14">
        <v>31</v>
      </c>
      <c r="G283" s="15">
        <v>40588</v>
      </c>
      <c r="H283" s="16">
        <v>0.1</v>
      </c>
      <c r="I283" s="13">
        <v>3</v>
      </c>
      <c r="J283" s="15">
        <v>125822.8</v>
      </c>
      <c r="K283" s="15">
        <v>1132405.2</v>
      </c>
      <c r="L283" s="15">
        <v>892686.4837210885</v>
      </c>
      <c r="M283" s="15">
        <v>239718.71627891151</v>
      </c>
    </row>
    <row r="284" spans="1:13" x14ac:dyDescent="0.25">
      <c r="A284" s="12">
        <v>45209</v>
      </c>
      <c r="B284" s="12" t="s">
        <v>24</v>
      </c>
      <c r="C284" s="12" t="s">
        <v>14</v>
      </c>
      <c r="D284" s="12" t="s">
        <v>25</v>
      </c>
      <c r="E284" s="13">
        <v>71158</v>
      </c>
      <c r="F284" s="14">
        <v>38</v>
      </c>
      <c r="G284" s="15">
        <v>44635</v>
      </c>
      <c r="H284" s="16">
        <v>0.05</v>
      </c>
      <c r="I284" s="13">
        <v>5</v>
      </c>
      <c r="J284" s="15">
        <v>84806.5</v>
      </c>
      <c r="K284" s="15">
        <v>1611323.5</v>
      </c>
      <c r="L284" s="15">
        <v>1148381.5905735469</v>
      </c>
      <c r="M284" s="15">
        <v>462941.90942645312</v>
      </c>
    </row>
    <row r="285" spans="1:13" x14ac:dyDescent="0.25">
      <c r="A285" s="12">
        <v>45210</v>
      </c>
      <c r="B285" s="12" t="s">
        <v>13</v>
      </c>
      <c r="C285" s="12" t="s">
        <v>20</v>
      </c>
      <c r="D285" s="12" t="s">
        <v>18</v>
      </c>
      <c r="E285" s="13">
        <v>44782</v>
      </c>
      <c r="F285" s="14">
        <v>46</v>
      </c>
      <c r="G285" s="15">
        <v>38515</v>
      </c>
      <c r="H285" s="16">
        <v>0.15</v>
      </c>
      <c r="I285" s="13">
        <v>4</v>
      </c>
      <c r="J285" s="15">
        <v>265753.5</v>
      </c>
      <c r="K285" s="15">
        <v>1505936.5</v>
      </c>
      <c r="L285" s="15">
        <v>967290.03022143955</v>
      </c>
      <c r="M285" s="15">
        <v>538646.46977856045</v>
      </c>
    </row>
    <row r="286" spans="1:13" x14ac:dyDescent="0.25">
      <c r="A286" s="12">
        <v>45211</v>
      </c>
      <c r="B286" s="12" t="s">
        <v>24</v>
      </c>
      <c r="C286" s="12" t="s">
        <v>20</v>
      </c>
      <c r="D286" s="12" t="s">
        <v>25</v>
      </c>
      <c r="E286" s="13">
        <v>95709</v>
      </c>
      <c r="F286" s="14">
        <v>2</v>
      </c>
      <c r="G286" s="15">
        <v>35002</v>
      </c>
      <c r="H286" s="16">
        <v>0.2</v>
      </c>
      <c r="I286" s="13">
        <v>3</v>
      </c>
      <c r="J286" s="15">
        <v>14000.8</v>
      </c>
      <c r="K286" s="15">
        <v>56003.199999999997</v>
      </c>
      <c r="L286" s="15">
        <v>45519.241677534912</v>
      </c>
      <c r="M286" s="15">
        <v>10483.958322465091</v>
      </c>
    </row>
    <row r="287" spans="1:13" x14ac:dyDescent="0.25">
      <c r="A287" s="12">
        <v>45212</v>
      </c>
      <c r="B287" s="12" t="s">
        <v>13</v>
      </c>
      <c r="C287" s="12" t="s">
        <v>20</v>
      </c>
      <c r="D287" s="12" t="s">
        <v>18</v>
      </c>
      <c r="E287" s="13">
        <v>88533</v>
      </c>
      <c r="F287" s="14">
        <v>27</v>
      </c>
      <c r="G287" s="15">
        <v>31885</v>
      </c>
      <c r="H287" s="16">
        <v>0.05</v>
      </c>
      <c r="I287" s="13">
        <v>2</v>
      </c>
      <c r="J287" s="15">
        <v>43044.75</v>
      </c>
      <c r="K287" s="15">
        <v>817850.25</v>
      </c>
      <c r="L287" s="15">
        <v>700382.05111796572</v>
      </c>
      <c r="M287" s="15">
        <v>117468.1988820343</v>
      </c>
    </row>
    <row r="288" spans="1:13" x14ac:dyDescent="0.25">
      <c r="A288" s="12">
        <v>45213</v>
      </c>
      <c r="B288" s="12" t="s">
        <v>19</v>
      </c>
      <c r="C288" s="12" t="s">
        <v>17</v>
      </c>
      <c r="D288" s="12" t="s">
        <v>18</v>
      </c>
      <c r="E288" s="13">
        <v>68255</v>
      </c>
      <c r="F288" s="14">
        <v>36</v>
      </c>
      <c r="G288" s="15">
        <v>5163</v>
      </c>
      <c r="H288" s="16">
        <v>0.2</v>
      </c>
      <c r="I288" s="13">
        <v>2</v>
      </c>
      <c r="J288" s="15">
        <v>37173.599999999999</v>
      </c>
      <c r="K288" s="15">
        <v>148694.39999999999</v>
      </c>
      <c r="L288" s="15">
        <v>119811.4566704833</v>
      </c>
      <c r="M288" s="15">
        <v>28882.943329516678</v>
      </c>
    </row>
    <row r="289" spans="1:13" x14ac:dyDescent="0.25">
      <c r="A289" s="12">
        <v>45214</v>
      </c>
      <c r="B289" s="12" t="s">
        <v>19</v>
      </c>
      <c r="C289" s="12" t="s">
        <v>14</v>
      </c>
      <c r="D289" s="12" t="s">
        <v>18</v>
      </c>
      <c r="E289" s="13">
        <v>82684</v>
      </c>
      <c r="F289" s="14">
        <v>11</v>
      </c>
      <c r="G289" s="15">
        <v>39177</v>
      </c>
      <c r="H289" s="16">
        <v>0.05</v>
      </c>
      <c r="I289" s="13">
        <v>4</v>
      </c>
      <c r="J289" s="15">
        <v>21547.35</v>
      </c>
      <c r="K289" s="15">
        <v>409399.65</v>
      </c>
      <c r="L289" s="15">
        <v>247835.6235319156</v>
      </c>
      <c r="M289" s="15">
        <v>161564.02646808451</v>
      </c>
    </row>
    <row r="290" spans="1:13" x14ac:dyDescent="0.25">
      <c r="A290" s="12">
        <v>45215</v>
      </c>
      <c r="B290" s="12" t="s">
        <v>19</v>
      </c>
      <c r="C290" s="12" t="s">
        <v>17</v>
      </c>
      <c r="D290" s="12" t="s">
        <v>18</v>
      </c>
      <c r="E290" s="13">
        <v>66918</v>
      </c>
      <c r="F290" s="14">
        <v>47</v>
      </c>
      <c r="G290" s="15">
        <v>13318</v>
      </c>
      <c r="H290" s="16">
        <v>0.2</v>
      </c>
      <c r="I290" s="13">
        <v>1</v>
      </c>
      <c r="J290" s="15">
        <v>125189.2</v>
      </c>
      <c r="K290" s="15">
        <v>500756.8</v>
      </c>
      <c r="L290" s="15">
        <v>332938.10767499119</v>
      </c>
      <c r="M290" s="15">
        <v>167818.6923250088</v>
      </c>
    </row>
    <row r="291" spans="1:13" x14ac:dyDescent="0.25">
      <c r="A291" s="12">
        <v>45216</v>
      </c>
      <c r="B291" s="12" t="s">
        <v>16</v>
      </c>
      <c r="C291" s="12" t="s">
        <v>21</v>
      </c>
      <c r="D291" s="12" t="s">
        <v>18</v>
      </c>
      <c r="E291" s="13">
        <v>94284</v>
      </c>
      <c r="F291" s="14">
        <v>18</v>
      </c>
      <c r="G291" s="15">
        <v>23186</v>
      </c>
      <c r="H291" s="16">
        <v>0.05</v>
      </c>
      <c r="I291" s="13">
        <v>1</v>
      </c>
      <c r="J291" s="15">
        <v>20867.400000000001</v>
      </c>
      <c r="K291" s="15">
        <v>396480.6</v>
      </c>
      <c r="L291" s="15">
        <v>246152.59982838409</v>
      </c>
      <c r="M291" s="15">
        <v>150328.00017161589</v>
      </c>
    </row>
    <row r="292" spans="1:13" x14ac:dyDescent="0.25">
      <c r="A292" s="12">
        <v>45217</v>
      </c>
      <c r="B292" s="12" t="s">
        <v>19</v>
      </c>
      <c r="C292" s="12" t="s">
        <v>20</v>
      </c>
      <c r="D292" s="12" t="s">
        <v>22</v>
      </c>
      <c r="E292" s="13">
        <v>89558</v>
      </c>
      <c r="F292" s="14">
        <v>1</v>
      </c>
      <c r="G292" s="15">
        <v>24477</v>
      </c>
      <c r="H292" s="16">
        <v>0.2</v>
      </c>
      <c r="I292" s="13">
        <v>2</v>
      </c>
      <c r="J292" s="15">
        <v>4895.4000000000005</v>
      </c>
      <c r="K292" s="15">
        <v>19581.599999999999</v>
      </c>
      <c r="L292" s="15">
        <v>15099.681734238549</v>
      </c>
      <c r="M292" s="15">
        <v>4481.9182657614474</v>
      </c>
    </row>
    <row r="293" spans="1:13" x14ac:dyDescent="0.25">
      <c r="A293" s="12">
        <v>45218</v>
      </c>
      <c r="B293" s="12" t="s">
        <v>13</v>
      </c>
      <c r="C293" s="12" t="s">
        <v>17</v>
      </c>
      <c r="D293" s="12" t="s">
        <v>18</v>
      </c>
      <c r="E293" s="13">
        <v>95549</v>
      </c>
      <c r="F293" s="14">
        <v>35</v>
      </c>
      <c r="G293" s="15">
        <v>41431</v>
      </c>
      <c r="H293" s="16">
        <v>0.1</v>
      </c>
      <c r="I293" s="13">
        <v>4</v>
      </c>
      <c r="J293" s="15">
        <v>145008.5</v>
      </c>
      <c r="K293" s="15">
        <v>1305076.5</v>
      </c>
      <c r="L293" s="15">
        <v>1079224.272428751</v>
      </c>
      <c r="M293" s="15">
        <v>225852.22757124901</v>
      </c>
    </row>
    <row r="294" spans="1:13" x14ac:dyDescent="0.25">
      <c r="A294" s="12">
        <v>45219</v>
      </c>
      <c r="B294" s="12" t="s">
        <v>19</v>
      </c>
      <c r="C294" s="12" t="s">
        <v>17</v>
      </c>
      <c r="D294" s="12" t="s">
        <v>22</v>
      </c>
      <c r="E294" s="13">
        <v>91422</v>
      </c>
      <c r="F294" s="14">
        <v>35</v>
      </c>
      <c r="G294" s="15">
        <v>18954</v>
      </c>
      <c r="H294" s="16">
        <v>0</v>
      </c>
      <c r="I294" s="13">
        <v>1</v>
      </c>
      <c r="J294" s="15">
        <v>0</v>
      </c>
      <c r="K294" s="15">
        <v>663390</v>
      </c>
      <c r="L294" s="15">
        <v>420041.13807284337</v>
      </c>
      <c r="M294" s="15">
        <v>243348.8619271566</v>
      </c>
    </row>
    <row r="295" spans="1:13" x14ac:dyDescent="0.25">
      <c r="A295" s="12">
        <v>45220</v>
      </c>
      <c r="B295" s="12" t="s">
        <v>24</v>
      </c>
      <c r="C295" s="12" t="s">
        <v>21</v>
      </c>
      <c r="D295" s="12" t="s">
        <v>18</v>
      </c>
      <c r="E295" s="13">
        <v>35256</v>
      </c>
      <c r="F295" s="14">
        <v>31</v>
      </c>
      <c r="G295" s="15">
        <v>13858</v>
      </c>
      <c r="H295" s="16">
        <v>0.05</v>
      </c>
      <c r="I295" s="13">
        <v>5</v>
      </c>
      <c r="J295" s="15">
        <v>21479.9</v>
      </c>
      <c r="K295" s="15">
        <v>408118.1</v>
      </c>
      <c r="L295" s="15">
        <v>347513.111549614</v>
      </c>
      <c r="M295" s="15">
        <v>60604.988450385979</v>
      </c>
    </row>
    <row r="296" spans="1:13" x14ac:dyDescent="0.25">
      <c r="A296" s="12">
        <v>45221</v>
      </c>
      <c r="B296" s="12" t="s">
        <v>24</v>
      </c>
      <c r="C296" s="12" t="s">
        <v>23</v>
      </c>
      <c r="D296" s="12" t="s">
        <v>25</v>
      </c>
      <c r="E296" s="13">
        <v>40005</v>
      </c>
      <c r="F296" s="14">
        <v>28</v>
      </c>
      <c r="G296" s="15">
        <v>7168</v>
      </c>
      <c r="H296" s="16">
        <v>0.1</v>
      </c>
      <c r="I296" s="13">
        <v>2</v>
      </c>
      <c r="J296" s="15">
        <v>20070.400000000001</v>
      </c>
      <c r="K296" s="15">
        <v>180633.60000000001</v>
      </c>
      <c r="L296" s="15">
        <v>138483.2359799695</v>
      </c>
      <c r="M296" s="15">
        <v>42150.364020030509</v>
      </c>
    </row>
    <row r="297" spans="1:13" x14ac:dyDescent="0.25">
      <c r="A297" s="12">
        <v>45222</v>
      </c>
      <c r="B297" s="12" t="s">
        <v>16</v>
      </c>
      <c r="C297" s="12" t="s">
        <v>14</v>
      </c>
      <c r="D297" s="12" t="s">
        <v>18</v>
      </c>
      <c r="E297" s="13">
        <v>16638</v>
      </c>
      <c r="F297" s="14">
        <v>39</v>
      </c>
      <c r="G297" s="15">
        <v>46284</v>
      </c>
      <c r="H297" s="16">
        <v>0</v>
      </c>
      <c r="I297" s="13">
        <v>5</v>
      </c>
      <c r="J297" s="15">
        <v>0</v>
      </c>
      <c r="K297" s="15">
        <v>1805076</v>
      </c>
      <c r="L297" s="15">
        <v>1456679.5513682209</v>
      </c>
      <c r="M297" s="15">
        <v>348396.44863177912</v>
      </c>
    </row>
    <row r="298" spans="1:13" x14ac:dyDescent="0.25">
      <c r="A298" s="12">
        <v>45223</v>
      </c>
      <c r="B298" s="12" t="s">
        <v>24</v>
      </c>
      <c r="C298" s="12" t="s">
        <v>23</v>
      </c>
      <c r="D298" s="12" t="s">
        <v>26</v>
      </c>
      <c r="E298" s="13">
        <v>47419</v>
      </c>
      <c r="F298" s="14">
        <v>1</v>
      </c>
      <c r="G298" s="15">
        <v>41269</v>
      </c>
      <c r="H298" s="16">
        <v>0.05</v>
      </c>
      <c r="I298" s="13">
        <v>4</v>
      </c>
      <c r="J298" s="15">
        <v>2063.4499999999998</v>
      </c>
      <c r="K298" s="15">
        <v>39205.550000000003</v>
      </c>
      <c r="L298" s="15">
        <v>34948.633123715619</v>
      </c>
      <c r="M298" s="15">
        <v>4256.9168762843838</v>
      </c>
    </row>
    <row r="299" spans="1:13" x14ac:dyDescent="0.25">
      <c r="A299" s="12">
        <v>45224</v>
      </c>
      <c r="B299" s="12" t="s">
        <v>13</v>
      </c>
      <c r="C299" s="12" t="s">
        <v>20</v>
      </c>
      <c r="D299" s="12" t="s">
        <v>18</v>
      </c>
      <c r="E299" s="13">
        <v>43377</v>
      </c>
      <c r="F299" s="14">
        <v>25</v>
      </c>
      <c r="G299" s="15">
        <v>10421</v>
      </c>
      <c r="H299" s="16">
        <v>0.1</v>
      </c>
      <c r="I299" s="13">
        <v>5</v>
      </c>
      <c r="J299" s="15">
        <v>26052.5</v>
      </c>
      <c r="K299" s="15">
        <v>234472.5</v>
      </c>
      <c r="L299" s="15">
        <v>146569.76715507251</v>
      </c>
      <c r="M299" s="15">
        <v>87902.732844927523</v>
      </c>
    </row>
    <row r="300" spans="1:13" x14ac:dyDescent="0.25">
      <c r="A300" s="12">
        <v>45225</v>
      </c>
      <c r="B300" s="12" t="s">
        <v>19</v>
      </c>
      <c r="C300" s="12" t="s">
        <v>17</v>
      </c>
      <c r="D300" s="12" t="s">
        <v>18</v>
      </c>
      <c r="E300" s="13">
        <v>53116</v>
      </c>
      <c r="F300" s="14">
        <v>43</v>
      </c>
      <c r="G300" s="15">
        <v>35459</v>
      </c>
      <c r="H300" s="16">
        <v>0.1</v>
      </c>
      <c r="I300" s="13">
        <v>1</v>
      </c>
      <c r="J300" s="15">
        <v>152473.70000000001</v>
      </c>
      <c r="K300" s="15">
        <v>1372263.3</v>
      </c>
      <c r="L300" s="15">
        <v>1194372.9755432331</v>
      </c>
      <c r="M300" s="15">
        <v>177890.32445676689</v>
      </c>
    </row>
    <row r="301" spans="1:13" x14ac:dyDescent="0.25">
      <c r="A301" s="12">
        <v>45226</v>
      </c>
      <c r="B301" s="12" t="s">
        <v>16</v>
      </c>
      <c r="C301" s="12" t="s">
        <v>21</v>
      </c>
      <c r="D301" s="12" t="s">
        <v>25</v>
      </c>
      <c r="E301" s="13">
        <v>46634</v>
      </c>
      <c r="F301" s="14">
        <v>38</v>
      </c>
      <c r="G301" s="15">
        <v>32828</v>
      </c>
      <c r="H301" s="16">
        <v>0.1</v>
      </c>
      <c r="I301" s="13">
        <v>1</v>
      </c>
      <c r="J301" s="15">
        <v>124746.4</v>
      </c>
      <c r="K301" s="15">
        <v>1122717.6000000001</v>
      </c>
      <c r="L301" s="15">
        <v>716103.87485775421</v>
      </c>
      <c r="M301" s="15">
        <v>406613.72514224588</v>
      </c>
    </row>
    <row r="302" spans="1:13" x14ac:dyDescent="0.25">
      <c r="A302" s="12">
        <v>45227</v>
      </c>
      <c r="B302" s="12" t="s">
        <v>19</v>
      </c>
      <c r="C302" s="12" t="s">
        <v>21</v>
      </c>
      <c r="D302" s="12" t="s">
        <v>15</v>
      </c>
      <c r="E302" s="13">
        <v>92291</v>
      </c>
      <c r="F302" s="14">
        <v>20</v>
      </c>
      <c r="G302" s="15">
        <v>9359</v>
      </c>
      <c r="H302" s="16">
        <v>0.15</v>
      </c>
      <c r="I302" s="13">
        <v>3</v>
      </c>
      <c r="J302" s="15">
        <v>28077</v>
      </c>
      <c r="K302" s="15">
        <v>159103</v>
      </c>
      <c r="L302" s="15">
        <v>114218.0775036948</v>
      </c>
      <c r="M302" s="15">
        <v>44884.922496305197</v>
      </c>
    </row>
    <row r="303" spans="1:13" x14ac:dyDescent="0.25">
      <c r="A303" s="12">
        <v>45228</v>
      </c>
      <c r="B303" s="12" t="s">
        <v>19</v>
      </c>
      <c r="C303" s="12" t="s">
        <v>14</v>
      </c>
      <c r="D303" s="12" t="s">
        <v>25</v>
      </c>
      <c r="E303" s="13">
        <v>33382</v>
      </c>
      <c r="F303" s="14">
        <v>3</v>
      </c>
      <c r="G303" s="15">
        <v>24470</v>
      </c>
      <c r="H303" s="16">
        <v>0.2</v>
      </c>
      <c r="I303" s="13">
        <v>2</v>
      </c>
      <c r="J303" s="15">
        <v>14682</v>
      </c>
      <c r="K303" s="15">
        <v>58728</v>
      </c>
      <c r="L303" s="15">
        <v>50237.787527440109</v>
      </c>
      <c r="M303" s="15">
        <v>8490.2124725598915</v>
      </c>
    </row>
    <row r="304" spans="1:13" x14ac:dyDescent="0.25">
      <c r="A304" s="12">
        <v>45229</v>
      </c>
      <c r="B304" s="12" t="s">
        <v>13</v>
      </c>
      <c r="C304" s="12" t="s">
        <v>23</v>
      </c>
      <c r="D304" s="12" t="s">
        <v>26</v>
      </c>
      <c r="E304" s="13">
        <v>66063</v>
      </c>
      <c r="F304" s="14">
        <v>2</v>
      </c>
      <c r="G304" s="15">
        <v>9372</v>
      </c>
      <c r="H304" s="16">
        <v>0</v>
      </c>
      <c r="I304" s="13">
        <v>4</v>
      </c>
      <c r="J304" s="15">
        <v>0</v>
      </c>
      <c r="K304" s="15">
        <v>18744</v>
      </c>
      <c r="L304" s="15">
        <v>16342.448824024381</v>
      </c>
      <c r="M304" s="15">
        <v>2401.5511759756168</v>
      </c>
    </row>
    <row r="305" spans="1:13" x14ac:dyDescent="0.25">
      <c r="A305" s="12">
        <v>45230</v>
      </c>
      <c r="B305" s="12" t="s">
        <v>24</v>
      </c>
      <c r="C305" s="12" t="s">
        <v>14</v>
      </c>
      <c r="D305" s="12" t="s">
        <v>15</v>
      </c>
      <c r="E305" s="13">
        <v>32394</v>
      </c>
      <c r="F305" s="14">
        <v>18</v>
      </c>
      <c r="G305" s="15">
        <v>19730</v>
      </c>
      <c r="H305" s="16">
        <v>0.2</v>
      </c>
      <c r="I305" s="13">
        <v>2</v>
      </c>
      <c r="J305" s="15">
        <v>71028</v>
      </c>
      <c r="K305" s="15">
        <v>284112</v>
      </c>
      <c r="L305" s="15">
        <v>213627.0806742775</v>
      </c>
      <c r="M305" s="15">
        <v>70484.919325722498</v>
      </c>
    </row>
    <row r="306" spans="1:13" x14ac:dyDescent="0.25">
      <c r="A306" s="12">
        <v>45231</v>
      </c>
      <c r="B306" s="12" t="s">
        <v>24</v>
      </c>
      <c r="C306" s="12" t="s">
        <v>17</v>
      </c>
      <c r="D306" s="12" t="s">
        <v>27</v>
      </c>
      <c r="E306" s="13">
        <v>77789</v>
      </c>
      <c r="F306" s="14">
        <v>44</v>
      </c>
      <c r="G306" s="15">
        <v>27208</v>
      </c>
      <c r="H306" s="16">
        <v>0.2</v>
      </c>
      <c r="I306" s="13">
        <v>5</v>
      </c>
      <c r="J306" s="15">
        <v>239430.39999999999</v>
      </c>
      <c r="K306" s="15">
        <v>957721.59999999998</v>
      </c>
      <c r="L306" s="15">
        <v>745329.01342096843</v>
      </c>
      <c r="M306" s="15">
        <v>212392.58657903149</v>
      </c>
    </row>
    <row r="307" spans="1:13" x14ac:dyDescent="0.25">
      <c r="A307" s="12">
        <v>45232</v>
      </c>
      <c r="B307" s="12" t="s">
        <v>19</v>
      </c>
      <c r="C307" s="12" t="s">
        <v>14</v>
      </c>
      <c r="D307" s="12" t="s">
        <v>27</v>
      </c>
      <c r="E307" s="13">
        <v>10864</v>
      </c>
      <c r="F307" s="14">
        <v>10</v>
      </c>
      <c r="G307" s="15">
        <v>19347</v>
      </c>
      <c r="H307" s="16">
        <v>0.2</v>
      </c>
      <c r="I307" s="13">
        <v>4</v>
      </c>
      <c r="J307" s="15">
        <v>38694</v>
      </c>
      <c r="K307" s="15">
        <v>154776</v>
      </c>
      <c r="L307" s="15">
        <v>125746.8635579479</v>
      </c>
      <c r="M307" s="15">
        <v>29029.136442052131</v>
      </c>
    </row>
    <row r="308" spans="1:13" x14ac:dyDescent="0.25">
      <c r="A308" s="12">
        <v>45233</v>
      </c>
      <c r="B308" s="12" t="s">
        <v>16</v>
      </c>
      <c r="C308" s="12" t="s">
        <v>21</v>
      </c>
      <c r="D308" s="12" t="s">
        <v>26</v>
      </c>
      <c r="E308" s="13">
        <v>50222</v>
      </c>
      <c r="F308" s="14">
        <v>5</v>
      </c>
      <c r="G308" s="15">
        <v>27605</v>
      </c>
      <c r="H308" s="16">
        <v>0.1</v>
      </c>
      <c r="I308" s="13">
        <v>4</v>
      </c>
      <c r="J308" s="15">
        <v>13802.5</v>
      </c>
      <c r="K308" s="15">
        <v>124222.5</v>
      </c>
      <c r="L308" s="15">
        <v>105567.70910756019</v>
      </c>
      <c r="M308" s="15">
        <v>18654.790892439811</v>
      </c>
    </row>
    <row r="309" spans="1:13" x14ac:dyDescent="0.25">
      <c r="A309" s="12">
        <v>45234</v>
      </c>
      <c r="B309" s="12" t="s">
        <v>24</v>
      </c>
      <c r="C309" s="12" t="s">
        <v>21</v>
      </c>
      <c r="D309" s="12" t="s">
        <v>25</v>
      </c>
      <c r="E309" s="13">
        <v>23666</v>
      </c>
      <c r="F309" s="14">
        <v>9</v>
      </c>
      <c r="G309" s="15">
        <v>5422</v>
      </c>
      <c r="H309" s="16">
        <v>0.2</v>
      </c>
      <c r="I309" s="13">
        <v>1</v>
      </c>
      <c r="J309" s="15">
        <v>9759.6</v>
      </c>
      <c r="K309" s="15">
        <v>39038.400000000001</v>
      </c>
      <c r="L309" s="15">
        <v>24846.12049226377</v>
      </c>
      <c r="M309" s="15">
        <v>14192.27950773623</v>
      </c>
    </row>
    <row r="310" spans="1:13" x14ac:dyDescent="0.25">
      <c r="A310" s="12">
        <v>45235</v>
      </c>
      <c r="B310" s="12" t="s">
        <v>16</v>
      </c>
      <c r="C310" s="12" t="s">
        <v>20</v>
      </c>
      <c r="D310" s="12" t="s">
        <v>22</v>
      </c>
      <c r="E310" s="13">
        <v>30955</v>
      </c>
      <c r="F310" s="14">
        <v>2</v>
      </c>
      <c r="G310" s="15">
        <v>4892</v>
      </c>
      <c r="H310" s="16">
        <v>0.15</v>
      </c>
      <c r="I310" s="13">
        <v>5</v>
      </c>
      <c r="J310" s="15">
        <v>1467.6</v>
      </c>
      <c r="K310" s="15">
        <v>8316.4</v>
      </c>
      <c r="L310" s="15">
        <v>7010.8981184872637</v>
      </c>
      <c r="M310" s="15">
        <v>1305.501881512736</v>
      </c>
    </row>
    <row r="311" spans="1:13" x14ac:dyDescent="0.25">
      <c r="A311" s="12">
        <v>45236</v>
      </c>
      <c r="B311" s="12" t="s">
        <v>24</v>
      </c>
      <c r="C311" s="12" t="s">
        <v>20</v>
      </c>
      <c r="D311" s="12" t="s">
        <v>26</v>
      </c>
      <c r="E311" s="13">
        <v>91845</v>
      </c>
      <c r="F311" s="14">
        <v>34</v>
      </c>
      <c r="G311" s="15">
        <v>14041</v>
      </c>
      <c r="H311" s="16">
        <v>0.05</v>
      </c>
      <c r="I311" s="13">
        <v>1</v>
      </c>
      <c r="J311" s="15">
        <v>23869.7</v>
      </c>
      <c r="K311" s="15">
        <v>453524.3</v>
      </c>
      <c r="L311" s="15">
        <v>337595.70878024271</v>
      </c>
      <c r="M311" s="15">
        <v>115928.59121975731</v>
      </c>
    </row>
    <row r="312" spans="1:13" x14ac:dyDescent="0.25">
      <c r="A312" s="12">
        <v>45237</v>
      </c>
      <c r="B312" s="12" t="s">
        <v>16</v>
      </c>
      <c r="C312" s="12" t="s">
        <v>17</v>
      </c>
      <c r="D312" s="12" t="s">
        <v>15</v>
      </c>
      <c r="E312" s="13">
        <v>79590</v>
      </c>
      <c r="F312" s="14">
        <v>38</v>
      </c>
      <c r="G312" s="15">
        <v>20051</v>
      </c>
      <c r="H312" s="16">
        <v>0.1</v>
      </c>
      <c r="I312" s="13">
        <v>1</v>
      </c>
      <c r="J312" s="15">
        <v>76193.8</v>
      </c>
      <c r="K312" s="15">
        <v>685744.2</v>
      </c>
      <c r="L312" s="15">
        <v>504150.24004561832</v>
      </c>
      <c r="M312" s="15">
        <v>181593.9599543816</v>
      </c>
    </row>
    <row r="313" spans="1:13" x14ac:dyDescent="0.25">
      <c r="A313" s="12">
        <v>45238</v>
      </c>
      <c r="B313" s="12" t="s">
        <v>13</v>
      </c>
      <c r="C313" s="12" t="s">
        <v>23</v>
      </c>
      <c r="D313" s="12" t="s">
        <v>15</v>
      </c>
      <c r="E313" s="13">
        <v>76471</v>
      </c>
      <c r="F313" s="14">
        <v>31</v>
      </c>
      <c r="G313" s="15">
        <v>19881</v>
      </c>
      <c r="H313" s="16">
        <v>0</v>
      </c>
      <c r="I313" s="13">
        <v>3</v>
      </c>
      <c r="J313" s="15">
        <v>0</v>
      </c>
      <c r="K313" s="15">
        <v>616311</v>
      </c>
      <c r="L313" s="15">
        <v>448162.82401590649</v>
      </c>
      <c r="M313" s="15">
        <v>168148.17598409351</v>
      </c>
    </row>
    <row r="314" spans="1:13" x14ac:dyDescent="0.25">
      <c r="A314" s="12">
        <v>45239</v>
      </c>
      <c r="B314" s="12" t="s">
        <v>16</v>
      </c>
      <c r="C314" s="12" t="s">
        <v>14</v>
      </c>
      <c r="D314" s="12" t="s">
        <v>18</v>
      </c>
      <c r="E314" s="13">
        <v>98314</v>
      </c>
      <c r="F314" s="14">
        <v>10</v>
      </c>
      <c r="G314" s="15">
        <v>48283</v>
      </c>
      <c r="H314" s="16">
        <v>0.05</v>
      </c>
      <c r="I314" s="13">
        <v>1</v>
      </c>
      <c r="J314" s="15">
        <v>24141.5</v>
      </c>
      <c r="K314" s="15">
        <v>458688.5</v>
      </c>
      <c r="L314" s="15">
        <v>345283.94946573878</v>
      </c>
      <c r="M314" s="15">
        <v>113404.5505342612</v>
      </c>
    </row>
    <row r="315" spans="1:13" x14ac:dyDescent="0.25">
      <c r="A315" s="12">
        <v>45240</v>
      </c>
      <c r="B315" s="12" t="s">
        <v>13</v>
      </c>
      <c r="C315" s="12" t="s">
        <v>17</v>
      </c>
      <c r="D315" s="12" t="s">
        <v>27</v>
      </c>
      <c r="E315" s="13">
        <v>53298</v>
      </c>
      <c r="F315" s="14">
        <v>12</v>
      </c>
      <c r="G315" s="15">
        <v>36495</v>
      </c>
      <c r="H315" s="16">
        <v>0.05</v>
      </c>
      <c r="I315" s="13">
        <v>2</v>
      </c>
      <c r="J315" s="15">
        <v>21897</v>
      </c>
      <c r="K315" s="15">
        <v>416043</v>
      </c>
      <c r="L315" s="15">
        <v>367580.30021578528</v>
      </c>
      <c r="M315" s="15">
        <v>48462.699784214667</v>
      </c>
    </row>
    <row r="316" spans="1:13" x14ac:dyDescent="0.25">
      <c r="A316" s="12">
        <v>45241</v>
      </c>
      <c r="B316" s="12" t="s">
        <v>13</v>
      </c>
      <c r="C316" s="12" t="s">
        <v>20</v>
      </c>
      <c r="D316" s="12" t="s">
        <v>15</v>
      </c>
      <c r="E316" s="13">
        <v>73108</v>
      </c>
      <c r="F316" s="14">
        <v>36</v>
      </c>
      <c r="G316" s="15">
        <v>23448</v>
      </c>
      <c r="H316" s="16">
        <v>0.05</v>
      </c>
      <c r="I316" s="13">
        <v>4</v>
      </c>
      <c r="J316" s="15">
        <v>42206.400000000001</v>
      </c>
      <c r="K316" s="15">
        <v>801921.6</v>
      </c>
      <c r="L316" s="15">
        <v>613037.89398105559</v>
      </c>
      <c r="M316" s="15">
        <v>188883.70601894439</v>
      </c>
    </row>
    <row r="317" spans="1:13" x14ac:dyDescent="0.25">
      <c r="A317" s="12">
        <v>45242</v>
      </c>
      <c r="B317" s="12" t="s">
        <v>16</v>
      </c>
      <c r="C317" s="12" t="s">
        <v>14</v>
      </c>
      <c r="D317" s="12" t="s">
        <v>26</v>
      </c>
      <c r="E317" s="13">
        <v>58924</v>
      </c>
      <c r="F317" s="14">
        <v>21</v>
      </c>
      <c r="G317" s="15">
        <v>27228</v>
      </c>
      <c r="H317" s="16">
        <v>0.2</v>
      </c>
      <c r="I317" s="13">
        <v>1</v>
      </c>
      <c r="J317" s="15">
        <v>114357.6</v>
      </c>
      <c r="K317" s="15">
        <v>457430.4</v>
      </c>
      <c r="L317" s="15">
        <v>405261.95477961702</v>
      </c>
      <c r="M317" s="15">
        <v>52168.445220383059</v>
      </c>
    </row>
    <row r="318" spans="1:13" x14ac:dyDescent="0.25">
      <c r="A318" s="12">
        <v>45243</v>
      </c>
      <c r="B318" s="12" t="s">
        <v>13</v>
      </c>
      <c r="C318" s="12" t="s">
        <v>20</v>
      </c>
      <c r="D318" s="12" t="s">
        <v>15</v>
      </c>
      <c r="E318" s="13">
        <v>26709</v>
      </c>
      <c r="F318" s="14">
        <v>49</v>
      </c>
      <c r="G318" s="15">
        <v>2524</v>
      </c>
      <c r="H318" s="16">
        <v>0.2</v>
      </c>
      <c r="I318" s="13">
        <v>2</v>
      </c>
      <c r="J318" s="15">
        <v>24735.200000000001</v>
      </c>
      <c r="K318" s="15">
        <v>98940.800000000003</v>
      </c>
      <c r="L318" s="15">
        <v>64715.89492656479</v>
      </c>
      <c r="M318" s="15">
        <v>34224.905073435213</v>
      </c>
    </row>
    <row r="319" spans="1:13" x14ac:dyDescent="0.25">
      <c r="A319" s="12">
        <v>45244</v>
      </c>
      <c r="B319" s="12" t="s">
        <v>19</v>
      </c>
      <c r="C319" s="12" t="s">
        <v>14</v>
      </c>
      <c r="D319" s="12" t="s">
        <v>26</v>
      </c>
      <c r="E319" s="13">
        <v>19726</v>
      </c>
      <c r="F319" s="14">
        <v>47</v>
      </c>
      <c r="G319" s="15">
        <v>17213</v>
      </c>
      <c r="H319" s="16">
        <v>0.1</v>
      </c>
      <c r="I319" s="13">
        <v>5</v>
      </c>
      <c r="J319" s="15">
        <v>80901.100000000006</v>
      </c>
      <c r="K319" s="15">
        <v>728109.9</v>
      </c>
      <c r="L319" s="15">
        <v>595041.11254026927</v>
      </c>
      <c r="M319" s="15">
        <v>133068.78745973081</v>
      </c>
    </row>
    <row r="320" spans="1:13" x14ac:dyDescent="0.25">
      <c r="A320" s="12">
        <v>45245</v>
      </c>
      <c r="B320" s="12" t="s">
        <v>13</v>
      </c>
      <c r="C320" s="12" t="s">
        <v>23</v>
      </c>
      <c r="D320" s="12" t="s">
        <v>22</v>
      </c>
      <c r="E320" s="13">
        <v>70824</v>
      </c>
      <c r="F320" s="14">
        <v>6</v>
      </c>
      <c r="G320" s="15">
        <v>2986</v>
      </c>
      <c r="H320" s="16">
        <v>0.2</v>
      </c>
      <c r="I320" s="13">
        <v>4</v>
      </c>
      <c r="J320" s="15">
        <v>3583.2</v>
      </c>
      <c r="K320" s="15">
        <v>14332.8</v>
      </c>
      <c r="L320" s="15">
        <v>12092.180057691439</v>
      </c>
      <c r="M320" s="15">
        <v>2240.6199423085641</v>
      </c>
    </row>
    <row r="321" spans="1:13" x14ac:dyDescent="0.25">
      <c r="A321" s="12">
        <v>45246</v>
      </c>
      <c r="B321" s="12" t="s">
        <v>24</v>
      </c>
      <c r="C321" s="12" t="s">
        <v>17</v>
      </c>
      <c r="D321" s="12" t="s">
        <v>18</v>
      </c>
      <c r="E321" s="13">
        <v>50542</v>
      </c>
      <c r="F321" s="14">
        <v>48</v>
      </c>
      <c r="G321" s="15">
        <v>1655</v>
      </c>
      <c r="H321" s="16">
        <v>0.2</v>
      </c>
      <c r="I321" s="13">
        <v>5</v>
      </c>
      <c r="J321" s="15">
        <v>15888</v>
      </c>
      <c r="K321" s="15">
        <v>63552</v>
      </c>
      <c r="L321" s="15">
        <v>51079.198646697943</v>
      </c>
      <c r="M321" s="15">
        <v>12472.80135330206</v>
      </c>
    </row>
    <row r="322" spans="1:13" x14ac:dyDescent="0.25">
      <c r="A322" s="12">
        <v>45247</v>
      </c>
      <c r="B322" s="12" t="s">
        <v>16</v>
      </c>
      <c r="C322" s="12" t="s">
        <v>14</v>
      </c>
      <c r="D322" s="12" t="s">
        <v>27</v>
      </c>
      <c r="E322" s="13">
        <v>30245</v>
      </c>
      <c r="F322" s="14">
        <v>49</v>
      </c>
      <c r="G322" s="15">
        <v>10582</v>
      </c>
      <c r="H322" s="16">
        <v>0.2</v>
      </c>
      <c r="I322" s="13">
        <v>2</v>
      </c>
      <c r="J322" s="15">
        <v>103703.6</v>
      </c>
      <c r="K322" s="15">
        <v>414814.4</v>
      </c>
      <c r="L322" s="15">
        <v>324416.67045564129</v>
      </c>
      <c r="M322" s="15">
        <v>90397.729544358735</v>
      </c>
    </row>
    <row r="323" spans="1:13" x14ac:dyDescent="0.25">
      <c r="A323" s="12">
        <v>45248</v>
      </c>
      <c r="B323" s="12" t="s">
        <v>19</v>
      </c>
      <c r="C323" s="12" t="s">
        <v>21</v>
      </c>
      <c r="D323" s="12" t="s">
        <v>15</v>
      </c>
      <c r="E323" s="13">
        <v>44753</v>
      </c>
      <c r="F323" s="14">
        <v>3</v>
      </c>
      <c r="G323" s="15">
        <v>37745</v>
      </c>
      <c r="H323" s="16">
        <v>0.1</v>
      </c>
      <c r="I323" s="13">
        <v>5</v>
      </c>
      <c r="J323" s="15">
        <v>11323.5</v>
      </c>
      <c r="K323" s="15">
        <v>101911.5</v>
      </c>
      <c r="L323" s="15">
        <v>78415.17532189934</v>
      </c>
      <c r="M323" s="15">
        <v>23496.32467810066</v>
      </c>
    </row>
    <row r="324" spans="1:13" x14ac:dyDescent="0.25">
      <c r="A324" s="12">
        <v>45249</v>
      </c>
      <c r="B324" s="12" t="s">
        <v>16</v>
      </c>
      <c r="C324" s="12" t="s">
        <v>21</v>
      </c>
      <c r="D324" s="12" t="s">
        <v>26</v>
      </c>
      <c r="E324" s="13">
        <v>89788</v>
      </c>
      <c r="F324" s="14">
        <v>10</v>
      </c>
      <c r="G324" s="15">
        <v>19069</v>
      </c>
      <c r="H324" s="16">
        <v>0.1</v>
      </c>
      <c r="I324" s="13">
        <v>5</v>
      </c>
      <c r="J324" s="15">
        <v>19069</v>
      </c>
      <c r="K324" s="15">
        <v>171621</v>
      </c>
      <c r="L324" s="15">
        <v>147298.72510519149</v>
      </c>
      <c r="M324" s="15">
        <v>24322.274894808481</v>
      </c>
    </row>
    <row r="325" spans="1:13" x14ac:dyDescent="0.25">
      <c r="A325" s="12">
        <v>45250</v>
      </c>
      <c r="B325" s="12" t="s">
        <v>24</v>
      </c>
      <c r="C325" s="12" t="s">
        <v>14</v>
      </c>
      <c r="D325" s="12" t="s">
        <v>25</v>
      </c>
      <c r="E325" s="13">
        <v>31316</v>
      </c>
      <c r="F325" s="14">
        <v>5</v>
      </c>
      <c r="G325" s="15">
        <v>7586</v>
      </c>
      <c r="H325" s="16">
        <v>0.15</v>
      </c>
      <c r="I325" s="13">
        <v>5</v>
      </c>
      <c r="J325" s="15">
        <v>5689.5</v>
      </c>
      <c r="K325" s="15">
        <v>32240.5</v>
      </c>
      <c r="L325" s="15">
        <v>27291.38913476462</v>
      </c>
      <c r="M325" s="15">
        <v>4949.1108652353832</v>
      </c>
    </row>
    <row r="326" spans="1:13" x14ac:dyDescent="0.25">
      <c r="A326" s="12">
        <v>45251</v>
      </c>
      <c r="B326" s="12" t="s">
        <v>24</v>
      </c>
      <c r="C326" s="12" t="s">
        <v>14</v>
      </c>
      <c r="D326" s="12" t="s">
        <v>27</v>
      </c>
      <c r="E326" s="13">
        <v>94698</v>
      </c>
      <c r="F326" s="14">
        <v>46</v>
      </c>
      <c r="G326" s="15">
        <v>2817</v>
      </c>
      <c r="H326" s="16">
        <v>0.15</v>
      </c>
      <c r="I326" s="13">
        <v>1</v>
      </c>
      <c r="J326" s="15">
        <v>19437.3</v>
      </c>
      <c r="K326" s="15">
        <v>110144.7</v>
      </c>
      <c r="L326" s="15">
        <v>70127.656352346239</v>
      </c>
      <c r="M326" s="15">
        <v>40017.043647653758</v>
      </c>
    </row>
    <row r="327" spans="1:13" x14ac:dyDescent="0.25">
      <c r="A327" s="12">
        <v>45252</v>
      </c>
      <c r="B327" s="12" t="s">
        <v>24</v>
      </c>
      <c r="C327" s="12" t="s">
        <v>14</v>
      </c>
      <c r="D327" s="12" t="s">
        <v>22</v>
      </c>
      <c r="E327" s="13">
        <v>25960</v>
      </c>
      <c r="F327" s="14">
        <v>26</v>
      </c>
      <c r="G327" s="15">
        <v>36889</v>
      </c>
      <c r="H327" s="16">
        <v>0.15</v>
      </c>
      <c r="I327" s="13">
        <v>1</v>
      </c>
      <c r="J327" s="15">
        <v>143867.1</v>
      </c>
      <c r="K327" s="15">
        <v>815246.9</v>
      </c>
      <c r="L327" s="15">
        <v>696690.67703180597</v>
      </c>
      <c r="M327" s="15">
        <v>118556.2229681941</v>
      </c>
    </row>
    <row r="328" spans="1:13" x14ac:dyDescent="0.25">
      <c r="A328" s="12">
        <v>45253</v>
      </c>
      <c r="B328" s="12" t="s">
        <v>13</v>
      </c>
      <c r="C328" s="12" t="s">
        <v>21</v>
      </c>
      <c r="D328" s="12" t="s">
        <v>26</v>
      </c>
      <c r="E328" s="13">
        <v>40791</v>
      </c>
      <c r="F328" s="14">
        <v>21</v>
      </c>
      <c r="G328" s="15">
        <v>4991</v>
      </c>
      <c r="H328" s="16">
        <v>0.15</v>
      </c>
      <c r="I328" s="13">
        <v>1</v>
      </c>
      <c r="J328" s="15">
        <v>15721.65</v>
      </c>
      <c r="K328" s="15">
        <v>89089.35</v>
      </c>
      <c r="L328" s="15">
        <v>64520.341248403922</v>
      </c>
      <c r="M328" s="15">
        <v>24569.00875159608</v>
      </c>
    </row>
    <row r="329" spans="1:13" x14ac:dyDescent="0.25">
      <c r="A329" s="12">
        <v>45254</v>
      </c>
      <c r="B329" s="12" t="s">
        <v>13</v>
      </c>
      <c r="C329" s="12" t="s">
        <v>21</v>
      </c>
      <c r="D329" s="12" t="s">
        <v>18</v>
      </c>
      <c r="E329" s="13">
        <v>35216</v>
      </c>
      <c r="F329" s="14">
        <v>45</v>
      </c>
      <c r="G329" s="15">
        <v>16416</v>
      </c>
      <c r="H329" s="16">
        <v>0.05</v>
      </c>
      <c r="I329" s="13">
        <v>4</v>
      </c>
      <c r="J329" s="15">
        <v>36936</v>
      </c>
      <c r="K329" s="15">
        <v>701784</v>
      </c>
      <c r="L329" s="15">
        <v>474482.51284253411</v>
      </c>
      <c r="M329" s="15">
        <v>227301.48715746589</v>
      </c>
    </row>
    <row r="330" spans="1:13" x14ac:dyDescent="0.25">
      <c r="A330" s="12">
        <v>45255</v>
      </c>
      <c r="B330" s="12" t="s">
        <v>16</v>
      </c>
      <c r="C330" s="12" t="s">
        <v>14</v>
      </c>
      <c r="D330" s="12" t="s">
        <v>18</v>
      </c>
      <c r="E330" s="13">
        <v>42467</v>
      </c>
      <c r="F330" s="14">
        <v>26</v>
      </c>
      <c r="G330" s="15">
        <v>15748</v>
      </c>
      <c r="H330" s="16">
        <v>0.05</v>
      </c>
      <c r="I330" s="13">
        <v>2</v>
      </c>
      <c r="J330" s="15">
        <v>20472.400000000001</v>
      </c>
      <c r="K330" s="15">
        <v>388975.6</v>
      </c>
      <c r="L330" s="15">
        <v>334880.98518130719</v>
      </c>
      <c r="M330" s="15">
        <v>54094.614818692731</v>
      </c>
    </row>
    <row r="331" spans="1:13" x14ac:dyDescent="0.25">
      <c r="A331" s="12">
        <v>45256</v>
      </c>
      <c r="B331" s="12" t="s">
        <v>16</v>
      </c>
      <c r="C331" s="12" t="s">
        <v>20</v>
      </c>
      <c r="D331" s="12" t="s">
        <v>22</v>
      </c>
      <c r="E331" s="13">
        <v>74427</v>
      </c>
      <c r="F331" s="14">
        <v>38</v>
      </c>
      <c r="G331" s="15">
        <v>3011</v>
      </c>
      <c r="H331" s="16">
        <v>0.15</v>
      </c>
      <c r="I331" s="13">
        <v>1</v>
      </c>
      <c r="J331" s="15">
        <v>17162.7</v>
      </c>
      <c r="K331" s="15">
        <v>97255.3</v>
      </c>
      <c r="L331" s="15">
        <v>70958.190448745823</v>
      </c>
      <c r="M331" s="15">
        <v>26297.10955125418</v>
      </c>
    </row>
    <row r="332" spans="1:13" x14ac:dyDescent="0.25">
      <c r="A332" s="12">
        <v>45257</v>
      </c>
      <c r="B332" s="12" t="s">
        <v>19</v>
      </c>
      <c r="C332" s="12" t="s">
        <v>20</v>
      </c>
      <c r="D332" s="12" t="s">
        <v>22</v>
      </c>
      <c r="E332" s="13">
        <v>72047</v>
      </c>
      <c r="F332" s="14">
        <v>44</v>
      </c>
      <c r="G332" s="15">
        <v>24726</v>
      </c>
      <c r="H332" s="16">
        <v>0.15</v>
      </c>
      <c r="I332" s="13">
        <v>5</v>
      </c>
      <c r="J332" s="15">
        <v>163191.6</v>
      </c>
      <c r="K332" s="15">
        <v>924752.4</v>
      </c>
      <c r="L332" s="15">
        <v>779112.59619488032</v>
      </c>
      <c r="M332" s="15">
        <v>145639.80380511971</v>
      </c>
    </row>
    <row r="333" spans="1:13" x14ac:dyDescent="0.25">
      <c r="A333" s="12">
        <v>45258</v>
      </c>
      <c r="B333" s="12" t="s">
        <v>19</v>
      </c>
      <c r="C333" s="12" t="s">
        <v>23</v>
      </c>
      <c r="D333" s="12" t="s">
        <v>18</v>
      </c>
      <c r="E333" s="13">
        <v>83290</v>
      </c>
      <c r="F333" s="14">
        <v>26</v>
      </c>
      <c r="G333" s="15">
        <v>25525</v>
      </c>
      <c r="H333" s="16">
        <v>0</v>
      </c>
      <c r="I333" s="13">
        <v>5</v>
      </c>
      <c r="J333" s="15">
        <v>0</v>
      </c>
      <c r="K333" s="15">
        <v>663650</v>
      </c>
      <c r="L333" s="15">
        <v>450632.3421223489</v>
      </c>
      <c r="M333" s="15">
        <v>213017.6578776511</v>
      </c>
    </row>
    <row r="334" spans="1:13" x14ac:dyDescent="0.25">
      <c r="A334" s="12">
        <v>45259</v>
      </c>
      <c r="B334" s="12" t="s">
        <v>16</v>
      </c>
      <c r="C334" s="12" t="s">
        <v>17</v>
      </c>
      <c r="D334" s="12" t="s">
        <v>15</v>
      </c>
      <c r="E334" s="13">
        <v>57014</v>
      </c>
      <c r="F334" s="14">
        <v>8</v>
      </c>
      <c r="G334" s="15">
        <v>42814</v>
      </c>
      <c r="H334" s="16">
        <v>0.05</v>
      </c>
      <c r="I334" s="13">
        <v>5</v>
      </c>
      <c r="J334" s="15">
        <v>17125.599999999999</v>
      </c>
      <c r="K334" s="15">
        <v>325386.40000000002</v>
      </c>
      <c r="L334" s="15">
        <v>195615.40432560549</v>
      </c>
      <c r="M334" s="15">
        <v>129770.99567439449</v>
      </c>
    </row>
    <row r="335" spans="1:13" x14ac:dyDescent="0.25">
      <c r="A335" s="12">
        <v>45260</v>
      </c>
      <c r="B335" s="12" t="s">
        <v>13</v>
      </c>
      <c r="C335" s="12" t="s">
        <v>20</v>
      </c>
      <c r="D335" s="12" t="s">
        <v>15</v>
      </c>
      <c r="E335" s="13">
        <v>14078</v>
      </c>
      <c r="F335" s="14">
        <v>5</v>
      </c>
      <c r="G335" s="15">
        <v>48880</v>
      </c>
      <c r="H335" s="16">
        <v>0</v>
      </c>
      <c r="I335" s="13">
        <v>5</v>
      </c>
      <c r="J335" s="15">
        <v>0</v>
      </c>
      <c r="K335" s="15">
        <v>244400</v>
      </c>
      <c r="L335" s="15">
        <v>182967.06802364389</v>
      </c>
      <c r="M335" s="15">
        <v>61432.931976356107</v>
      </c>
    </row>
    <row r="336" spans="1:13" x14ac:dyDescent="0.25">
      <c r="A336" s="12">
        <v>45261</v>
      </c>
      <c r="B336" s="12" t="s">
        <v>24</v>
      </c>
      <c r="C336" s="12" t="s">
        <v>21</v>
      </c>
      <c r="D336" s="12" t="s">
        <v>26</v>
      </c>
      <c r="E336" s="13">
        <v>88389</v>
      </c>
      <c r="F336" s="14">
        <v>15</v>
      </c>
      <c r="G336" s="15">
        <v>8348</v>
      </c>
      <c r="H336" s="16">
        <v>0</v>
      </c>
      <c r="I336" s="13">
        <v>3</v>
      </c>
      <c r="J336" s="15">
        <v>0</v>
      </c>
      <c r="K336" s="15">
        <v>125220</v>
      </c>
      <c r="L336" s="15">
        <v>78897.174689046587</v>
      </c>
      <c r="M336" s="15">
        <v>46322.825310953413</v>
      </c>
    </row>
    <row r="337" spans="1:13" x14ac:dyDescent="0.25">
      <c r="A337" s="12">
        <v>45262</v>
      </c>
      <c r="B337" s="12" t="s">
        <v>16</v>
      </c>
      <c r="C337" s="12" t="s">
        <v>20</v>
      </c>
      <c r="D337" s="12" t="s">
        <v>25</v>
      </c>
      <c r="E337" s="13">
        <v>60519</v>
      </c>
      <c r="F337" s="14">
        <v>16</v>
      </c>
      <c r="G337" s="15">
        <v>14774</v>
      </c>
      <c r="H337" s="16">
        <v>0.2</v>
      </c>
      <c r="I337" s="13">
        <v>4</v>
      </c>
      <c r="J337" s="15">
        <v>47276.800000000003</v>
      </c>
      <c r="K337" s="15">
        <v>189107.20000000001</v>
      </c>
      <c r="L337" s="15">
        <v>156261.6974089921</v>
      </c>
      <c r="M337" s="15">
        <v>32845.502591007942</v>
      </c>
    </row>
    <row r="338" spans="1:13" x14ac:dyDescent="0.25">
      <c r="A338" s="12">
        <v>45263</v>
      </c>
      <c r="B338" s="12" t="s">
        <v>19</v>
      </c>
      <c r="C338" s="12" t="s">
        <v>23</v>
      </c>
      <c r="D338" s="12" t="s">
        <v>26</v>
      </c>
      <c r="E338" s="13">
        <v>14042</v>
      </c>
      <c r="F338" s="14">
        <v>1</v>
      </c>
      <c r="G338" s="15">
        <v>31458</v>
      </c>
      <c r="H338" s="16">
        <v>0.1</v>
      </c>
      <c r="I338" s="13">
        <v>2</v>
      </c>
      <c r="J338" s="15">
        <v>3145.8</v>
      </c>
      <c r="K338" s="15">
        <v>28312.2</v>
      </c>
      <c r="L338" s="15">
        <v>19332.208340227309</v>
      </c>
      <c r="M338" s="15">
        <v>8979.9916597726951</v>
      </c>
    </row>
    <row r="339" spans="1:13" x14ac:dyDescent="0.25">
      <c r="A339" s="12">
        <v>45264</v>
      </c>
      <c r="B339" s="12" t="s">
        <v>13</v>
      </c>
      <c r="C339" s="12" t="s">
        <v>23</v>
      </c>
      <c r="D339" s="12" t="s">
        <v>25</v>
      </c>
      <c r="E339" s="13">
        <v>59052</v>
      </c>
      <c r="F339" s="14">
        <v>16</v>
      </c>
      <c r="G339" s="15">
        <v>35733</v>
      </c>
      <c r="H339" s="16">
        <v>0.05</v>
      </c>
      <c r="I339" s="13">
        <v>2</v>
      </c>
      <c r="J339" s="15">
        <v>28586.400000000001</v>
      </c>
      <c r="K339" s="15">
        <v>543141.6</v>
      </c>
      <c r="L339" s="15">
        <v>398173.6818987744</v>
      </c>
      <c r="M339" s="15">
        <v>144967.9181012256</v>
      </c>
    </row>
    <row r="340" spans="1:13" x14ac:dyDescent="0.25">
      <c r="A340" s="12">
        <v>45265</v>
      </c>
      <c r="B340" s="12" t="s">
        <v>16</v>
      </c>
      <c r="C340" s="12" t="s">
        <v>17</v>
      </c>
      <c r="D340" s="12" t="s">
        <v>22</v>
      </c>
      <c r="E340" s="13">
        <v>24389</v>
      </c>
      <c r="F340" s="14">
        <v>37</v>
      </c>
      <c r="G340" s="15">
        <v>16804</v>
      </c>
      <c r="H340" s="16">
        <v>0.15</v>
      </c>
      <c r="I340" s="13">
        <v>1</v>
      </c>
      <c r="J340" s="15">
        <v>93262.2</v>
      </c>
      <c r="K340" s="15">
        <v>528485.80000000005</v>
      </c>
      <c r="L340" s="15">
        <v>330890.28098227869</v>
      </c>
      <c r="M340" s="15">
        <v>197595.51901772141</v>
      </c>
    </row>
    <row r="341" spans="1:13" x14ac:dyDescent="0.25">
      <c r="A341" s="12">
        <v>45266</v>
      </c>
      <c r="B341" s="12" t="s">
        <v>16</v>
      </c>
      <c r="C341" s="12" t="s">
        <v>20</v>
      </c>
      <c r="D341" s="12" t="s">
        <v>27</v>
      </c>
      <c r="E341" s="13">
        <v>78111</v>
      </c>
      <c r="F341" s="14">
        <v>3</v>
      </c>
      <c r="G341" s="15">
        <v>48937</v>
      </c>
      <c r="H341" s="16">
        <v>0.15</v>
      </c>
      <c r="I341" s="13">
        <v>3</v>
      </c>
      <c r="J341" s="15">
        <v>22021.65</v>
      </c>
      <c r="K341" s="15">
        <v>124789.35</v>
      </c>
      <c r="L341" s="15">
        <v>85605.216385566353</v>
      </c>
      <c r="M341" s="15">
        <v>39184.133614433653</v>
      </c>
    </row>
    <row r="342" spans="1:13" x14ac:dyDescent="0.25">
      <c r="A342" s="12">
        <v>45267</v>
      </c>
      <c r="B342" s="12" t="s">
        <v>13</v>
      </c>
      <c r="C342" s="12" t="s">
        <v>21</v>
      </c>
      <c r="D342" s="12" t="s">
        <v>26</v>
      </c>
      <c r="E342" s="13">
        <v>60733</v>
      </c>
      <c r="F342" s="14">
        <v>47</v>
      </c>
      <c r="G342" s="15">
        <v>11794</v>
      </c>
      <c r="H342" s="16">
        <v>0.1</v>
      </c>
      <c r="I342" s="13">
        <v>2</v>
      </c>
      <c r="J342" s="15">
        <v>55431.8</v>
      </c>
      <c r="K342" s="15">
        <v>498886.2</v>
      </c>
      <c r="L342" s="15">
        <v>416294.12933890341</v>
      </c>
      <c r="M342" s="15">
        <v>82592.070661096601</v>
      </c>
    </row>
    <row r="343" spans="1:13" x14ac:dyDescent="0.25">
      <c r="A343" s="12">
        <v>45268</v>
      </c>
      <c r="B343" s="12" t="s">
        <v>16</v>
      </c>
      <c r="C343" s="12" t="s">
        <v>21</v>
      </c>
      <c r="D343" s="12" t="s">
        <v>26</v>
      </c>
      <c r="E343" s="13">
        <v>44754</v>
      </c>
      <c r="F343" s="14">
        <v>31</v>
      </c>
      <c r="G343" s="15">
        <v>26925</v>
      </c>
      <c r="H343" s="16">
        <v>0.05</v>
      </c>
      <c r="I343" s="13">
        <v>4</v>
      </c>
      <c r="J343" s="15">
        <v>41733.75</v>
      </c>
      <c r="K343" s="15">
        <v>792941.25</v>
      </c>
      <c r="L343" s="15">
        <v>511824.84250461461</v>
      </c>
      <c r="M343" s="15">
        <v>281116.40749538539</v>
      </c>
    </row>
    <row r="344" spans="1:13" x14ac:dyDescent="0.25">
      <c r="A344" s="12">
        <v>45269</v>
      </c>
      <c r="B344" s="12" t="s">
        <v>13</v>
      </c>
      <c r="C344" s="12" t="s">
        <v>14</v>
      </c>
      <c r="D344" s="12" t="s">
        <v>25</v>
      </c>
      <c r="E344" s="13">
        <v>28624</v>
      </c>
      <c r="F344" s="14">
        <v>13</v>
      </c>
      <c r="G344" s="15">
        <v>3675</v>
      </c>
      <c r="H344" s="16">
        <v>0.15</v>
      </c>
      <c r="I344" s="13">
        <v>5</v>
      </c>
      <c r="J344" s="15">
        <v>7166.25</v>
      </c>
      <c r="K344" s="15">
        <v>40608.75</v>
      </c>
      <c r="L344" s="15">
        <v>32249.3522483743</v>
      </c>
      <c r="M344" s="15">
        <v>8359.3977516257</v>
      </c>
    </row>
    <row r="345" spans="1:13" x14ac:dyDescent="0.25">
      <c r="A345" s="12">
        <v>45270</v>
      </c>
      <c r="B345" s="12" t="s">
        <v>24</v>
      </c>
      <c r="C345" s="12" t="s">
        <v>21</v>
      </c>
      <c r="D345" s="12" t="s">
        <v>22</v>
      </c>
      <c r="E345" s="13">
        <v>95886</v>
      </c>
      <c r="F345" s="14">
        <v>16</v>
      </c>
      <c r="G345" s="15">
        <v>41117</v>
      </c>
      <c r="H345" s="16">
        <v>0.15</v>
      </c>
      <c r="I345" s="13">
        <v>1</v>
      </c>
      <c r="J345" s="15">
        <v>98680.8</v>
      </c>
      <c r="K345" s="15">
        <v>559191.19999999995</v>
      </c>
      <c r="L345" s="15">
        <v>489419.65906223172</v>
      </c>
      <c r="M345" s="15">
        <v>69771.540937768295</v>
      </c>
    </row>
    <row r="346" spans="1:13" x14ac:dyDescent="0.25">
      <c r="A346" s="12">
        <v>45271</v>
      </c>
      <c r="B346" s="12" t="s">
        <v>13</v>
      </c>
      <c r="C346" s="12" t="s">
        <v>17</v>
      </c>
      <c r="D346" s="12" t="s">
        <v>22</v>
      </c>
      <c r="E346" s="13">
        <v>36681</v>
      </c>
      <c r="F346" s="14">
        <v>43</v>
      </c>
      <c r="G346" s="15">
        <v>45741</v>
      </c>
      <c r="H346" s="16">
        <v>0.2</v>
      </c>
      <c r="I346" s="13">
        <v>4</v>
      </c>
      <c r="J346" s="15">
        <v>393372.6</v>
      </c>
      <c r="K346" s="15">
        <v>1573490.4</v>
      </c>
      <c r="L346" s="15">
        <v>1265009.224513764</v>
      </c>
      <c r="M346" s="15">
        <v>308481.17548623611</v>
      </c>
    </row>
    <row r="347" spans="1:13" x14ac:dyDescent="0.25">
      <c r="A347" s="12">
        <v>45272</v>
      </c>
      <c r="B347" s="12" t="s">
        <v>13</v>
      </c>
      <c r="C347" s="12" t="s">
        <v>17</v>
      </c>
      <c r="D347" s="12" t="s">
        <v>25</v>
      </c>
      <c r="E347" s="13">
        <v>99524</v>
      </c>
      <c r="F347" s="14">
        <v>21</v>
      </c>
      <c r="G347" s="15">
        <v>28275</v>
      </c>
      <c r="H347" s="16">
        <v>0</v>
      </c>
      <c r="I347" s="13">
        <v>2</v>
      </c>
      <c r="J347" s="15">
        <v>0</v>
      </c>
      <c r="K347" s="15">
        <v>593775</v>
      </c>
      <c r="L347" s="15">
        <v>500734.3210678476</v>
      </c>
      <c r="M347" s="15">
        <v>93040.678932152397</v>
      </c>
    </row>
    <row r="348" spans="1:13" x14ac:dyDescent="0.25">
      <c r="A348" s="12">
        <v>45273</v>
      </c>
      <c r="B348" s="12" t="s">
        <v>13</v>
      </c>
      <c r="C348" s="12" t="s">
        <v>21</v>
      </c>
      <c r="D348" s="12" t="s">
        <v>22</v>
      </c>
      <c r="E348" s="13">
        <v>91006</v>
      </c>
      <c r="F348" s="14">
        <v>2</v>
      </c>
      <c r="G348" s="15">
        <v>9925</v>
      </c>
      <c r="H348" s="16">
        <v>0.15</v>
      </c>
      <c r="I348" s="13">
        <v>3</v>
      </c>
      <c r="J348" s="15">
        <v>2977.5</v>
      </c>
      <c r="K348" s="15">
        <v>16872.5</v>
      </c>
      <c r="L348" s="15">
        <v>10675.0871446291</v>
      </c>
      <c r="M348" s="15">
        <v>6197.4128553709033</v>
      </c>
    </row>
    <row r="349" spans="1:13" x14ac:dyDescent="0.25">
      <c r="A349" s="12">
        <v>45274</v>
      </c>
      <c r="B349" s="12" t="s">
        <v>16</v>
      </c>
      <c r="C349" s="12" t="s">
        <v>21</v>
      </c>
      <c r="D349" s="12" t="s">
        <v>18</v>
      </c>
      <c r="E349" s="13">
        <v>34704</v>
      </c>
      <c r="F349" s="14">
        <v>27</v>
      </c>
      <c r="G349" s="15">
        <v>26513</v>
      </c>
      <c r="H349" s="16">
        <v>0.05</v>
      </c>
      <c r="I349" s="13">
        <v>1</v>
      </c>
      <c r="J349" s="15">
        <v>35792.550000000003</v>
      </c>
      <c r="K349" s="15">
        <v>680058.45</v>
      </c>
      <c r="L349" s="15">
        <v>459188.75908698799</v>
      </c>
      <c r="M349" s="15">
        <v>220869.69091301199</v>
      </c>
    </row>
    <row r="350" spans="1:13" x14ac:dyDescent="0.25">
      <c r="A350" s="12">
        <v>45275</v>
      </c>
      <c r="B350" s="12" t="s">
        <v>16</v>
      </c>
      <c r="C350" s="12" t="s">
        <v>14</v>
      </c>
      <c r="D350" s="12" t="s">
        <v>15</v>
      </c>
      <c r="E350" s="13">
        <v>17493</v>
      </c>
      <c r="F350" s="14">
        <v>38</v>
      </c>
      <c r="G350" s="15">
        <v>28428</v>
      </c>
      <c r="H350" s="16">
        <v>0.1</v>
      </c>
      <c r="I350" s="13">
        <v>2</v>
      </c>
      <c r="J350" s="15">
        <v>108026.4</v>
      </c>
      <c r="K350" s="15">
        <v>972237.6</v>
      </c>
      <c r="L350" s="15">
        <v>844253.85204274405</v>
      </c>
      <c r="M350" s="15">
        <v>127983.7479572559</v>
      </c>
    </row>
    <row r="351" spans="1:13" x14ac:dyDescent="0.25">
      <c r="A351" s="12">
        <v>45276</v>
      </c>
      <c r="B351" s="12" t="s">
        <v>13</v>
      </c>
      <c r="C351" s="12" t="s">
        <v>21</v>
      </c>
      <c r="D351" s="12" t="s">
        <v>18</v>
      </c>
      <c r="E351" s="13">
        <v>79639</v>
      </c>
      <c r="F351" s="14">
        <v>26</v>
      </c>
      <c r="G351" s="15">
        <v>45490</v>
      </c>
      <c r="H351" s="16">
        <v>0.2</v>
      </c>
      <c r="I351" s="13">
        <v>1</v>
      </c>
      <c r="J351" s="15">
        <v>236548</v>
      </c>
      <c r="K351" s="15">
        <v>946192</v>
      </c>
      <c r="L351" s="15">
        <v>770703.36322815809</v>
      </c>
      <c r="M351" s="15">
        <v>175488.63677184191</v>
      </c>
    </row>
    <row r="352" spans="1:13" x14ac:dyDescent="0.25">
      <c r="A352" s="12">
        <v>45277</v>
      </c>
      <c r="B352" s="12" t="s">
        <v>16</v>
      </c>
      <c r="C352" s="12" t="s">
        <v>14</v>
      </c>
      <c r="D352" s="12" t="s">
        <v>27</v>
      </c>
      <c r="E352" s="13">
        <v>64383</v>
      </c>
      <c r="F352" s="14">
        <v>38</v>
      </c>
      <c r="G352" s="15">
        <v>41712</v>
      </c>
      <c r="H352" s="16">
        <v>0.05</v>
      </c>
      <c r="I352" s="13">
        <v>2</v>
      </c>
      <c r="J352" s="15">
        <v>79252.800000000003</v>
      </c>
      <c r="K352" s="15">
        <v>1505803.2</v>
      </c>
      <c r="L352" s="15">
        <v>1192394.5794993599</v>
      </c>
      <c r="M352" s="15">
        <v>313408.62050064019</v>
      </c>
    </row>
    <row r="353" spans="1:13" x14ac:dyDescent="0.25">
      <c r="A353" s="12">
        <v>45278</v>
      </c>
      <c r="B353" s="12" t="s">
        <v>19</v>
      </c>
      <c r="C353" s="12" t="s">
        <v>14</v>
      </c>
      <c r="D353" s="12" t="s">
        <v>26</v>
      </c>
      <c r="E353" s="13">
        <v>12994</v>
      </c>
      <c r="F353" s="14">
        <v>46</v>
      </c>
      <c r="G353" s="15">
        <v>8710</v>
      </c>
      <c r="H353" s="16">
        <v>0.2</v>
      </c>
      <c r="I353" s="13">
        <v>5</v>
      </c>
      <c r="J353" s="15">
        <v>80132</v>
      </c>
      <c r="K353" s="15">
        <v>320528</v>
      </c>
      <c r="L353" s="15">
        <v>256143.5473186849</v>
      </c>
      <c r="M353" s="15">
        <v>64384.452681315131</v>
      </c>
    </row>
    <row r="354" spans="1:13" x14ac:dyDescent="0.25">
      <c r="A354" s="12">
        <v>45279</v>
      </c>
      <c r="B354" s="12" t="s">
        <v>19</v>
      </c>
      <c r="C354" s="12" t="s">
        <v>21</v>
      </c>
      <c r="D354" s="12" t="s">
        <v>27</v>
      </c>
      <c r="E354" s="13">
        <v>79280</v>
      </c>
      <c r="F354" s="14">
        <v>25</v>
      </c>
      <c r="G354" s="15">
        <v>3259</v>
      </c>
      <c r="H354" s="16">
        <v>0</v>
      </c>
      <c r="I354" s="13">
        <v>3</v>
      </c>
      <c r="J354" s="15">
        <v>0</v>
      </c>
      <c r="K354" s="15">
        <v>81475</v>
      </c>
      <c r="L354" s="15">
        <v>59009.097048591248</v>
      </c>
      <c r="M354" s="15">
        <v>22465.902951408749</v>
      </c>
    </row>
    <row r="355" spans="1:13" x14ac:dyDescent="0.25">
      <c r="A355" s="12">
        <v>45280</v>
      </c>
      <c r="B355" s="12" t="s">
        <v>16</v>
      </c>
      <c r="C355" s="12" t="s">
        <v>23</v>
      </c>
      <c r="D355" s="12" t="s">
        <v>26</v>
      </c>
      <c r="E355" s="13">
        <v>57234</v>
      </c>
      <c r="F355" s="14">
        <v>11</v>
      </c>
      <c r="G355" s="15">
        <v>16591</v>
      </c>
      <c r="H355" s="16">
        <v>0.15</v>
      </c>
      <c r="I355" s="13">
        <v>5</v>
      </c>
      <c r="J355" s="15">
        <v>27375.15</v>
      </c>
      <c r="K355" s="15">
        <v>155125.85</v>
      </c>
      <c r="L355" s="15">
        <v>95149.075605847611</v>
      </c>
      <c r="M355" s="15">
        <v>59976.774394152388</v>
      </c>
    </row>
    <row r="356" spans="1:13" x14ac:dyDescent="0.25">
      <c r="A356" s="12">
        <v>45281</v>
      </c>
      <c r="B356" s="12" t="s">
        <v>16</v>
      </c>
      <c r="C356" s="12" t="s">
        <v>23</v>
      </c>
      <c r="D356" s="12" t="s">
        <v>15</v>
      </c>
      <c r="E356" s="13">
        <v>57291</v>
      </c>
      <c r="F356" s="14">
        <v>8</v>
      </c>
      <c r="G356" s="15">
        <v>502</v>
      </c>
      <c r="H356" s="16">
        <v>0.05</v>
      </c>
      <c r="I356" s="13">
        <v>2</v>
      </c>
      <c r="J356" s="15">
        <v>200.8</v>
      </c>
      <c r="K356" s="15">
        <v>3815.2</v>
      </c>
      <c r="L356" s="15">
        <v>3186.9604113924738</v>
      </c>
      <c r="M356" s="15">
        <v>628.239588607526</v>
      </c>
    </row>
    <row r="357" spans="1:13" x14ac:dyDescent="0.25">
      <c r="A357" s="12">
        <v>45282</v>
      </c>
      <c r="B357" s="12" t="s">
        <v>13</v>
      </c>
      <c r="C357" s="12" t="s">
        <v>14</v>
      </c>
      <c r="D357" s="12" t="s">
        <v>22</v>
      </c>
      <c r="E357" s="13">
        <v>15594</v>
      </c>
      <c r="F357" s="14">
        <v>8</v>
      </c>
      <c r="G357" s="15">
        <v>41458</v>
      </c>
      <c r="H357" s="16">
        <v>0.1</v>
      </c>
      <c r="I357" s="13">
        <v>4</v>
      </c>
      <c r="J357" s="15">
        <v>33166.400000000001</v>
      </c>
      <c r="K357" s="15">
        <v>298497.59999999998</v>
      </c>
      <c r="L357" s="15">
        <v>239876.84162955481</v>
      </c>
      <c r="M357" s="15">
        <v>58620.758370445139</v>
      </c>
    </row>
    <row r="358" spans="1:13" x14ac:dyDescent="0.25">
      <c r="A358" s="12">
        <v>45283</v>
      </c>
      <c r="B358" s="12" t="s">
        <v>24</v>
      </c>
      <c r="C358" s="12" t="s">
        <v>21</v>
      </c>
      <c r="D358" s="12" t="s">
        <v>18</v>
      </c>
      <c r="E358" s="13">
        <v>17371</v>
      </c>
      <c r="F358" s="14">
        <v>33</v>
      </c>
      <c r="G358" s="15">
        <v>30660</v>
      </c>
      <c r="H358" s="16">
        <v>0</v>
      </c>
      <c r="I358" s="13">
        <v>5</v>
      </c>
      <c r="J358" s="15">
        <v>0</v>
      </c>
      <c r="K358" s="15">
        <v>1011780</v>
      </c>
      <c r="L358" s="15">
        <v>750580.2302099918</v>
      </c>
      <c r="M358" s="15">
        <v>261199.7697900082</v>
      </c>
    </row>
    <row r="359" spans="1:13" x14ac:dyDescent="0.25">
      <c r="A359" s="12">
        <v>45284</v>
      </c>
      <c r="B359" s="12" t="s">
        <v>16</v>
      </c>
      <c r="C359" s="12" t="s">
        <v>23</v>
      </c>
      <c r="D359" s="12" t="s">
        <v>25</v>
      </c>
      <c r="E359" s="13">
        <v>57315</v>
      </c>
      <c r="F359" s="14">
        <v>7</v>
      </c>
      <c r="G359" s="15">
        <v>21207</v>
      </c>
      <c r="H359" s="16">
        <v>0</v>
      </c>
      <c r="I359" s="13">
        <v>4</v>
      </c>
      <c r="J359" s="15">
        <v>0</v>
      </c>
      <c r="K359" s="15">
        <v>148449</v>
      </c>
      <c r="L359" s="15">
        <v>129139.9245425407</v>
      </c>
      <c r="M359" s="15">
        <v>19309.075457459268</v>
      </c>
    </row>
    <row r="360" spans="1:13" x14ac:dyDescent="0.25">
      <c r="A360" s="12">
        <v>45285</v>
      </c>
      <c r="B360" s="12" t="s">
        <v>19</v>
      </c>
      <c r="C360" s="12" t="s">
        <v>21</v>
      </c>
      <c r="D360" s="12" t="s">
        <v>18</v>
      </c>
      <c r="E360" s="13">
        <v>93564</v>
      </c>
      <c r="F360" s="14">
        <v>38</v>
      </c>
      <c r="G360" s="15">
        <v>15748</v>
      </c>
      <c r="H360" s="16">
        <v>0.2</v>
      </c>
      <c r="I360" s="13">
        <v>2</v>
      </c>
      <c r="J360" s="15">
        <v>119684.8</v>
      </c>
      <c r="K360" s="15">
        <v>478739.20000000001</v>
      </c>
      <c r="L360" s="15">
        <v>335523.36272617028</v>
      </c>
      <c r="M360" s="15">
        <v>143215.8372738297</v>
      </c>
    </row>
    <row r="361" spans="1:13" x14ac:dyDescent="0.25">
      <c r="A361" s="12">
        <v>45286</v>
      </c>
      <c r="B361" s="12" t="s">
        <v>13</v>
      </c>
      <c r="C361" s="12" t="s">
        <v>21</v>
      </c>
      <c r="D361" s="12" t="s">
        <v>15</v>
      </c>
      <c r="E361" s="13">
        <v>89526</v>
      </c>
      <c r="F361" s="14">
        <v>21</v>
      </c>
      <c r="G361" s="15">
        <v>6273</v>
      </c>
      <c r="H361" s="16">
        <v>0</v>
      </c>
      <c r="I361" s="13">
        <v>3</v>
      </c>
      <c r="J361" s="15">
        <v>0</v>
      </c>
      <c r="K361" s="15">
        <v>131733</v>
      </c>
      <c r="L361" s="15">
        <v>90671.365899844022</v>
      </c>
      <c r="M361" s="15">
        <v>41061.634100155978</v>
      </c>
    </row>
    <row r="362" spans="1:13" x14ac:dyDescent="0.25">
      <c r="A362" s="12">
        <v>45287</v>
      </c>
      <c r="B362" s="12" t="s">
        <v>16</v>
      </c>
      <c r="C362" s="12" t="s">
        <v>21</v>
      </c>
      <c r="D362" s="12" t="s">
        <v>27</v>
      </c>
      <c r="E362" s="13">
        <v>26626</v>
      </c>
      <c r="F362" s="14">
        <v>8</v>
      </c>
      <c r="G362" s="15">
        <v>13286</v>
      </c>
      <c r="H362" s="16">
        <v>0.05</v>
      </c>
      <c r="I362" s="13">
        <v>4</v>
      </c>
      <c r="J362" s="15">
        <v>5314.4000000000005</v>
      </c>
      <c r="K362" s="15">
        <v>100973.6</v>
      </c>
      <c r="L362" s="15">
        <v>87022.976103012494</v>
      </c>
      <c r="M362" s="15">
        <v>13950.62389698751</v>
      </c>
    </row>
    <row r="363" spans="1:13" x14ac:dyDescent="0.25">
      <c r="A363" s="12">
        <v>45288</v>
      </c>
      <c r="B363" s="12" t="s">
        <v>19</v>
      </c>
      <c r="C363" s="12" t="s">
        <v>20</v>
      </c>
      <c r="D363" s="12" t="s">
        <v>25</v>
      </c>
      <c r="E363" s="13">
        <v>96005</v>
      </c>
      <c r="F363" s="14">
        <v>21</v>
      </c>
      <c r="G363" s="15">
        <v>15537</v>
      </c>
      <c r="H363" s="16">
        <v>0.2</v>
      </c>
      <c r="I363" s="13">
        <v>2</v>
      </c>
      <c r="J363" s="15">
        <v>65255.4</v>
      </c>
      <c r="K363" s="15">
        <v>261021.6</v>
      </c>
      <c r="L363" s="15">
        <v>219022.25784763141</v>
      </c>
      <c r="M363" s="15">
        <v>41999.342152368597</v>
      </c>
    </row>
    <row r="364" spans="1:13" x14ac:dyDescent="0.25">
      <c r="A364" s="12">
        <v>45289</v>
      </c>
      <c r="B364" s="12" t="s">
        <v>19</v>
      </c>
      <c r="C364" s="12" t="s">
        <v>21</v>
      </c>
      <c r="D364" s="12" t="s">
        <v>22</v>
      </c>
      <c r="E364" s="13">
        <v>17130</v>
      </c>
      <c r="F364" s="14">
        <v>20</v>
      </c>
      <c r="G364" s="15">
        <v>2385</v>
      </c>
      <c r="H364" s="16">
        <v>0</v>
      </c>
      <c r="I364" s="13">
        <v>4</v>
      </c>
      <c r="J364" s="15">
        <v>0</v>
      </c>
      <c r="K364" s="15">
        <v>47700</v>
      </c>
      <c r="L364" s="15">
        <v>35989.361090377817</v>
      </c>
      <c r="M364" s="15">
        <v>11710.638909622179</v>
      </c>
    </row>
    <row r="365" spans="1:13" x14ac:dyDescent="0.25">
      <c r="A365" s="12">
        <v>45290</v>
      </c>
      <c r="B365" s="12" t="s">
        <v>24</v>
      </c>
      <c r="C365" s="12" t="s">
        <v>20</v>
      </c>
      <c r="D365" s="12" t="s">
        <v>15</v>
      </c>
      <c r="E365" s="13">
        <v>16828</v>
      </c>
      <c r="F365" s="14">
        <v>8</v>
      </c>
      <c r="G365" s="15">
        <v>40328</v>
      </c>
      <c r="H365" s="16">
        <v>0.1</v>
      </c>
      <c r="I365" s="13">
        <v>5</v>
      </c>
      <c r="J365" s="15">
        <v>32262.400000000001</v>
      </c>
      <c r="K365" s="15">
        <v>290361.59999999998</v>
      </c>
      <c r="L365" s="15">
        <v>185605.06443736929</v>
      </c>
      <c r="M365" s="15">
        <v>104756.5355626307</v>
      </c>
    </row>
    <row r="366" spans="1:13" x14ac:dyDescent="0.25">
      <c r="A366" s="12">
        <v>45291</v>
      </c>
      <c r="B366" s="12" t="s">
        <v>13</v>
      </c>
      <c r="C366" s="12" t="s">
        <v>14</v>
      </c>
      <c r="D366" s="12" t="s">
        <v>25</v>
      </c>
      <c r="E366" s="13">
        <v>67514</v>
      </c>
      <c r="F366" s="14">
        <v>46</v>
      </c>
      <c r="G366" s="15">
        <v>16831</v>
      </c>
      <c r="H366" s="16">
        <v>0.05</v>
      </c>
      <c r="I366" s="13">
        <v>2</v>
      </c>
      <c r="J366" s="15">
        <v>38711.300000000003</v>
      </c>
      <c r="K366" s="15">
        <v>735514.7</v>
      </c>
      <c r="L366" s="15">
        <v>488765.28864395298</v>
      </c>
      <c r="M366" s="15">
        <v>246749.411356047</v>
      </c>
    </row>
    <row r="367" spans="1:13" x14ac:dyDescent="0.25">
      <c r="A367" s="12">
        <v>45292</v>
      </c>
      <c r="B367" s="12" t="s">
        <v>13</v>
      </c>
      <c r="C367" s="12" t="s">
        <v>23</v>
      </c>
      <c r="D367" s="12" t="s">
        <v>15</v>
      </c>
      <c r="E367" s="13">
        <v>62664</v>
      </c>
      <c r="F367" s="14">
        <v>31</v>
      </c>
      <c r="G367" s="15">
        <v>41112</v>
      </c>
      <c r="H367" s="16">
        <v>0.1</v>
      </c>
      <c r="I367" s="13">
        <v>5</v>
      </c>
      <c r="J367" s="15">
        <v>127447.2</v>
      </c>
      <c r="K367" s="15">
        <v>1147024.8</v>
      </c>
      <c r="L367" s="15">
        <v>914027.81383591902</v>
      </c>
      <c r="M367" s="15">
        <v>232996.986164081</v>
      </c>
    </row>
    <row r="368" spans="1:13" x14ac:dyDescent="0.25">
      <c r="A368" s="12">
        <v>45293</v>
      </c>
      <c r="B368" s="12" t="s">
        <v>24</v>
      </c>
      <c r="C368" s="12" t="s">
        <v>23</v>
      </c>
      <c r="D368" s="12" t="s">
        <v>15</v>
      </c>
      <c r="E368" s="13">
        <v>27883</v>
      </c>
      <c r="F368" s="14">
        <v>29</v>
      </c>
      <c r="G368" s="15">
        <v>22995</v>
      </c>
      <c r="H368" s="16">
        <v>0.1</v>
      </c>
      <c r="I368" s="13">
        <v>1</v>
      </c>
      <c r="J368" s="15">
        <v>66685.5</v>
      </c>
      <c r="K368" s="15">
        <v>600169.5</v>
      </c>
      <c r="L368" s="15">
        <v>429428.70215821831</v>
      </c>
      <c r="M368" s="15">
        <v>170740.79784178169</v>
      </c>
    </row>
    <row r="369" spans="1:13" x14ac:dyDescent="0.25">
      <c r="A369" s="12">
        <v>45294</v>
      </c>
      <c r="B369" s="12" t="s">
        <v>24</v>
      </c>
      <c r="C369" s="12" t="s">
        <v>23</v>
      </c>
      <c r="D369" s="12" t="s">
        <v>22</v>
      </c>
      <c r="E369" s="13">
        <v>53059</v>
      </c>
      <c r="F369" s="14">
        <v>48</v>
      </c>
      <c r="G369" s="15">
        <v>13950</v>
      </c>
      <c r="H369" s="16">
        <v>0.2</v>
      </c>
      <c r="I369" s="13">
        <v>2</v>
      </c>
      <c r="J369" s="15">
        <v>133920</v>
      </c>
      <c r="K369" s="15">
        <v>535680</v>
      </c>
      <c r="L369" s="15">
        <v>455832.58779348817</v>
      </c>
      <c r="M369" s="15">
        <v>79847.41220651177</v>
      </c>
    </row>
    <row r="370" spans="1:13" x14ac:dyDescent="0.25">
      <c r="A370" s="12">
        <v>45295</v>
      </c>
      <c r="B370" s="12" t="s">
        <v>13</v>
      </c>
      <c r="C370" s="12" t="s">
        <v>23</v>
      </c>
      <c r="D370" s="12" t="s">
        <v>26</v>
      </c>
      <c r="E370" s="13">
        <v>94078</v>
      </c>
      <c r="F370" s="14">
        <v>9</v>
      </c>
      <c r="G370" s="15">
        <v>9991</v>
      </c>
      <c r="H370" s="16">
        <v>0.15</v>
      </c>
      <c r="I370" s="13">
        <v>4</v>
      </c>
      <c r="J370" s="15">
        <v>13487.85</v>
      </c>
      <c r="K370" s="15">
        <v>76431.149999999994</v>
      </c>
      <c r="L370" s="15">
        <v>67640.536143456324</v>
      </c>
      <c r="M370" s="15">
        <v>8790.6138565436704</v>
      </c>
    </row>
    <row r="371" spans="1:13" x14ac:dyDescent="0.25">
      <c r="A371" s="12">
        <v>45296</v>
      </c>
      <c r="B371" s="12" t="s">
        <v>13</v>
      </c>
      <c r="C371" s="12" t="s">
        <v>23</v>
      </c>
      <c r="D371" s="12" t="s">
        <v>25</v>
      </c>
      <c r="E371" s="13">
        <v>52932</v>
      </c>
      <c r="F371" s="14">
        <v>15</v>
      </c>
      <c r="G371" s="15">
        <v>9768</v>
      </c>
      <c r="H371" s="16">
        <v>0.2</v>
      </c>
      <c r="I371" s="13">
        <v>1</v>
      </c>
      <c r="J371" s="15">
        <v>29304</v>
      </c>
      <c r="K371" s="15">
        <v>117216</v>
      </c>
      <c r="L371" s="15">
        <v>98659.661349907445</v>
      </c>
      <c r="M371" s="15">
        <v>18556.338650092559</v>
      </c>
    </row>
    <row r="372" spans="1:13" x14ac:dyDescent="0.25">
      <c r="A372" s="12">
        <v>45297</v>
      </c>
      <c r="B372" s="12" t="s">
        <v>16</v>
      </c>
      <c r="C372" s="12" t="s">
        <v>23</v>
      </c>
      <c r="D372" s="12" t="s">
        <v>22</v>
      </c>
      <c r="E372" s="13">
        <v>71269</v>
      </c>
      <c r="F372" s="14">
        <v>30</v>
      </c>
      <c r="G372" s="15">
        <v>28257</v>
      </c>
      <c r="H372" s="16">
        <v>0.05</v>
      </c>
      <c r="I372" s="13">
        <v>5</v>
      </c>
      <c r="J372" s="15">
        <v>42385.5</v>
      </c>
      <c r="K372" s="15">
        <v>805324.5</v>
      </c>
      <c r="L372" s="15">
        <v>574408.67370035569</v>
      </c>
      <c r="M372" s="15">
        <v>230915.82629964431</v>
      </c>
    </row>
    <row r="373" spans="1:13" x14ac:dyDescent="0.25">
      <c r="A373" s="12">
        <v>45298</v>
      </c>
      <c r="B373" s="12" t="s">
        <v>16</v>
      </c>
      <c r="C373" s="12" t="s">
        <v>23</v>
      </c>
      <c r="D373" s="12" t="s">
        <v>15</v>
      </c>
      <c r="E373" s="13">
        <v>85986</v>
      </c>
      <c r="F373" s="14">
        <v>26</v>
      </c>
      <c r="G373" s="15">
        <v>42407</v>
      </c>
      <c r="H373" s="16">
        <v>0.05</v>
      </c>
      <c r="I373" s="13">
        <v>5</v>
      </c>
      <c r="J373" s="15">
        <v>55129.100000000013</v>
      </c>
      <c r="K373" s="15">
        <v>1047452.9</v>
      </c>
      <c r="L373" s="15">
        <v>876305.30624672992</v>
      </c>
      <c r="M373" s="15">
        <v>171147.59375327011</v>
      </c>
    </row>
    <row r="374" spans="1:13" x14ac:dyDescent="0.25">
      <c r="A374" s="12">
        <v>45299</v>
      </c>
      <c r="B374" s="12" t="s">
        <v>24</v>
      </c>
      <c r="C374" s="12" t="s">
        <v>14</v>
      </c>
      <c r="D374" s="12" t="s">
        <v>22</v>
      </c>
      <c r="E374" s="13">
        <v>95959</v>
      </c>
      <c r="F374" s="14">
        <v>10</v>
      </c>
      <c r="G374" s="15">
        <v>7291</v>
      </c>
      <c r="H374" s="16">
        <v>0.2</v>
      </c>
      <c r="I374" s="13">
        <v>4</v>
      </c>
      <c r="J374" s="15">
        <v>14582</v>
      </c>
      <c r="K374" s="15">
        <v>58328</v>
      </c>
      <c r="L374" s="15">
        <v>41146.466979059413</v>
      </c>
      <c r="M374" s="15">
        <v>17181.533020940591</v>
      </c>
    </row>
    <row r="375" spans="1:13" x14ac:dyDescent="0.25">
      <c r="A375" s="12">
        <v>45300</v>
      </c>
      <c r="B375" s="12" t="s">
        <v>16</v>
      </c>
      <c r="C375" s="12" t="s">
        <v>21</v>
      </c>
      <c r="D375" s="12" t="s">
        <v>26</v>
      </c>
      <c r="E375" s="13">
        <v>12035</v>
      </c>
      <c r="F375" s="14">
        <v>29</v>
      </c>
      <c r="G375" s="15">
        <v>40439</v>
      </c>
      <c r="H375" s="16">
        <v>0.15</v>
      </c>
      <c r="I375" s="13">
        <v>1</v>
      </c>
      <c r="J375" s="15">
        <v>175909.65</v>
      </c>
      <c r="K375" s="15">
        <v>996821.35</v>
      </c>
      <c r="L375" s="15">
        <v>648063.49052149733</v>
      </c>
      <c r="M375" s="15">
        <v>348757.85947850271</v>
      </c>
    </row>
    <row r="376" spans="1:13" x14ac:dyDescent="0.25">
      <c r="A376" s="12">
        <v>45301</v>
      </c>
      <c r="B376" s="12" t="s">
        <v>19</v>
      </c>
      <c r="C376" s="12" t="s">
        <v>17</v>
      </c>
      <c r="D376" s="12" t="s">
        <v>18</v>
      </c>
      <c r="E376" s="13">
        <v>50745</v>
      </c>
      <c r="F376" s="14">
        <v>16</v>
      </c>
      <c r="G376" s="15">
        <v>28814</v>
      </c>
      <c r="H376" s="16">
        <v>0.2</v>
      </c>
      <c r="I376" s="13">
        <v>3</v>
      </c>
      <c r="J376" s="15">
        <v>92204.800000000003</v>
      </c>
      <c r="K376" s="15">
        <v>368819.20000000001</v>
      </c>
      <c r="L376" s="15">
        <v>224986.33653121849</v>
      </c>
      <c r="M376" s="15">
        <v>143832.86346878149</v>
      </c>
    </row>
    <row r="377" spans="1:13" x14ac:dyDescent="0.25">
      <c r="A377" s="12">
        <v>45302</v>
      </c>
      <c r="B377" s="12" t="s">
        <v>16</v>
      </c>
      <c r="C377" s="12" t="s">
        <v>20</v>
      </c>
      <c r="D377" s="12" t="s">
        <v>25</v>
      </c>
      <c r="E377" s="13">
        <v>27241</v>
      </c>
      <c r="F377" s="14">
        <v>36</v>
      </c>
      <c r="G377" s="15">
        <v>29083</v>
      </c>
      <c r="H377" s="16">
        <v>0.05</v>
      </c>
      <c r="I377" s="13">
        <v>4</v>
      </c>
      <c r="J377" s="15">
        <v>52349.4</v>
      </c>
      <c r="K377" s="15">
        <v>994638.6</v>
      </c>
      <c r="L377" s="15">
        <v>711877.77935316693</v>
      </c>
      <c r="M377" s="15">
        <v>282760.82064683299</v>
      </c>
    </row>
    <row r="378" spans="1:13" x14ac:dyDescent="0.25">
      <c r="A378" s="12">
        <v>45303</v>
      </c>
      <c r="B378" s="12" t="s">
        <v>16</v>
      </c>
      <c r="C378" s="12" t="s">
        <v>17</v>
      </c>
      <c r="D378" s="12" t="s">
        <v>26</v>
      </c>
      <c r="E378" s="13">
        <v>62975</v>
      </c>
      <c r="F378" s="14">
        <v>20</v>
      </c>
      <c r="G378" s="15">
        <v>22050</v>
      </c>
      <c r="H378" s="16">
        <v>0.15</v>
      </c>
      <c r="I378" s="13">
        <v>5</v>
      </c>
      <c r="J378" s="15">
        <v>66150</v>
      </c>
      <c r="K378" s="15">
        <v>374850</v>
      </c>
      <c r="L378" s="15">
        <v>326519.76149727788</v>
      </c>
      <c r="M378" s="15">
        <v>48330.238502722117</v>
      </c>
    </row>
    <row r="379" spans="1:13" x14ac:dyDescent="0.25">
      <c r="A379" s="12">
        <v>45304</v>
      </c>
      <c r="B379" s="12" t="s">
        <v>19</v>
      </c>
      <c r="C379" s="12" t="s">
        <v>17</v>
      </c>
      <c r="D379" s="12" t="s">
        <v>27</v>
      </c>
      <c r="E379" s="13">
        <v>33154</v>
      </c>
      <c r="F379" s="14">
        <v>45</v>
      </c>
      <c r="G379" s="15">
        <v>593</v>
      </c>
      <c r="H379" s="16">
        <v>0.05</v>
      </c>
      <c r="I379" s="13">
        <v>2</v>
      </c>
      <c r="J379" s="15">
        <v>1334.25</v>
      </c>
      <c r="K379" s="15">
        <v>25350.75</v>
      </c>
      <c r="L379" s="15">
        <v>17027.99677186416</v>
      </c>
      <c r="M379" s="15">
        <v>8322.7532281358363</v>
      </c>
    </row>
    <row r="380" spans="1:13" x14ac:dyDescent="0.25">
      <c r="A380" s="12">
        <v>45305</v>
      </c>
      <c r="B380" s="12" t="s">
        <v>24</v>
      </c>
      <c r="C380" s="12" t="s">
        <v>21</v>
      </c>
      <c r="D380" s="12" t="s">
        <v>25</v>
      </c>
      <c r="E380" s="13">
        <v>35625</v>
      </c>
      <c r="F380" s="14">
        <v>37</v>
      </c>
      <c r="G380" s="15">
        <v>36255</v>
      </c>
      <c r="H380" s="16">
        <v>0.15</v>
      </c>
      <c r="I380" s="13">
        <v>1</v>
      </c>
      <c r="J380" s="15">
        <v>201215.25</v>
      </c>
      <c r="K380" s="15">
        <v>1140219.75</v>
      </c>
      <c r="L380" s="15">
        <v>754772.96678638412</v>
      </c>
      <c r="M380" s="15">
        <v>385446.78321361588</v>
      </c>
    </row>
    <row r="381" spans="1:13" x14ac:dyDescent="0.25">
      <c r="A381" s="12">
        <v>45306</v>
      </c>
      <c r="B381" s="12" t="s">
        <v>19</v>
      </c>
      <c r="C381" s="12" t="s">
        <v>21</v>
      </c>
      <c r="D381" s="12" t="s">
        <v>26</v>
      </c>
      <c r="E381" s="13">
        <v>54950</v>
      </c>
      <c r="F381" s="14">
        <v>22</v>
      </c>
      <c r="G381" s="15">
        <v>46115</v>
      </c>
      <c r="H381" s="16">
        <v>0.15</v>
      </c>
      <c r="I381" s="13">
        <v>3</v>
      </c>
      <c r="J381" s="15">
        <v>152179.5</v>
      </c>
      <c r="K381" s="15">
        <v>862350.5</v>
      </c>
      <c r="L381" s="15">
        <v>768307.93171890115</v>
      </c>
      <c r="M381" s="15">
        <v>94042.568281098851</v>
      </c>
    </row>
    <row r="382" spans="1:13" x14ac:dyDescent="0.25">
      <c r="A382" s="12">
        <v>45307</v>
      </c>
      <c r="B382" s="12" t="s">
        <v>16</v>
      </c>
      <c r="C382" s="12" t="s">
        <v>21</v>
      </c>
      <c r="D382" s="12" t="s">
        <v>15</v>
      </c>
      <c r="E382" s="13">
        <v>66396</v>
      </c>
      <c r="F382" s="14">
        <v>7</v>
      </c>
      <c r="G382" s="15">
        <v>10467</v>
      </c>
      <c r="H382" s="16">
        <v>0.2</v>
      </c>
      <c r="I382" s="13">
        <v>2</v>
      </c>
      <c r="J382" s="15">
        <v>14653.8</v>
      </c>
      <c r="K382" s="15">
        <v>58615.199999999997</v>
      </c>
      <c r="L382" s="15">
        <v>35608.806322668002</v>
      </c>
      <c r="M382" s="15">
        <v>23006.393677331991</v>
      </c>
    </row>
    <row r="383" spans="1:13" x14ac:dyDescent="0.25">
      <c r="A383" s="12">
        <v>45308</v>
      </c>
      <c r="B383" s="12" t="s">
        <v>24</v>
      </c>
      <c r="C383" s="12" t="s">
        <v>23</v>
      </c>
      <c r="D383" s="12" t="s">
        <v>25</v>
      </c>
      <c r="E383" s="13">
        <v>23331</v>
      </c>
      <c r="F383" s="14">
        <v>23</v>
      </c>
      <c r="G383" s="15">
        <v>16718</v>
      </c>
      <c r="H383" s="16">
        <v>0.2</v>
      </c>
      <c r="I383" s="13">
        <v>1</v>
      </c>
      <c r="J383" s="15">
        <v>76902.8</v>
      </c>
      <c r="K383" s="15">
        <v>307611.2</v>
      </c>
      <c r="L383" s="15">
        <v>257081.33706636101</v>
      </c>
      <c r="M383" s="15">
        <v>50529.86293363903</v>
      </c>
    </row>
    <row r="384" spans="1:13" x14ac:dyDescent="0.25">
      <c r="A384" s="12">
        <v>45309</v>
      </c>
      <c r="B384" s="12" t="s">
        <v>16</v>
      </c>
      <c r="C384" s="12" t="s">
        <v>14</v>
      </c>
      <c r="D384" s="12" t="s">
        <v>25</v>
      </c>
      <c r="E384" s="13">
        <v>73927</v>
      </c>
      <c r="F384" s="14">
        <v>41</v>
      </c>
      <c r="G384" s="15">
        <v>43720</v>
      </c>
      <c r="H384" s="16">
        <v>0.2</v>
      </c>
      <c r="I384" s="13">
        <v>4</v>
      </c>
      <c r="J384" s="15">
        <v>358504</v>
      </c>
      <c r="K384" s="15">
        <v>1434016</v>
      </c>
      <c r="L384" s="15">
        <v>998664.49753550999</v>
      </c>
      <c r="M384" s="15">
        <v>435351.50246449001</v>
      </c>
    </row>
    <row r="385" spans="1:13" x14ac:dyDescent="0.25">
      <c r="A385" s="12">
        <v>45310</v>
      </c>
      <c r="B385" s="12" t="s">
        <v>19</v>
      </c>
      <c r="C385" s="12" t="s">
        <v>23</v>
      </c>
      <c r="D385" s="12" t="s">
        <v>22</v>
      </c>
      <c r="E385" s="13">
        <v>96226</v>
      </c>
      <c r="F385" s="14">
        <v>40</v>
      </c>
      <c r="G385" s="15">
        <v>9127</v>
      </c>
      <c r="H385" s="16">
        <v>0.15</v>
      </c>
      <c r="I385" s="13">
        <v>4</v>
      </c>
      <c r="J385" s="15">
        <v>54762</v>
      </c>
      <c r="K385" s="15">
        <v>310318</v>
      </c>
      <c r="L385" s="15">
        <v>189680.7563399637</v>
      </c>
      <c r="M385" s="15">
        <v>120637.2436600363</v>
      </c>
    </row>
    <row r="386" spans="1:13" x14ac:dyDescent="0.25">
      <c r="A386" s="12">
        <v>45311</v>
      </c>
      <c r="B386" s="12" t="s">
        <v>19</v>
      </c>
      <c r="C386" s="12" t="s">
        <v>14</v>
      </c>
      <c r="D386" s="12" t="s">
        <v>15</v>
      </c>
      <c r="E386" s="13">
        <v>94719</v>
      </c>
      <c r="F386" s="14">
        <v>29</v>
      </c>
      <c r="G386" s="15">
        <v>5447</v>
      </c>
      <c r="H386" s="16">
        <v>0.15</v>
      </c>
      <c r="I386" s="13">
        <v>1</v>
      </c>
      <c r="J386" s="15">
        <v>23694.45</v>
      </c>
      <c r="K386" s="15">
        <v>134268.54999999999</v>
      </c>
      <c r="L386" s="15">
        <v>117530.7348780772</v>
      </c>
      <c r="M386" s="15">
        <v>16737.815121922758</v>
      </c>
    </row>
    <row r="387" spans="1:13" x14ac:dyDescent="0.25">
      <c r="A387" s="12">
        <v>45312</v>
      </c>
      <c r="B387" s="12" t="s">
        <v>16</v>
      </c>
      <c r="C387" s="12" t="s">
        <v>14</v>
      </c>
      <c r="D387" s="12" t="s">
        <v>27</v>
      </c>
      <c r="E387" s="13">
        <v>73014</v>
      </c>
      <c r="F387" s="14">
        <v>16</v>
      </c>
      <c r="G387" s="15">
        <v>39919</v>
      </c>
      <c r="H387" s="16">
        <v>0.05</v>
      </c>
      <c r="I387" s="13">
        <v>3</v>
      </c>
      <c r="J387" s="15">
        <v>31935.200000000001</v>
      </c>
      <c r="K387" s="15">
        <v>606768.80000000005</v>
      </c>
      <c r="L387" s="15">
        <v>389480.46273914177</v>
      </c>
      <c r="M387" s="15">
        <v>217288.33726085821</v>
      </c>
    </row>
    <row r="388" spans="1:13" x14ac:dyDescent="0.25">
      <c r="A388" s="12">
        <v>45313</v>
      </c>
      <c r="B388" s="12" t="s">
        <v>13</v>
      </c>
      <c r="C388" s="12" t="s">
        <v>17</v>
      </c>
      <c r="D388" s="12" t="s">
        <v>18</v>
      </c>
      <c r="E388" s="13">
        <v>49346</v>
      </c>
      <c r="F388" s="14">
        <v>38</v>
      </c>
      <c r="G388" s="15">
        <v>23678</v>
      </c>
      <c r="H388" s="16">
        <v>0.1</v>
      </c>
      <c r="I388" s="13">
        <v>1</v>
      </c>
      <c r="J388" s="15">
        <v>89976.400000000009</v>
      </c>
      <c r="K388" s="15">
        <v>809787.6</v>
      </c>
      <c r="L388" s="15">
        <v>619919.76656938496</v>
      </c>
      <c r="M388" s="15">
        <v>189867.83343061499</v>
      </c>
    </row>
    <row r="389" spans="1:13" x14ac:dyDescent="0.25">
      <c r="A389" s="12">
        <v>45314</v>
      </c>
      <c r="B389" s="12" t="s">
        <v>13</v>
      </c>
      <c r="C389" s="12" t="s">
        <v>17</v>
      </c>
      <c r="D389" s="12" t="s">
        <v>26</v>
      </c>
      <c r="E389" s="13">
        <v>80411</v>
      </c>
      <c r="F389" s="14">
        <v>28</v>
      </c>
      <c r="G389" s="15">
        <v>29376</v>
      </c>
      <c r="H389" s="16">
        <v>0.2</v>
      </c>
      <c r="I389" s="13">
        <v>2</v>
      </c>
      <c r="J389" s="15">
        <v>164505.60000000001</v>
      </c>
      <c r="K389" s="15">
        <v>658022.40000000002</v>
      </c>
      <c r="L389" s="15">
        <v>448913.5821908667</v>
      </c>
      <c r="M389" s="15">
        <v>209108.8178091333</v>
      </c>
    </row>
    <row r="390" spans="1:13" x14ac:dyDescent="0.25">
      <c r="A390" s="12">
        <v>45315</v>
      </c>
      <c r="B390" s="12" t="s">
        <v>19</v>
      </c>
      <c r="C390" s="12" t="s">
        <v>14</v>
      </c>
      <c r="D390" s="12" t="s">
        <v>22</v>
      </c>
      <c r="E390" s="13">
        <v>64478</v>
      </c>
      <c r="F390" s="14">
        <v>48</v>
      </c>
      <c r="G390" s="15">
        <v>23408</v>
      </c>
      <c r="H390" s="16">
        <v>0.05</v>
      </c>
      <c r="I390" s="13">
        <v>2</v>
      </c>
      <c r="J390" s="15">
        <v>56179.199999999997</v>
      </c>
      <c r="K390" s="15">
        <v>1067404.8</v>
      </c>
      <c r="L390" s="15">
        <v>661319.01299321698</v>
      </c>
      <c r="M390" s="15">
        <v>406085.78700678312</v>
      </c>
    </row>
    <row r="391" spans="1:13" x14ac:dyDescent="0.25">
      <c r="A391" s="12">
        <v>45316</v>
      </c>
      <c r="B391" s="12" t="s">
        <v>19</v>
      </c>
      <c r="C391" s="12" t="s">
        <v>14</v>
      </c>
      <c r="D391" s="12" t="s">
        <v>26</v>
      </c>
      <c r="E391" s="13">
        <v>22254</v>
      </c>
      <c r="F391" s="14">
        <v>38</v>
      </c>
      <c r="G391" s="15">
        <v>36412</v>
      </c>
      <c r="H391" s="16">
        <v>0.05</v>
      </c>
      <c r="I391" s="13">
        <v>4</v>
      </c>
      <c r="J391" s="15">
        <v>69182.8</v>
      </c>
      <c r="K391" s="15">
        <v>1314473.2</v>
      </c>
      <c r="L391" s="15">
        <v>808370.45084456878</v>
      </c>
      <c r="M391" s="15">
        <v>506102.74915543117</v>
      </c>
    </row>
    <row r="392" spans="1:13" x14ac:dyDescent="0.25">
      <c r="A392" s="12">
        <v>45317</v>
      </c>
      <c r="B392" s="12" t="s">
        <v>13</v>
      </c>
      <c r="C392" s="12" t="s">
        <v>23</v>
      </c>
      <c r="D392" s="12" t="s">
        <v>27</v>
      </c>
      <c r="E392" s="13">
        <v>65734</v>
      </c>
      <c r="F392" s="14">
        <v>31</v>
      </c>
      <c r="G392" s="15">
        <v>20471</v>
      </c>
      <c r="H392" s="16">
        <v>0</v>
      </c>
      <c r="I392" s="13">
        <v>1</v>
      </c>
      <c r="J392" s="15">
        <v>0</v>
      </c>
      <c r="K392" s="15">
        <v>634601</v>
      </c>
      <c r="L392" s="15">
        <v>402760.31899147178</v>
      </c>
      <c r="M392" s="15">
        <v>231840.68100852819</v>
      </c>
    </row>
    <row r="393" spans="1:13" x14ac:dyDescent="0.25">
      <c r="A393" s="12">
        <v>45318</v>
      </c>
      <c r="B393" s="12" t="s">
        <v>13</v>
      </c>
      <c r="C393" s="12" t="s">
        <v>23</v>
      </c>
      <c r="D393" s="12" t="s">
        <v>27</v>
      </c>
      <c r="E393" s="13">
        <v>38621</v>
      </c>
      <c r="F393" s="14">
        <v>14</v>
      </c>
      <c r="G393" s="15">
        <v>33084</v>
      </c>
      <c r="H393" s="16">
        <v>0.2</v>
      </c>
      <c r="I393" s="13">
        <v>4</v>
      </c>
      <c r="J393" s="15">
        <v>92635.200000000012</v>
      </c>
      <c r="K393" s="15">
        <v>370540.79999999999</v>
      </c>
      <c r="L393" s="15">
        <v>230257.79712605459</v>
      </c>
      <c r="M393" s="15">
        <v>140283.0028739454</v>
      </c>
    </row>
    <row r="394" spans="1:13" x14ac:dyDescent="0.25">
      <c r="A394" s="12">
        <v>45319</v>
      </c>
      <c r="B394" s="12" t="s">
        <v>16</v>
      </c>
      <c r="C394" s="12" t="s">
        <v>17</v>
      </c>
      <c r="D394" s="12" t="s">
        <v>25</v>
      </c>
      <c r="E394" s="13">
        <v>86441</v>
      </c>
      <c r="F394" s="14">
        <v>33</v>
      </c>
      <c r="G394" s="15">
        <v>49728</v>
      </c>
      <c r="H394" s="16">
        <v>0.05</v>
      </c>
      <c r="I394" s="13">
        <v>3</v>
      </c>
      <c r="J394" s="15">
        <v>82051.200000000012</v>
      </c>
      <c r="K394" s="15">
        <v>1558972.8</v>
      </c>
      <c r="L394" s="15">
        <v>1291090.504474445</v>
      </c>
      <c r="M394" s="15">
        <v>267882.2955255548</v>
      </c>
    </row>
    <row r="395" spans="1:13" x14ac:dyDescent="0.25">
      <c r="A395" s="12">
        <v>45320</v>
      </c>
      <c r="B395" s="12" t="s">
        <v>16</v>
      </c>
      <c r="C395" s="12" t="s">
        <v>21</v>
      </c>
      <c r="D395" s="12" t="s">
        <v>27</v>
      </c>
      <c r="E395" s="13">
        <v>56121</v>
      </c>
      <c r="F395" s="14">
        <v>9</v>
      </c>
      <c r="G395" s="15">
        <v>9459</v>
      </c>
      <c r="H395" s="16">
        <v>0</v>
      </c>
      <c r="I395" s="13">
        <v>2</v>
      </c>
      <c r="J395" s="15">
        <v>0</v>
      </c>
      <c r="K395" s="15">
        <v>85131</v>
      </c>
      <c r="L395" s="15">
        <v>63479.62090997718</v>
      </c>
      <c r="M395" s="15">
        <v>21651.37909002282</v>
      </c>
    </row>
    <row r="396" spans="1:13" x14ac:dyDescent="0.25">
      <c r="A396" s="12">
        <v>45321</v>
      </c>
      <c r="B396" s="12" t="s">
        <v>13</v>
      </c>
      <c r="C396" s="12" t="s">
        <v>14</v>
      </c>
      <c r="D396" s="12" t="s">
        <v>26</v>
      </c>
      <c r="E396" s="13">
        <v>91418</v>
      </c>
      <c r="F396" s="14">
        <v>27</v>
      </c>
      <c r="G396" s="15">
        <v>28761</v>
      </c>
      <c r="H396" s="16">
        <v>0.2</v>
      </c>
      <c r="I396" s="13">
        <v>5</v>
      </c>
      <c r="J396" s="15">
        <v>155309.4</v>
      </c>
      <c r="K396" s="15">
        <v>621237.6</v>
      </c>
      <c r="L396" s="15">
        <v>436647.79796658631</v>
      </c>
      <c r="M396" s="15">
        <v>184589.8020334137</v>
      </c>
    </row>
    <row r="397" spans="1:13" x14ac:dyDescent="0.25">
      <c r="A397" s="12">
        <v>45322</v>
      </c>
      <c r="B397" s="12" t="s">
        <v>16</v>
      </c>
      <c r="C397" s="12" t="s">
        <v>23</v>
      </c>
      <c r="D397" s="12" t="s">
        <v>15</v>
      </c>
      <c r="E397" s="13">
        <v>70197</v>
      </c>
      <c r="F397" s="14">
        <v>24</v>
      </c>
      <c r="G397" s="15">
        <v>41565</v>
      </c>
      <c r="H397" s="16">
        <v>0.15</v>
      </c>
      <c r="I397" s="13">
        <v>5</v>
      </c>
      <c r="J397" s="15">
        <v>149634</v>
      </c>
      <c r="K397" s="15">
        <v>847926</v>
      </c>
      <c r="L397" s="15">
        <v>615179.36294777773</v>
      </c>
      <c r="M397" s="15">
        <v>232746.6370522223</v>
      </c>
    </row>
    <row r="398" spans="1:13" x14ac:dyDescent="0.25">
      <c r="A398" s="12">
        <v>45323</v>
      </c>
      <c r="B398" s="12" t="s">
        <v>16</v>
      </c>
      <c r="C398" s="12" t="s">
        <v>17</v>
      </c>
      <c r="D398" s="12" t="s">
        <v>15</v>
      </c>
      <c r="E398" s="13">
        <v>94577</v>
      </c>
      <c r="F398" s="14">
        <v>13</v>
      </c>
      <c r="G398" s="15">
        <v>39962</v>
      </c>
      <c r="H398" s="16">
        <v>0</v>
      </c>
      <c r="I398" s="13">
        <v>1</v>
      </c>
      <c r="J398" s="15">
        <v>0</v>
      </c>
      <c r="K398" s="15">
        <v>519506</v>
      </c>
      <c r="L398" s="15">
        <v>456481.62084311742</v>
      </c>
      <c r="M398" s="15">
        <v>63024.379156882642</v>
      </c>
    </row>
    <row r="399" spans="1:13" x14ac:dyDescent="0.25">
      <c r="A399" s="12">
        <v>45324</v>
      </c>
      <c r="B399" s="12" t="s">
        <v>24</v>
      </c>
      <c r="C399" s="12" t="s">
        <v>23</v>
      </c>
      <c r="D399" s="12" t="s">
        <v>25</v>
      </c>
      <c r="E399" s="13">
        <v>52431</v>
      </c>
      <c r="F399" s="14">
        <v>26</v>
      </c>
      <c r="G399" s="15">
        <v>16335</v>
      </c>
      <c r="H399" s="16">
        <v>0.15</v>
      </c>
      <c r="I399" s="13">
        <v>1</v>
      </c>
      <c r="J399" s="15">
        <v>63706.5</v>
      </c>
      <c r="K399" s="15">
        <v>361003.5</v>
      </c>
      <c r="L399" s="15">
        <v>315237.47760894481</v>
      </c>
      <c r="M399" s="15">
        <v>45766.022391055238</v>
      </c>
    </row>
    <row r="400" spans="1:13" x14ac:dyDescent="0.25">
      <c r="A400" s="12">
        <v>45325</v>
      </c>
      <c r="B400" s="12" t="s">
        <v>16</v>
      </c>
      <c r="C400" s="12" t="s">
        <v>14</v>
      </c>
      <c r="D400" s="12" t="s">
        <v>18</v>
      </c>
      <c r="E400" s="13">
        <v>14837</v>
      </c>
      <c r="F400" s="14">
        <v>29</v>
      </c>
      <c r="G400" s="15">
        <v>19757</v>
      </c>
      <c r="H400" s="16">
        <v>0.1</v>
      </c>
      <c r="I400" s="13">
        <v>5</v>
      </c>
      <c r="J400" s="15">
        <v>57295.3</v>
      </c>
      <c r="K400" s="15">
        <v>515657.7</v>
      </c>
      <c r="L400" s="15">
        <v>420107.8463052311</v>
      </c>
      <c r="M400" s="15">
        <v>95549.853694768914</v>
      </c>
    </row>
    <row r="401" spans="1:13" x14ac:dyDescent="0.25">
      <c r="A401" s="12">
        <v>45326</v>
      </c>
      <c r="B401" s="12" t="s">
        <v>19</v>
      </c>
      <c r="C401" s="12" t="s">
        <v>14</v>
      </c>
      <c r="D401" s="12" t="s">
        <v>26</v>
      </c>
      <c r="E401" s="13">
        <v>93163</v>
      </c>
      <c r="F401" s="14">
        <v>49</v>
      </c>
      <c r="G401" s="15">
        <v>3846</v>
      </c>
      <c r="H401" s="16">
        <v>0.1</v>
      </c>
      <c r="I401" s="13">
        <v>1</v>
      </c>
      <c r="J401" s="15">
        <v>18845.400000000001</v>
      </c>
      <c r="K401" s="15">
        <v>169608.6</v>
      </c>
      <c r="L401" s="15">
        <v>146780.08184374921</v>
      </c>
      <c r="M401" s="15">
        <v>22828.518156250761</v>
      </c>
    </row>
    <row r="402" spans="1:13" x14ac:dyDescent="0.25">
      <c r="A402" s="12">
        <v>45327</v>
      </c>
      <c r="B402" s="12" t="s">
        <v>16</v>
      </c>
      <c r="C402" s="12" t="s">
        <v>20</v>
      </c>
      <c r="D402" s="12" t="s">
        <v>26</v>
      </c>
      <c r="E402" s="13">
        <v>81232</v>
      </c>
      <c r="F402" s="14">
        <v>43</v>
      </c>
      <c r="G402" s="15">
        <v>31307</v>
      </c>
      <c r="H402" s="16">
        <v>0.1</v>
      </c>
      <c r="I402" s="13">
        <v>2</v>
      </c>
      <c r="J402" s="15">
        <v>134620.1</v>
      </c>
      <c r="K402" s="15">
        <v>1211580.8999999999</v>
      </c>
      <c r="L402" s="15">
        <v>843132.37348435179</v>
      </c>
      <c r="M402" s="15">
        <v>368448.52651564812</v>
      </c>
    </row>
    <row r="403" spans="1:13" x14ac:dyDescent="0.25">
      <c r="A403" s="12">
        <v>45328</v>
      </c>
      <c r="B403" s="12" t="s">
        <v>16</v>
      </c>
      <c r="C403" s="12" t="s">
        <v>21</v>
      </c>
      <c r="D403" s="12" t="s">
        <v>27</v>
      </c>
      <c r="E403" s="13">
        <v>58994</v>
      </c>
      <c r="F403" s="14">
        <v>28</v>
      </c>
      <c r="G403" s="15">
        <v>30918</v>
      </c>
      <c r="H403" s="16">
        <v>0.1</v>
      </c>
      <c r="I403" s="13">
        <v>3</v>
      </c>
      <c r="J403" s="15">
        <v>86570.400000000009</v>
      </c>
      <c r="K403" s="15">
        <v>779133.6</v>
      </c>
      <c r="L403" s="15">
        <v>556560.68434992211</v>
      </c>
      <c r="M403" s="15">
        <v>222572.91565007789</v>
      </c>
    </row>
    <row r="404" spans="1:13" x14ac:dyDescent="0.25">
      <c r="A404" s="12">
        <v>45329</v>
      </c>
      <c r="B404" s="12" t="s">
        <v>13</v>
      </c>
      <c r="C404" s="12" t="s">
        <v>20</v>
      </c>
      <c r="D404" s="12" t="s">
        <v>26</v>
      </c>
      <c r="E404" s="13">
        <v>89079</v>
      </c>
      <c r="F404" s="14">
        <v>28</v>
      </c>
      <c r="G404" s="15">
        <v>11840</v>
      </c>
      <c r="H404" s="16">
        <v>0.05</v>
      </c>
      <c r="I404" s="13">
        <v>3</v>
      </c>
      <c r="J404" s="15">
        <v>16576</v>
      </c>
      <c r="K404" s="15">
        <v>314944</v>
      </c>
      <c r="L404" s="15">
        <v>246951.89082056939</v>
      </c>
      <c r="M404" s="15">
        <v>67992.109179430612</v>
      </c>
    </row>
    <row r="405" spans="1:13" x14ac:dyDescent="0.25">
      <c r="A405" s="12">
        <v>45330</v>
      </c>
      <c r="B405" s="12" t="s">
        <v>19</v>
      </c>
      <c r="C405" s="12" t="s">
        <v>17</v>
      </c>
      <c r="D405" s="12" t="s">
        <v>22</v>
      </c>
      <c r="E405" s="13">
        <v>22615</v>
      </c>
      <c r="F405" s="14">
        <v>8</v>
      </c>
      <c r="G405" s="15">
        <v>33512</v>
      </c>
      <c r="H405" s="16">
        <v>0.1</v>
      </c>
      <c r="I405" s="13">
        <v>4</v>
      </c>
      <c r="J405" s="15">
        <v>26809.599999999999</v>
      </c>
      <c r="K405" s="15">
        <v>241286.39999999999</v>
      </c>
      <c r="L405" s="15">
        <v>189913.577930984</v>
      </c>
      <c r="M405" s="15">
        <v>51372.822069016023</v>
      </c>
    </row>
    <row r="406" spans="1:13" x14ac:dyDescent="0.25">
      <c r="A406" s="12">
        <v>45331</v>
      </c>
      <c r="B406" s="12" t="s">
        <v>16</v>
      </c>
      <c r="C406" s="12" t="s">
        <v>23</v>
      </c>
      <c r="D406" s="12" t="s">
        <v>18</v>
      </c>
      <c r="E406" s="13">
        <v>11466</v>
      </c>
      <c r="F406" s="14">
        <v>23</v>
      </c>
      <c r="G406" s="15">
        <v>35893</v>
      </c>
      <c r="H406" s="16">
        <v>0.05</v>
      </c>
      <c r="I406" s="13">
        <v>2</v>
      </c>
      <c r="J406" s="15">
        <v>41276.949999999997</v>
      </c>
      <c r="K406" s="15">
        <v>784262.05</v>
      </c>
      <c r="L406" s="15">
        <v>583890.900733268</v>
      </c>
      <c r="M406" s="15">
        <v>200371.14926673201</v>
      </c>
    </row>
    <row r="407" spans="1:13" x14ac:dyDescent="0.25">
      <c r="A407" s="12">
        <v>45332</v>
      </c>
      <c r="B407" s="12" t="s">
        <v>16</v>
      </c>
      <c r="C407" s="12" t="s">
        <v>17</v>
      </c>
      <c r="D407" s="12" t="s">
        <v>27</v>
      </c>
      <c r="E407" s="13">
        <v>40771</v>
      </c>
      <c r="F407" s="14">
        <v>29</v>
      </c>
      <c r="G407" s="15">
        <v>37117</v>
      </c>
      <c r="H407" s="16">
        <v>0.05</v>
      </c>
      <c r="I407" s="13">
        <v>1</v>
      </c>
      <c r="J407" s="15">
        <v>53819.65</v>
      </c>
      <c r="K407" s="15">
        <v>1022573.35</v>
      </c>
      <c r="L407" s="15">
        <v>736454.62148429709</v>
      </c>
      <c r="M407" s="15">
        <v>286118.72851570288</v>
      </c>
    </row>
    <row r="408" spans="1:13" x14ac:dyDescent="0.25">
      <c r="A408" s="12">
        <v>45333</v>
      </c>
      <c r="B408" s="12" t="s">
        <v>24</v>
      </c>
      <c r="C408" s="12" t="s">
        <v>14</v>
      </c>
      <c r="D408" s="12" t="s">
        <v>22</v>
      </c>
      <c r="E408" s="13">
        <v>93886</v>
      </c>
      <c r="F408" s="14">
        <v>5</v>
      </c>
      <c r="G408" s="15">
        <v>10097</v>
      </c>
      <c r="H408" s="16">
        <v>0.2</v>
      </c>
      <c r="I408" s="13">
        <v>1</v>
      </c>
      <c r="J408" s="15">
        <v>10097</v>
      </c>
      <c r="K408" s="15">
        <v>40388</v>
      </c>
      <c r="L408" s="15">
        <v>36181.755127575598</v>
      </c>
      <c r="M408" s="15">
        <v>4206.2448724244023</v>
      </c>
    </row>
    <row r="409" spans="1:13" x14ac:dyDescent="0.25">
      <c r="A409" s="12">
        <v>45334</v>
      </c>
      <c r="B409" s="12" t="s">
        <v>16</v>
      </c>
      <c r="C409" s="12" t="s">
        <v>20</v>
      </c>
      <c r="D409" s="12" t="s">
        <v>25</v>
      </c>
      <c r="E409" s="13">
        <v>75911</v>
      </c>
      <c r="F409" s="14">
        <v>42</v>
      </c>
      <c r="G409" s="15">
        <v>26057</v>
      </c>
      <c r="H409" s="16">
        <v>0.05</v>
      </c>
      <c r="I409" s="13">
        <v>4</v>
      </c>
      <c r="J409" s="15">
        <v>54719.7</v>
      </c>
      <c r="K409" s="15">
        <v>1039674.3</v>
      </c>
      <c r="L409" s="15">
        <v>879914.91935922217</v>
      </c>
      <c r="M409" s="15">
        <v>159759.3806407779</v>
      </c>
    </row>
    <row r="410" spans="1:13" x14ac:dyDescent="0.25">
      <c r="A410" s="12">
        <v>45335</v>
      </c>
      <c r="B410" s="12" t="s">
        <v>16</v>
      </c>
      <c r="C410" s="12" t="s">
        <v>20</v>
      </c>
      <c r="D410" s="12" t="s">
        <v>15</v>
      </c>
      <c r="E410" s="13">
        <v>30746</v>
      </c>
      <c r="F410" s="14">
        <v>7</v>
      </c>
      <c r="G410" s="15">
        <v>8237</v>
      </c>
      <c r="H410" s="16">
        <v>0.05</v>
      </c>
      <c r="I410" s="13">
        <v>4</v>
      </c>
      <c r="J410" s="15">
        <v>2882.95</v>
      </c>
      <c r="K410" s="15">
        <v>54776.05</v>
      </c>
      <c r="L410" s="15">
        <v>40013.579120557639</v>
      </c>
      <c r="M410" s="15">
        <v>14762.47087944236</v>
      </c>
    </row>
    <row r="411" spans="1:13" x14ac:dyDescent="0.25">
      <c r="A411" s="12">
        <v>45336</v>
      </c>
      <c r="B411" s="12" t="s">
        <v>24</v>
      </c>
      <c r="C411" s="12" t="s">
        <v>20</v>
      </c>
      <c r="D411" s="12" t="s">
        <v>25</v>
      </c>
      <c r="E411" s="13">
        <v>98422</v>
      </c>
      <c r="F411" s="14">
        <v>42</v>
      </c>
      <c r="G411" s="15">
        <v>47292</v>
      </c>
      <c r="H411" s="16">
        <v>0.1</v>
      </c>
      <c r="I411" s="13">
        <v>1</v>
      </c>
      <c r="J411" s="15">
        <v>198626.4</v>
      </c>
      <c r="K411" s="15">
        <v>1787637.6</v>
      </c>
      <c r="L411" s="15">
        <v>1462623.173553179</v>
      </c>
      <c r="M411" s="15">
        <v>325014.42644682107</v>
      </c>
    </row>
    <row r="412" spans="1:13" x14ac:dyDescent="0.25">
      <c r="A412" s="12">
        <v>45337</v>
      </c>
      <c r="B412" s="12" t="s">
        <v>13</v>
      </c>
      <c r="C412" s="12" t="s">
        <v>17</v>
      </c>
      <c r="D412" s="12" t="s">
        <v>15</v>
      </c>
      <c r="E412" s="13">
        <v>70739</v>
      </c>
      <c r="F412" s="14">
        <v>36</v>
      </c>
      <c r="G412" s="15">
        <v>45268</v>
      </c>
      <c r="H412" s="16">
        <v>0.05</v>
      </c>
      <c r="I412" s="13">
        <v>1</v>
      </c>
      <c r="J412" s="15">
        <v>81482.400000000009</v>
      </c>
      <c r="K412" s="15">
        <v>1548165.6</v>
      </c>
      <c r="L412" s="15">
        <v>1054097.2021713629</v>
      </c>
      <c r="M412" s="15">
        <v>494068.39782863721</v>
      </c>
    </row>
    <row r="413" spans="1:13" x14ac:dyDescent="0.25">
      <c r="A413" s="12">
        <v>45338</v>
      </c>
      <c r="B413" s="12" t="s">
        <v>16</v>
      </c>
      <c r="C413" s="12" t="s">
        <v>14</v>
      </c>
      <c r="D413" s="12" t="s">
        <v>25</v>
      </c>
      <c r="E413" s="13">
        <v>83369</v>
      </c>
      <c r="F413" s="14">
        <v>41</v>
      </c>
      <c r="G413" s="15">
        <v>41601</v>
      </c>
      <c r="H413" s="16">
        <v>0.15</v>
      </c>
      <c r="I413" s="13">
        <v>2</v>
      </c>
      <c r="J413" s="15">
        <v>255846.15</v>
      </c>
      <c r="K413" s="15">
        <v>1449794.85</v>
      </c>
      <c r="L413" s="15">
        <v>913444.40199205535</v>
      </c>
      <c r="M413" s="15">
        <v>536350.44800794474</v>
      </c>
    </row>
    <row r="414" spans="1:13" x14ac:dyDescent="0.25">
      <c r="A414" s="12">
        <v>45339</v>
      </c>
      <c r="B414" s="12" t="s">
        <v>24</v>
      </c>
      <c r="C414" s="12" t="s">
        <v>23</v>
      </c>
      <c r="D414" s="12" t="s">
        <v>26</v>
      </c>
      <c r="E414" s="13">
        <v>11893</v>
      </c>
      <c r="F414" s="14">
        <v>27</v>
      </c>
      <c r="G414" s="15">
        <v>17776</v>
      </c>
      <c r="H414" s="16">
        <v>0.1</v>
      </c>
      <c r="I414" s="13">
        <v>4</v>
      </c>
      <c r="J414" s="15">
        <v>47995.199999999997</v>
      </c>
      <c r="K414" s="15">
        <v>431956.8</v>
      </c>
      <c r="L414" s="15">
        <v>304844.57340554398</v>
      </c>
      <c r="M414" s="15">
        <v>127112.2265944559</v>
      </c>
    </row>
    <row r="415" spans="1:13" x14ac:dyDescent="0.25">
      <c r="A415" s="12">
        <v>45340</v>
      </c>
      <c r="B415" s="12" t="s">
        <v>19</v>
      </c>
      <c r="C415" s="12" t="s">
        <v>23</v>
      </c>
      <c r="D415" s="12" t="s">
        <v>22</v>
      </c>
      <c r="E415" s="13">
        <v>40573</v>
      </c>
      <c r="F415" s="14">
        <v>46</v>
      </c>
      <c r="G415" s="15">
        <v>7810</v>
      </c>
      <c r="H415" s="16">
        <v>0</v>
      </c>
      <c r="I415" s="13">
        <v>2</v>
      </c>
      <c r="J415" s="15">
        <v>0</v>
      </c>
      <c r="K415" s="15">
        <v>359260</v>
      </c>
      <c r="L415" s="15">
        <v>258987.6024516992</v>
      </c>
      <c r="M415" s="15">
        <v>100272.3975483008</v>
      </c>
    </row>
    <row r="416" spans="1:13" x14ac:dyDescent="0.25">
      <c r="A416" s="12">
        <v>45341</v>
      </c>
      <c r="B416" s="12" t="s">
        <v>13</v>
      </c>
      <c r="C416" s="12" t="s">
        <v>17</v>
      </c>
      <c r="D416" s="12" t="s">
        <v>15</v>
      </c>
      <c r="E416" s="13">
        <v>50874</v>
      </c>
      <c r="F416" s="14">
        <v>2</v>
      </c>
      <c r="G416" s="15">
        <v>35667</v>
      </c>
      <c r="H416" s="16">
        <v>0.1</v>
      </c>
      <c r="I416" s="13">
        <v>1</v>
      </c>
      <c r="J416" s="15">
        <v>7133.4000000000005</v>
      </c>
      <c r="K416" s="15">
        <v>64200.6</v>
      </c>
      <c r="L416" s="15">
        <v>38838.867995720939</v>
      </c>
      <c r="M416" s="15">
        <v>25361.73200427906</v>
      </c>
    </row>
    <row r="417" spans="1:13" x14ac:dyDescent="0.25">
      <c r="A417" s="12">
        <v>45342</v>
      </c>
      <c r="B417" s="12" t="s">
        <v>19</v>
      </c>
      <c r="C417" s="12" t="s">
        <v>20</v>
      </c>
      <c r="D417" s="12" t="s">
        <v>27</v>
      </c>
      <c r="E417" s="13">
        <v>87362</v>
      </c>
      <c r="F417" s="14">
        <v>25</v>
      </c>
      <c r="G417" s="15">
        <v>37908</v>
      </c>
      <c r="H417" s="16">
        <v>0.05</v>
      </c>
      <c r="I417" s="13">
        <v>5</v>
      </c>
      <c r="J417" s="15">
        <v>47385</v>
      </c>
      <c r="K417" s="15">
        <v>900315</v>
      </c>
      <c r="L417" s="15">
        <v>760259.83828584652</v>
      </c>
      <c r="M417" s="15">
        <v>140055.16171415351</v>
      </c>
    </row>
    <row r="418" spans="1:13" x14ac:dyDescent="0.25">
      <c r="A418" s="12">
        <v>45343</v>
      </c>
      <c r="B418" s="12" t="s">
        <v>19</v>
      </c>
      <c r="C418" s="12" t="s">
        <v>21</v>
      </c>
      <c r="D418" s="12" t="s">
        <v>22</v>
      </c>
      <c r="E418" s="13">
        <v>97460</v>
      </c>
      <c r="F418" s="14">
        <v>9</v>
      </c>
      <c r="G418" s="15">
        <v>19844</v>
      </c>
      <c r="H418" s="16">
        <v>0.15</v>
      </c>
      <c r="I418" s="13">
        <v>5</v>
      </c>
      <c r="J418" s="15">
        <v>26789.4</v>
      </c>
      <c r="K418" s="15">
        <v>151806.6</v>
      </c>
      <c r="L418" s="15">
        <v>107442.3387477401</v>
      </c>
      <c r="M418" s="15">
        <v>44364.261252259952</v>
      </c>
    </row>
    <row r="419" spans="1:13" x14ac:dyDescent="0.25">
      <c r="A419" s="12">
        <v>45344</v>
      </c>
      <c r="B419" s="12" t="s">
        <v>24</v>
      </c>
      <c r="C419" s="12" t="s">
        <v>17</v>
      </c>
      <c r="D419" s="12" t="s">
        <v>27</v>
      </c>
      <c r="E419" s="13">
        <v>43367</v>
      </c>
      <c r="F419" s="14">
        <v>27</v>
      </c>
      <c r="G419" s="15">
        <v>10891</v>
      </c>
      <c r="H419" s="16">
        <v>0.1</v>
      </c>
      <c r="I419" s="13">
        <v>1</v>
      </c>
      <c r="J419" s="15">
        <v>29405.7</v>
      </c>
      <c r="K419" s="15">
        <v>264651.3</v>
      </c>
      <c r="L419" s="15">
        <v>204873.30663519941</v>
      </c>
      <c r="M419" s="15">
        <v>59777.993364800554</v>
      </c>
    </row>
    <row r="420" spans="1:13" x14ac:dyDescent="0.25">
      <c r="A420" s="12">
        <v>45345</v>
      </c>
      <c r="B420" s="12" t="s">
        <v>16</v>
      </c>
      <c r="C420" s="12" t="s">
        <v>17</v>
      </c>
      <c r="D420" s="12" t="s">
        <v>22</v>
      </c>
      <c r="E420" s="13">
        <v>31199</v>
      </c>
      <c r="F420" s="14">
        <v>1</v>
      </c>
      <c r="G420" s="15">
        <v>11392</v>
      </c>
      <c r="H420" s="16">
        <v>0.15</v>
      </c>
      <c r="I420" s="13">
        <v>4</v>
      </c>
      <c r="J420" s="15">
        <v>1708.8</v>
      </c>
      <c r="K420" s="15">
        <v>9683.2000000000007</v>
      </c>
      <c r="L420" s="15">
        <v>6024.7801004946368</v>
      </c>
      <c r="M420" s="15">
        <v>3658.4198995053639</v>
      </c>
    </row>
    <row r="421" spans="1:13" x14ac:dyDescent="0.25">
      <c r="A421" s="12">
        <v>45346</v>
      </c>
      <c r="B421" s="12" t="s">
        <v>24</v>
      </c>
      <c r="C421" s="12" t="s">
        <v>14</v>
      </c>
      <c r="D421" s="12" t="s">
        <v>22</v>
      </c>
      <c r="E421" s="13">
        <v>84328</v>
      </c>
      <c r="F421" s="14">
        <v>23</v>
      </c>
      <c r="G421" s="15">
        <v>11697</v>
      </c>
      <c r="H421" s="16">
        <v>0</v>
      </c>
      <c r="I421" s="13">
        <v>5</v>
      </c>
      <c r="J421" s="15">
        <v>0</v>
      </c>
      <c r="K421" s="15">
        <v>269031</v>
      </c>
      <c r="L421" s="15">
        <v>175542.4715506795</v>
      </c>
      <c r="M421" s="15">
        <v>93488.528449320496</v>
      </c>
    </row>
    <row r="422" spans="1:13" x14ac:dyDescent="0.25">
      <c r="A422" s="12">
        <v>45347</v>
      </c>
      <c r="B422" s="12" t="s">
        <v>24</v>
      </c>
      <c r="C422" s="12" t="s">
        <v>23</v>
      </c>
      <c r="D422" s="12" t="s">
        <v>25</v>
      </c>
      <c r="E422" s="13">
        <v>67724</v>
      </c>
      <c r="F422" s="14">
        <v>10</v>
      </c>
      <c r="G422" s="15">
        <v>13550</v>
      </c>
      <c r="H422" s="16">
        <v>0</v>
      </c>
      <c r="I422" s="13">
        <v>4</v>
      </c>
      <c r="J422" s="15">
        <v>0</v>
      </c>
      <c r="K422" s="15">
        <v>135500</v>
      </c>
      <c r="L422" s="15">
        <v>117466.04993456529</v>
      </c>
      <c r="M422" s="15">
        <v>18033.950065434681</v>
      </c>
    </row>
    <row r="423" spans="1:13" x14ac:dyDescent="0.25">
      <c r="A423" s="12">
        <v>45348</v>
      </c>
      <c r="B423" s="12" t="s">
        <v>24</v>
      </c>
      <c r="C423" s="12" t="s">
        <v>17</v>
      </c>
      <c r="D423" s="12" t="s">
        <v>15</v>
      </c>
      <c r="E423" s="13">
        <v>96133</v>
      </c>
      <c r="F423" s="14">
        <v>42</v>
      </c>
      <c r="G423" s="15">
        <v>36642</v>
      </c>
      <c r="H423" s="16">
        <v>0.2</v>
      </c>
      <c r="I423" s="13">
        <v>5</v>
      </c>
      <c r="J423" s="15">
        <v>307792.8</v>
      </c>
      <c r="K423" s="15">
        <v>1231171.2</v>
      </c>
      <c r="L423" s="15">
        <v>963522.28623855032</v>
      </c>
      <c r="M423" s="15">
        <v>267648.91376144963</v>
      </c>
    </row>
    <row r="424" spans="1:13" x14ac:dyDescent="0.25">
      <c r="A424" s="12">
        <v>45349</v>
      </c>
      <c r="B424" s="12" t="s">
        <v>24</v>
      </c>
      <c r="C424" s="12" t="s">
        <v>17</v>
      </c>
      <c r="D424" s="12" t="s">
        <v>15</v>
      </c>
      <c r="E424" s="13">
        <v>46405</v>
      </c>
      <c r="F424" s="14">
        <v>25</v>
      </c>
      <c r="G424" s="15">
        <v>46179</v>
      </c>
      <c r="H424" s="16">
        <v>0.2</v>
      </c>
      <c r="I424" s="13">
        <v>4</v>
      </c>
      <c r="J424" s="15">
        <v>230895</v>
      </c>
      <c r="K424" s="15">
        <v>923580</v>
      </c>
      <c r="L424" s="15">
        <v>817447.00291693711</v>
      </c>
      <c r="M424" s="15">
        <v>106132.9970830629</v>
      </c>
    </row>
    <row r="425" spans="1:13" x14ac:dyDescent="0.25">
      <c r="A425" s="12">
        <v>45350</v>
      </c>
      <c r="B425" s="12" t="s">
        <v>13</v>
      </c>
      <c r="C425" s="12" t="s">
        <v>20</v>
      </c>
      <c r="D425" s="12" t="s">
        <v>22</v>
      </c>
      <c r="E425" s="13">
        <v>25989</v>
      </c>
      <c r="F425" s="14">
        <v>3</v>
      </c>
      <c r="G425" s="15">
        <v>42115</v>
      </c>
      <c r="H425" s="16">
        <v>0.1</v>
      </c>
      <c r="I425" s="13">
        <v>5</v>
      </c>
      <c r="J425" s="15">
        <v>12634.5</v>
      </c>
      <c r="K425" s="15">
        <v>113710.5</v>
      </c>
      <c r="L425" s="15">
        <v>102296.8097356962</v>
      </c>
      <c r="M425" s="15">
        <v>11413.69026430385</v>
      </c>
    </row>
    <row r="426" spans="1:13" x14ac:dyDescent="0.25">
      <c r="A426" s="12">
        <v>45351</v>
      </c>
      <c r="B426" s="12" t="s">
        <v>16</v>
      </c>
      <c r="C426" s="12" t="s">
        <v>20</v>
      </c>
      <c r="D426" s="12" t="s">
        <v>26</v>
      </c>
      <c r="E426" s="13">
        <v>38931</v>
      </c>
      <c r="F426" s="14">
        <v>6</v>
      </c>
      <c r="G426" s="15">
        <v>48053</v>
      </c>
      <c r="H426" s="16">
        <v>0.2</v>
      </c>
      <c r="I426" s="13">
        <v>4</v>
      </c>
      <c r="J426" s="15">
        <v>57663.600000000013</v>
      </c>
      <c r="K426" s="15">
        <v>230654.4</v>
      </c>
      <c r="L426" s="15">
        <v>164123.99153582571</v>
      </c>
      <c r="M426" s="15">
        <v>66530.40846417431</v>
      </c>
    </row>
    <row r="427" spans="1:13" x14ac:dyDescent="0.25">
      <c r="A427" s="12">
        <v>45352</v>
      </c>
      <c r="B427" s="12" t="s">
        <v>19</v>
      </c>
      <c r="C427" s="12" t="s">
        <v>21</v>
      </c>
      <c r="D427" s="12" t="s">
        <v>26</v>
      </c>
      <c r="E427" s="13">
        <v>19290</v>
      </c>
      <c r="F427" s="14">
        <v>6</v>
      </c>
      <c r="G427" s="15">
        <v>44228</v>
      </c>
      <c r="H427" s="16">
        <v>0.15</v>
      </c>
      <c r="I427" s="13">
        <v>2</v>
      </c>
      <c r="J427" s="15">
        <v>39805.199999999997</v>
      </c>
      <c r="K427" s="15">
        <v>225562.8</v>
      </c>
      <c r="L427" s="15">
        <v>155557.33673496079</v>
      </c>
      <c r="M427" s="15">
        <v>70005.463265039143</v>
      </c>
    </row>
    <row r="428" spans="1:13" x14ac:dyDescent="0.25">
      <c r="A428" s="12">
        <v>45353</v>
      </c>
      <c r="B428" s="12" t="s">
        <v>19</v>
      </c>
      <c r="C428" s="12" t="s">
        <v>14</v>
      </c>
      <c r="D428" s="12" t="s">
        <v>27</v>
      </c>
      <c r="E428" s="13">
        <v>48367</v>
      </c>
      <c r="F428" s="14">
        <v>2</v>
      </c>
      <c r="G428" s="15">
        <v>14035</v>
      </c>
      <c r="H428" s="16">
        <v>0.2</v>
      </c>
      <c r="I428" s="13">
        <v>4</v>
      </c>
      <c r="J428" s="15">
        <v>5614</v>
      </c>
      <c r="K428" s="15">
        <v>22456</v>
      </c>
      <c r="L428" s="15">
        <v>19256.17307239581</v>
      </c>
      <c r="M428" s="15">
        <v>3199.8269276041942</v>
      </c>
    </row>
    <row r="429" spans="1:13" x14ac:dyDescent="0.25">
      <c r="A429" s="12">
        <v>45354</v>
      </c>
      <c r="B429" s="12" t="s">
        <v>16</v>
      </c>
      <c r="C429" s="12" t="s">
        <v>21</v>
      </c>
      <c r="D429" s="12" t="s">
        <v>27</v>
      </c>
      <c r="E429" s="13">
        <v>89878</v>
      </c>
      <c r="F429" s="14">
        <v>18</v>
      </c>
      <c r="G429" s="15">
        <v>41502</v>
      </c>
      <c r="H429" s="16">
        <v>0.15</v>
      </c>
      <c r="I429" s="13">
        <v>2</v>
      </c>
      <c r="J429" s="15">
        <v>112055.4</v>
      </c>
      <c r="K429" s="15">
        <v>634980.6</v>
      </c>
      <c r="L429" s="15">
        <v>571218.02493212966</v>
      </c>
      <c r="M429" s="15">
        <v>63762.575067870319</v>
      </c>
    </row>
    <row r="430" spans="1:13" x14ac:dyDescent="0.25">
      <c r="A430" s="12">
        <v>45355</v>
      </c>
      <c r="B430" s="12" t="s">
        <v>19</v>
      </c>
      <c r="C430" s="12" t="s">
        <v>20</v>
      </c>
      <c r="D430" s="12" t="s">
        <v>25</v>
      </c>
      <c r="E430" s="13">
        <v>89481</v>
      </c>
      <c r="F430" s="14">
        <v>23</v>
      </c>
      <c r="G430" s="15">
        <v>43771</v>
      </c>
      <c r="H430" s="16">
        <v>0.2</v>
      </c>
      <c r="I430" s="13">
        <v>2</v>
      </c>
      <c r="J430" s="15">
        <v>201346.6</v>
      </c>
      <c r="K430" s="15">
        <v>805386.4</v>
      </c>
      <c r="L430" s="15">
        <v>635363.18607901072</v>
      </c>
      <c r="M430" s="15">
        <v>170023.21392098931</v>
      </c>
    </row>
    <row r="431" spans="1:13" x14ac:dyDescent="0.25">
      <c r="A431" s="12">
        <v>45356</v>
      </c>
      <c r="B431" s="12" t="s">
        <v>16</v>
      </c>
      <c r="C431" s="12" t="s">
        <v>23</v>
      </c>
      <c r="D431" s="12" t="s">
        <v>22</v>
      </c>
      <c r="E431" s="13">
        <v>86298</v>
      </c>
      <c r="F431" s="14">
        <v>2</v>
      </c>
      <c r="G431" s="15">
        <v>5622</v>
      </c>
      <c r="H431" s="16">
        <v>0.2</v>
      </c>
      <c r="I431" s="13">
        <v>1</v>
      </c>
      <c r="J431" s="15">
        <v>2248.8000000000002</v>
      </c>
      <c r="K431" s="15">
        <v>8995.2000000000007</v>
      </c>
      <c r="L431" s="15">
        <v>7542.8549481406944</v>
      </c>
      <c r="M431" s="15">
        <v>1452.3450518593061</v>
      </c>
    </row>
    <row r="432" spans="1:13" x14ac:dyDescent="0.25">
      <c r="A432" s="12">
        <v>45357</v>
      </c>
      <c r="B432" s="12" t="s">
        <v>19</v>
      </c>
      <c r="C432" s="12" t="s">
        <v>20</v>
      </c>
      <c r="D432" s="12" t="s">
        <v>27</v>
      </c>
      <c r="E432" s="13">
        <v>40133</v>
      </c>
      <c r="F432" s="14">
        <v>12</v>
      </c>
      <c r="G432" s="15">
        <v>10352</v>
      </c>
      <c r="H432" s="16">
        <v>0.2</v>
      </c>
      <c r="I432" s="13">
        <v>2</v>
      </c>
      <c r="J432" s="15">
        <v>24844.799999999999</v>
      </c>
      <c r="K432" s="15">
        <v>99379.199999999997</v>
      </c>
      <c r="L432" s="15">
        <v>82934.303415712478</v>
      </c>
      <c r="M432" s="15">
        <v>16444.896584287519</v>
      </c>
    </row>
    <row r="433" spans="1:13" x14ac:dyDescent="0.25">
      <c r="A433" s="12">
        <v>45358</v>
      </c>
      <c r="B433" s="12" t="s">
        <v>24</v>
      </c>
      <c r="C433" s="12" t="s">
        <v>14</v>
      </c>
      <c r="D433" s="12" t="s">
        <v>27</v>
      </c>
      <c r="E433" s="13">
        <v>37052</v>
      </c>
      <c r="F433" s="14">
        <v>22</v>
      </c>
      <c r="G433" s="15">
        <v>5887</v>
      </c>
      <c r="H433" s="16">
        <v>0.05</v>
      </c>
      <c r="I433" s="13">
        <v>3</v>
      </c>
      <c r="J433" s="15">
        <v>6475.7000000000007</v>
      </c>
      <c r="K433" s="15">
        <v>123038.3</v>
      </c>
      <c r="L433" s="15">
        <v>86939.098086548736</v>
      </c>
      <c r="M433" s="15">
        <v>36099.201913451267</v>
      </c>
    </row>
    <row r="434" spans="1:13" x14ac:dyDescent="0.25">
      <c r="A434" s="12">
        <v>45359</v>
      </c>
      <c r="B434" s="12" t="s">
        <v>19</v>
      </c>
      <c r="C434" s="12" t="s">
        <v>20</v>
      </c>
      <c r="D434" s="12" t="s">
        <v>18</v>
      </c>
      <c r="E434" s="13">
        <v>95489</v>
      </c>
      <c r="F434" s="14">
        <v>37</v>
      </c>
      <c r="G434" s="15">
        <v>32259</v>
      </c>
      <c r="H434" s="16">
        <v>0.05</v>
      </c>
      <c r="I434" s="13">
        <v>2</v>
      </c>
      <c r="J434" s="15">
        <v>59679.15</v>
      </c>
      <c r="K434" s="15">
        <v>1133903.8500000001</v>
      </c>
      <c r="L434" s="15">
        <v>875692.52853434265</v>
      </c>
      <c r="M434" s="15">
        <v>258211.32146565741</v>
      </c>
    </row>
    <row r="435" spans="1:13" x14ac:dyDescent="0.25">
      <c r="A435" s="12">
        <v>45360</v>
      </c>
      <c r="B435" s="12" t="s">
        <v>16</v>
      </c>
      <c r="C435" s="12" t="s">
        <v>14</v>
      </c>
      <c r="D435" s="12" t="s">
        <v>22</v>
      </c>
      <c r="E435" s="13">
        <v>50475</v>
      </c>
      <c r="F435" s="14">
        <v>20</v>
      </c>
      <c r="G435" s="15">
        <v>40899</v>
      </c>
      <c r="H435" s="16">
        <v>0.2</v>
      </c>
      <c r="I435" s="13">
        <v>4</v>
      </c>
      <c r="J435" s="15">
        <v>163596</v>
      </c>
      <c r="K435" s="15">
        <v>654384</v>
      </c>
      <c r="L435" s="15">
        <v>556172.14003567235</v>
      </c>
      <c r="M435" s="15">
        <v>98211.859964327654</v>
      </c>
    </row>
    <row r="436" spans="1:13" x14ac:dyDescent="0.25">
      <c r="A436" s="12">
        <v>45361</v>
      </c>
      <c r="B436" s="12" t="s">
        <v>16</v>
      </c>
      <c r="C436" s="12" t="s">
        <v>14</v>
      </c>
      <c r="D436" s="12" t="s">
        <v>25</v>
      </c>
      <c r="E436" s="13">
        <v>92666</v>
      </c>
      <c r="F436" s="14">
        <v>39</v>
      </c>
      <c r="G436" s="15">
        <v>40494</v>
      </c>
      <c r="H436" s="16">
        <v>0.15</v>
      </c>
      <c r="I436" s="13">
        <v>2</v>
      </c>
      <c r="J436" s="15">
        <v>236889.9</v>
      </c>
      <c r="K436" s="15">
        <v>1342376.1</v>
      </c>
      <c r="L436" s="15">
        <v>1082537.94647136</v>
      </c>
      <c r="M436" s="15">
        <v>259838.15352864051</v>
      </c>
    </row>
    <row r="437" spans="1:13" x14ac:dyDescent="0.25">
      <c r="A437" s="12">
        <v>45362</v>
      </c>
      <c r="B437" s="12" t="s">
        <v>16</v>
      </c>
      <c r="C437" s="12" t="s">
        <v>14</v>
      </c>
      <c r="D437" s="12" t="s">
        <v>27</v>
      </c>
      <c r="E437" s="13">
        <v>67656</v>
      </c>
      <c r="F437" s="14">
        <v>24</v>
      </c>
      <c r="G437" s="15">
        <v>38376</v>
      </c>
      <c r="H437" s="16">
        <v>0.1</v>
      </c>
      <c r="I437" s="13">
        <v>4</v>
      </c>
      <c r="J437" s="15">
        <v>92102.400000000009</v>
      </c>
      <c r="K437" s="15">
        <v>828921.6</v>
      </c>
      <c r="L437" s="15">
        <v>502615.90276442812</v>
      </c>
      <c r="M437" s="15">
        <v>326305.69723557192</v>
      </c>
    </row>
    <row r="438" spans="1:13" x14ac:dyDescent="0.25">
      <c r="A438" s="12">
        <v>45363</v>
      </c>
      <c r="B438" s="12" t="s">
        <v>16</v>
      </c>
      <c r="C438" s="12" t="s">
        <v>14</v>
      </c>
      <c r="D438" s="12" t="s">
        <v>25</v>
      </c>
      <c r="E438" s="13">
        <v>14633</v>
      </c>
      <c r="F438" s="14">
        <v>48</v>
      </c>
      <c r="G438" s="15">
        <v>35378</v>
      </c>
      <c r="H438" s="16">
        <v>0</v>
      </c>
      <c r="I438" s="13">
        <v>4</v>
      </c>
      <c r="J438" s="15">
        <v>0</v>
      </c>
      <c r="K438" s="15">
        <v>1698144</v>
      </c>
      <c r="L438" s="15">
        <v>1190418.8134212999</v>
      </c>
      <c r="M438" s="15">
        <v>507725.18657870009</v>
      </c>
    </row>
    <row r="439" spans="1:13" x14ac:dyDescent="0.25">
      <c r="A439" s="12">
        <v>45364</v>
      </c>
      <c r="B439" s="12" t="s">
        <v>16</v>
      </c>
      <c r="C439" s="12" t="s">
        <v>14</v>
      </c>
      <c r="D439" s="12" t="s">
        <v>15</v>
      </c>
      <c r="E439" s="13">
        <v>27304</v>
      </c>
      <c r="F439" s="14">
        <v>20</v>
      </c>
      <c r="G439" s="15">
        <v>34225</v>
      </c>
      <c r="H439" s="16">
        <v>0.05</v>
      </c>
      <c r="I439" s="13">
        <v>3</v>
      </c>
      <c r="J439" s="15">
        <v>34225</v>
      </c>
      <c r="K439" s="15">
        <v>650275</v>
      </c>
      <c r="L439" s="15">
        <v>418349.68008091708</v>
      </c>
      <c r="M439" s="15">
        <v>231925.31991908289</v>
      </c>
    </row>
    <row r="440" spans="1:13" x14ac:dyDescent="0.25">
      <c r="A440" s="12">
        <v>45365</v>
      </c>
      <c r="B440" s="12" t="s">
        <v>13</v>
      </c>
      <c r="C440" s="12" t="s">
        <v>23</v>
      </c>
      <c r="D440" s="12" t="s">
        <v>25</v>
      </c>
      <c r="E440" s="13">
        <v>56546</v>
      </c>
      <c r="F440" s="14">
        <v>1</v>
      </c>
      <c r="G440" s="15">
        <v>7646</v>
      </c>
      <c r="H440" s="16">
        <v>0.2</v>
      </c>
      <c r="I440" s="13">
        <v>2</v>
      </c>
      <c r="J440" s="15">
        <v>1529.2</v>
      </c>
      <c r="K440" s="15">
        <v>6116.8</v>
      </c>
      <c r="L440" s="15">
        <v>4097.5933280516847</v>
      </c>
      <c r="M440" s="15">
        <v>2019.206671948315</v>
      </c>
    </row>
    <row r="441" spans="1:13" x14ac:dyDescent="0.25">
      <c r="A441" s="12">
        <v>45366</v>
      </c>
      <c r="B441" s="12" t="s">
        <v>13</v>
      </c>
      <c r="C441" s="12" t="s">
        <v>21</v>
      </c>
      <c r="D441" s="12" t="s">
        <v>26</v>
      </c>
      <c r="E441" s="13">
        <v>17008</v>
      </c>
      <c r="F441" s="14">
        <v>1</v>
      </c>
      <c r="G441" s="15">
        <v>1060</v>
      </c>
      <c r="H441" s="16">
        <v>0</v>
      </c>
      <c r="I441" s="13">
        <v>2</v>
      </c>
      <c r="J441" s="15">
        <v>0</v>
      </c>
      <c r="K441" s="15">
        <v>1060</v>
      </c>
      <c r="L441" s="15">
        <v>923.94565384224154</v>
      </c>
      <c r="M441" s="15">
        <v>136.05434615775849</v>
      </c>
    </row>
    <row r="442" spans="1:13" x14ac:dyDescent="0.25">
      <c r="A442" s="12">
        <v>45367</v>
      </c>
      <c r="B442" s="12" t="s">
        <v>19</v>
      </c>
      <c r="C442" s="12" t="s">
        <v>17</v>
      </c>
      <c r="D442" s="12" t="s">
        <v>26</v>
      </c>
      <c r="E442" s="13">
        <v>58291</v>
      </c>
      <c r="F442" s="14">
        <v>17</v>
      </c>
      <c r="G442" s="15">
        <v>1812</v>
      </c>
      <c r="H442" s="16">
        <v>0.05</v>
      </c>
      <c r="I442" s="13">
        <v>5</v>
      </c>
      <c r="J442" s="15">
        <v>1540.2</v>
      </c>
      <c r="K442" s="15">
        <v>29263.8</v>
      </c>
      <c r="L442" s="15">
        <v>17882.171348408079</v>
      </c>
      <c r="M442" s="15">
        <v>11381.62865159192</v>
      </c>
    </row>
    <row r="443" spans="1:13" x14ac:dyDescent="0.25">
      <c r="A443" s="12">
        <v>45368</v>
      </c>
      <c r="B443" s="12" t="s">
        <v>16</v>
      </c>
      <c r="C443" s="12" t="s">
        <v>21</v>
      </c>
      <c r="D443" s="12" t="s">
        <v>25</v>
      </c>
      <c r="E443" s="13">
        <v>37405</v>
      </c>
      <c r="F443" s="14">
        <v>1</v>
      </c>
      <c r="G443" s="15">
        <v>18705</v>
      </c>
      <c r="H443" s="16">
        <v>0.1</v>
      </c>
      <c r="I443" s="13">
        <v>5</v>
      </c>
      <c r="J443" s="15">
        <v>1870.5</v>
      </c>
      <c r="K443" s="15">
        <v>16834.5</v>
      </c>
      <c r="L443" s="15">
        <v>11210.770525656901</v>
      </c>
      <c r="M443" s="15">
        <v>5623.7294743430984</v>
      </c>
    </row>
    <row r="444" spans="1:13" x14ac:dyDescent="0.25">
      <c r="A444" s="12">
        <v>45369</v>
      </c>
      <c r="B444" s="12" t="s">
        <v>19</v>
      </c>
      <c r="C444" s="12" t="s">
        <v>14</v>
      </c>
      <c r="D444" s="12" t="s">
        <v>26</v>
      </c>
      <c r="E444" s="13">
        <v>46386</v>
      </c>
      <c r="F444" s="14">
        <v>45</v>
      </c>
      <c r="G444" s="15">
        <v>12095</v>
      </c>
      <c r="H444" s="16">
        <v>0.15</v>
      </c>
      <c r="I444" s="13">
        <v>1</v>
      </c>
      <c r="J444" s="15">
        <v>81641.25</v>
      </c>
      <c r="K444" s="15">
        <v>462633.75</v>
      </c>
      <c r="L444" s="15">
        <v>320545.41909331322</v>
      </c>
      <c r="M444" s="15">
        <v>142088.33090668681</v>
      </c>
    </row>
    <row r="445" spans="1:13" x14ac:dyDescent="0.25">
      <c r="A445" s="12">
        <v>45370</v>
      </c>
      <c r="B445" s="12" t="s">
        <v>16</v>
      </c>
      <c r="C445" s="12" t="s">
        <v>23</v>
      </c>
      <c r="D445" s="12" t="s">
        <v>15</v>
      </c>
      <c r="E445" s="13">
        <v>30827</v>
      </c>
      <c r="F445" s="14">
        <v>30</v>
      </c>
      <c r="G445" s="15">
        <v>22530</v>
      </c>
      <c r="H445" s="16">
        <v>0.2</v>
      </c>
      <c r="I445" s="13">
        <v>4</v>
      </c>
      <c r="J445" s="15">
        <v>135180</v>
      </c>
      <c r="K445" s="15">
        <v>540720</v>
      </c>
      <c r="L445" s="15">
        <v>424500.46661810071</v>
      </c>
      <c r="M445" s="15">
        <v>116219.53338189929</v>
      </c>
    </row>
    <row r="446" spans="1:13" x14ac:dyDescent="0.25">
      <c r="A446" s="12">
        <v>45371</v>
      </c>
      <c r="B446" s="12" t="s">
        <v>16</v>
      </c>
      <c r="C446" s="12" t="s">
        <v>20</v>
      </c>
      <c r="D446" s="12" t="s">
        <v>22</v>
      </c>
      <c r="E446" s="13">
        <v>43040</v>
      </c>
      <c r="F446" s="14">
        <v>41</v>
      </c>
      <c r="G446" s="15">
        <v>21829</v>
      </c>
      <c r="H446" s="16">
        <v>0.1</v>
      </c>
      <c r="I446" s="13">
        <v>3</v>
      </c>
      <c r="J446" s="15">
        <v>89498.900000000009</v>
      </c>
      <c r="K446" s="15">
        <v>805490.1</v>
      </c>
      <c r="L446" s="15">
        <v>612358.14712722984</v>
      </c>
      <c r="M446" s="15">
        <v>193131.95287277011</v>
      </c>
    </row>
    <row r="447" spans="1:13" x14ac:dyDescent="0.25">
      <c r="A447" s="12">
        <v>45372</v>
      </c>
      <c r="B447" s="12" t="s">
        <v>13</v>
      </c>
      <c r="C447" s="12" t="s">
        <v>23</v>
      </c>
      <c r="D447" s="12" t="s">
        <v>26</v>
      </c>
      <c r="E447" s="13">
        <v>70354</v>
      </c>
      <c r="F447" s="14">
        <v>47</v>
      </c>
      <c r="G447" s="15">
        <v>38642</v>
      </c>
      <c r="H447" s="16">
        <v>0.05</v>
      </c>
      <c r="I447" s="13">
        <v>5</v>
      </c>
      <c r="J447" s="15">
        <v>90808.700000000012</v>
      </c>
      <c r="K447" s="15">
        <v>1725365.3</v>
      </c>
      <c r="L447" s="15">
        <v>1148197.557529253</v>
      </c>
      <c r="M447" s="15">
        <v>577167.74247074686</v>
      </c>
    </row>
    <row r="448" spans="1:13" x14ac:dyDescent="0.25">
      <c r="A448" s="12">
        <v>45373</v>
      </c>
      <c r="B448" s="12" t="s">
        <v>13</v>
      </c>
      <c r="C448" s="12" t="s">
        <v>14</v>
      </c>
      <c r="D448" s="12" t="s">
        <v>26</v>
      </c>
      <c r="E448" s="13">
        <v>88543</v>
      </c>
      <c r="F448" s="14">
        <v>3</v>
      </c>
      <c r="G448" s="15">
        <v>3151</v>
      </c>
      <c r="H448" s="16">
        <v>0.2</v>
      </c>
      <c r="I448" s="13">
        <v>2</v>
      </c>
      <c r="J448" s="15">
        <v>1890.6</v>
      </c>
      <c r="K448" s="15">
        <v>7562.4</v>
      </c>
      <c r="L448" s="15">
        <v>4910.0569940305149</v>
      </c>
      <c r="M448" s="15">
        <v>2652.3430059694851</v>
      </c>
    </row>
    <row r="449" spans="1:13" x14ac:dyDescent="0.25">
      <c r="A449" s="12">
        <v>45374</v>
      </c>
      <c r="B449" s="12" t="s">
        <v>24</v>
      </c>
      <c r="C449" s="12" t="s">
        <v>23</v>
      </c>
      <c r="D449" s="12" t="s">
        <v>25</v>
      </c>
      <c r="E449" s="13">
        <v>28157</v>
      </c>
      <c r="F449" s="14">
        <v>46</v>
      </c>
      <c r="G449" s="15">
        <v>10506</v>
      </c>
      <c r="H449" s="16">
        <v>0</v>
      </c>
      <c r="I449" s="13">
        <v>1</v>
      </c>
      <c r="J449" s="15">
        <v>0</v>
      </c>
      <c r="K449" s="15">
        <v>483276</v>
      </c>
      <c r="L449" s="15">
        <v>324297.24209024222</v>
      </c>
      <c r="M449" s="15">
        <v>158978.75790975781</v>
      </c>
    </row>
    <row r="450" spans="1:13" x14ac:dyDescent="0.25">
      <c r="A450" s="12">
        <v>45375</v>
      </c>
      <c r="B450" s="12" t="s">
        <v>13</v>
      </c>
      <c r="C450" s="12" t="s">
        <v>23</v>
      </c>
      <c r="D450" s="12" t="s">
        <v>15</v>
      </c>
      <c r="E450" s="13">
        <v>45315</v>
      </c>
      <c r="F450" s="14">
        <v>11</v>
      </c>
      <c r="G450" s="15">
        <v>43201</v>
      </c>
      <c r="H450" s="16">
        <v>0.15</v>
      </c>
      <c r="I450" s="13">
        <v>3</v>
      </c>
      <c r="J450" s="15">
        <v>71281.649999999994</v>
      </c>
      <c r="K450" s="15">
        <v>403929.35</v>
      </c>
      <c r="L450" s="15">
        <v>303253.54964080272</v>
      </c>
      <c r="M450" s="15">
        <v>100675.8003591973</v>
      </c>
    </row>
    <row r="451" spans="1:13" x14ac:dyDescent="0.25">
      <c r="A451" s="12">
        <v>45376</v>
      </c>
      <c r="B451" s="12" t="s">
        <v>24</v>
      </c>
      <c r="C451" s="12" t="s">
        <v>14</v>
      </c>
      <c r="D451" s="12" t="s">
        <v>22</v>
      </c>
      <c r="E451" s="13">
        <v>45932</v>
      </c>
      <c r="F451" s="14">
        <v>24</v>
      </c>
      <c r="G451" s="15">
        <v>49440</v>
      </c>
      <c r="H451" s="16">
        <v>0.05</v>
      </c>
      <c r="I451" s="13">
        <v>2</v>
      </c>
      <c r="J451" s="15">
        <v>59328</v>
      </c>
      <c r="K451" s="15">
        <v>1127232</v>
      </c>
      <c r="L451" s="15">
        <v>768043.28332284337</v>
      </c>
      <c r="M451" s="15">
        <v>359188.71667715663</v>
      </c>
    </row>
    <row r="452" spans="1:13" x14ac:dyDescent="0.25">
      <c r="A452" s="12">
        <v>45377</v>
      </c>
      <c r="B452" s="12" t="s">
        <v>24</v>
      </c>
      <c r="C452" s="12" t="s">
        <v>23</v>
      </c>
      <c r="D452" s="12" t="s">
        <v>25</v>
      </c>
      <c r="E452" s="13">
        <v>31164</v>
      </c>
      <c r="F452" s="14">
        <v>22</v>
      </c>
      <c r="G452" s="15">
        <v>36145</v>
      </c>
      <c r="H452" s="16">
        <v>0.15</v>
      </c>
      <c r="I452" s="13">
        <v>2</v>
      </c>
      <c r="J452" s="15">
        <v>119278.5</v>
      </c>
      <c r="K452" s="15">
        <v>675911.5</v>
      </c>
      <c r="L452" s="15">
        <v>597695.52847962838</v>
      </c>
      <c r="M452" s="15">
        <v>78215.971520371619</v>
      </c>
    </row>
    <row r="453" spans="1:13" x14ac:dyDescent="0.25">
      <c r="A453" s="12">
        <v>45378</v>
      </c>
      <c r="B453" s="12" t="s">
        <v>24</v>
      </c>
      <c r="C453" s="12" t="s">
        <v>17</v>
      </c>
      <c r="D453" s="12" t="s">
        <v>25</v>
      </c>
      <c r="E453" s="13">
        <v>24414</v>
      </c>
      <c r="F453" s="14">
        <v>44</v>
      </c>
      <c r="G453" s="15">
        <v>22466</v>
      </c>
      <c r="H453" s="16">
        <v>0.2</v>
      </c>
      <c r="I453" s="13">
        <v>4</v>
      </c>
      <c r="J453" s="15">
        <v>197700.8</v>
      </c>
      <c r="K453" s="15">
        <v>790803.2</v>
      </c>
      <c r="L453" s="15">
        <v>584529.75044239243</v>
      </c>
      <c r="M453" s="15">
        <v>206273.4495576075</v>
      </c>
    </row>
    <row r="454" spans="1:13" x14ac:dyDescent="0.25">
      <c r="A454" s="12">
        <v>45379</v>
      </c>
      <c r="B454" s="12" t="s">
        <v>24</v>
      </c>
      <c r="C454" s="12" t="s">
        <v>17</v>
      </c>
      <c r="D454" s="12" t="s">
        <v>18</v>
      </c>
      <c r="E454" s="13">
        <v>24327</v>
      </c>
      <c r="F454" s="14">
        <v>45</v>
      </c>
      <c r="G454" s="15">
        <v>28346</v>
      </c>
      <c r="H454" s="16">
        <v>0.1</v>
      </c>
      <c r="I454" s="13">
        <v>4</v>
      </c>
      <c r="J454" s="15">
        <v>127557</v>
      </c>
      <c r="K454" s="15">
        <v>1148013</v>
      </c>
      <c r="L454" s="15">
        <v>709057.3774024375</v>
      </c>
      <c r="M454" s="15">
        <v>438955.6225975625</v>
      </c>
    </row>
    <row r="455" spans="1:13" x14ac:dyDescent="0.25">
      <c r="A455" s="12">
        <v>45380</v>
      </c>
      <c r="B455" s="12" t="s">
        <v>24</v>
      </c>
      <c r="C455" s="12" t="s">
        <v>23</v>
      </c>
      <c r="D455" s="12" t="s">
        <v>15</v>
      </c>
      <c r="E455" s="13">
        <v>10946</v>
      </c>
      <c r="F455" s="14">
        <v>26</v>
      </c>
      <c r="G455" s="15">
        <v>22274</v>
      </c>
      <c r="H455" s="16">
        <v>0.15</v>
      </c>
      <c r="I455" s="13">
        <v>5</v>
      </c>
      <c r="J455" s="15">
        <v>86868.599999999991</v>
      </c>
      <c r="K455" s="15">
        <v>492255.4</v>
      </c>
      <c r="L455" s="15">
        <v>403048.83789350232</v>
      </c>
      <c r="M455" s="15">
        <v>89206.562106497702</v>
      </c>
    </row>
    <row r="456" spans="1:13" x14ac:dyDescent="0.25">
      <c r="A456" s="12">
        <v>45381</v>
      </c>
      <c r="B456" s="12" t="s">
        <v>19</v>
      </c>
      <c r="C456" s="12" t="s">
        <v>20</v>
      </c>
      <c r="D456" s="12" t="s">
        <v>22</v>
      </c>
      <c r="E456" s="13">
        <v>24693</v>
      </c>
      <c r="F456" s="14">
        <v>13</v>
      </c>
      <c r="G456" s="15">
        <v>4583</v>
      </c>
      <c r="H456" s="16">
        <v>0</v>
      </c>
      <c r="I456" s="13">
        <v>5</v>
      </c>
      <c r="J456" s="15">
        <v>0</v>
      </c>
      <c r="K456" s="15">
        <v>59579</v>
      </c>
      <c r="L456" s="15">
        <v>41625.082027861012</v>
      </c>
      <c r="M456" s="15">
        <v>17953.917972138988</v>
      </c>
    </row>
    <row r="457" spans="1:13" x14ac:dyDescent="0.25">
      <c r="A457" s="12">
        <v>45382</v>
      </c>
      <c r="B457" s="12" t="s">
        <v>13</v>
      </c>
      <c r="C457" s="12" t="s">
        <v>14</v>
      </c>
      <c r="D457" s="12" t="s">
        <v>15</v>
      </c>
      <c r="E457" s="13">
        <v>37241</v>
      </c>
      <c r="F457" s="14">
        <v>1</v>
      </c>
      <c r="G457" s="15">
        <v>34013</v>
      </c>
      <c r="H457" s="16">
        <v>0.05</v>
      </c>
      <c r="I457" s="13">
        <v>2</v>
      </c>
      <c r="J457" s="15">
        <v>1700.65</v>
      </c>
      <c r="K457" s="15">
        <v>32312.35</v>
      </c>
      <c r="L457" s="15">
        <v>25722.138928137691</v>
      </c>
      <c r="M457" s="15">
        <v>6590.2110718623044</v>
      </c>
    </row>
    <row r="458" spans="1:13" x14ac:dyDescent="0.25">
      <c r="A458" s="12">
        <v>45383</v>
      </c>
      <c r="B458" s="12" t="s">
        <v>24</v>
      </c>
      <c r="C458" s="12" t="s">
        <v>17</v>
      </c>
      <c r="D458" s="12" t="s">
        <v>22</v>
      </c>
      <c r="E458" s="13">
        <v>25540</v>
      </c>
      <c r="F458" s="14">
        <v>24</v>
      </c>
      <c r="G458" s="15">
        <v>9249</v>
      </c>
      <c r="H458" s="16">
        <v>0</v>
      </c>
      <c r="I458" s="13">
        <v>2</v>
      </c>
      <c r="J458" s="15">
        <v>0</v>
      </c>
      <c r="K458" s="15">
        <v>221976</v>
      </c>
      <c r="L458" s="15">
        <v>151804.57199737951</v>
      </c>
      <c r="M458" s="15">
        <v>70171.428002620523</v>
      </c>
    </row>
    <row r="459" spans="1:13" x14ac:dyDescent="0.25">
      <c r="A459" s="12">
        <v>45384</v>
      </c>
      <c r="B459" s="12" t="s">
        <v>16</v>
      </c>
      <c r="C459" s="12" t="s">
        <v>20</v>
      </c>
      <c r="D459" s="12" t="s">
        <v>15</v>
      </c>
      <c r="E459" s="13">
        <v>82255</v>
      </c>
      <c r="F459" s="14">
        <v>10</v>
      </c>
      <c r="G459" s="15">
        <v>31283</v>
      </c>
      <c r="H459" s="16">
        <v>0.15</v>
      </c>
      <c r="I459" s="13">
        <v>5</v>
      </c>
      <c r="J459" s="15">
        <v>46924.5</v>
      </c>
      <c r="K459" s="15">
        <v>265905.5</v>
      </c>
      <c r="L459" s="15">
        <v>205072.47000524079</v>
      </c>
      <c r="M459" s="15">
        <v>60833.029994759207</v>
      </c>
    </row>
    <row r="460" spans="1:13" x14ac:dyDescent="0.25">
      <c r="A460" s="12">
        <v>45385</v>
      </c>
      <c r="B460" s="12" t="s">
        <v>13</v>
      </c>
      <c r="C460" s="12" t="s">
        <v>23</v>
      </c>
      <c r="D460" s="12" t="s">
        <v>25</v>
      </c>
      <c r="E460" s="13">
        <v>74757</v>
      </c>
      <c r="F460" s="14">
        <v>35</v>
      </c>
      <c r="G460" s="15">
        <v>17825</v>
      </c>
      <c r="H460" s="16">
        <v>0.1</v>
      </c>
      <c r="I460" s="13">
        <v>5</v>
      </c>
      <c r="J460" s="15">
        <v>62387.5</v>
      </c>
      <c r="K460" s="15">
        <v>561487.5</v>
      </c>
      <c r="L460" s="15">
        <v>466958.69386292441</v>
      </c>
      <c r="M460" s="15">
        <v>94528.80613707559</v>
      </c>
    </row>
    <row r="461" spans="1:13" x14ac:dyDescent="0.25">
      <c r="A461" s="12">
        <v>45386</v>
      </c>
      <c r="B461" s="12" t="s">
        <v>13</v>
      </c>
      <c r="C461" s="12" t="s">
        <v>20</v>
      </c>
      <c r="D461" s="12" t="s">
        <v>25</v>
      </c>
      <c r="E461" s="13">
        <v>51203</v>
      </c>
      <c r="F461" s="14">
        <v>24</v>
      </c>
      <c r="G461" s="15">
        <v>19180</v>
      </c>
      <c r="H461" s="16">
        <v>0.1</v>
      </c>
      <c r="I461" s="13">
        <v>2</v>
      </c>
      <c r="J461" s="15">
        <v>46032</v>
      </c>
      <c r="K461" s="15">
        <v>414288</v>
      </c>
      <c r="L461" s="15">
        <v>363911.66568368889</v>
      </c>
      <c r="M461" s="15">
        <v>50376.334316311048</v>
      </c>
    </row>
    <row r="462" spans="1:13" x14ac:dyDescent="0.25">
      <c r="A462" s="12">
        <v>45387</v>
      </c>
      <c r="B462" s="12" t="s">
        <v>24</v>
      </c>
      <c r="C462" s="12" t="s">
        <v>21</v>
      </c>
      <c r="D462" s="12" t="s">
        <v>27</v>
      </c>
      <c r="E462" s="13">
        <v>35081</v>
      </c>
      <c r="F462" s="14">
        <v>28</v>
      </c>
      <c r="G462" s="15">
        <v>17823</v>
      </c>
      <c r="H462" s="16">
        <v>0</v>
      </c>
      <c r="I462" s="13">
        <v>3</v>
      </c>
      <c r="J462" s="15">
        <v>0</v>
      </c>
      <c r="K462" s="15">
        <v>499044</v>
      </c>
      <c r="L462" s="15">
        <v>338520.58039993822</v>
      </c>
      <c r="M462" s="15">
        <v>160523.41960006181</v>
      </c>
    </row>
    <row r="463" spans="1:13" x14ac:dyDescent="0.25">
      <c r="A463" s="12">
        <v>45388</v>
      </c>
      <c r="B463" s="12" t="s">
        <v>19</v>
      </c>
      <c r="C463" s="12" t="s">
        <v>17</v>
      </c>
      <c r="D463" s="12" t="s">
        <v>26</v>
      </c>
      <c r="E463" s="13">
        <v>71861</v>
      </c>
      <c r="F463" s="14">
        <v>36</v>
      </c>
      <c r="G463" s="15">
        <v>23184</v>
      </c>
      <c r="H463" s="16">
        <v>0.2</v>
      </c>
      <c r="I463" s="13">
        <v>2</v>
      </c>
      <c r="J463" s="15">
        <v>166924.79999999999</v>
      </c>
      <c r="K463" s="15">
        <v>667699.19999999995</v>
      </c>
      <c r="L463" s="15">
        <v>467694.63548893761</v>
      </c>
      <c r="M463" s="15">
        <v>200004.56451106229</v>
      </c>
    </row>
    <row r="464" spans="1:13" x14ac:dyDescent="0.25">
      <c r="A464" s="12">
        <v>45389</v>
      </c>
      <c r="B464" s="12" t="s">
        <v>24</v>
      </c>
      <c r="C464" s="12" t="s">
        <v>23</v>
      </c>
      <c r="D464" s="12" t="s">
        <v>18</v>
      </c>
      <c r="E464" s="13">
        <v>21350</v>
      </c>
      <c r="F464" s="14">
        <v>16</v>
      </c>
      <c r="G464" s="15">
        <v>34993</v>
      </c>
      <c r="H464" s="16">
        <v>0.2</v>
      </c>
      <c r="I464" s="13">
        <v>3</v>
      </c>
      <c r="J464" s="15">
        <v>111977.60000000001</v>
      </c>
      <c r="K464" s="15">
        <v>447910.40000000002</v>
      </c>
      <c r="L464" s="15">
        <v>331131.16740505298</v>
      </c>
      <c r="M464" s="15">
        <v>116779.232594947</v>
      </c>
    </row>
    <row r="465" spans="1:13" x14ac:dyDescent="0.25">
      <c r="A465" s="12">
        <v>45390</v>
      </c>
      <c r="B465" s="12" t="s">
        <v>19</v>
      </c>
      <c r="C465" s="12" t="s">
        <v>14</v>
      </c>
      <c r="D465" s="12" t="s">
        <v>15</v>
      </c>
      <c r="E465" s="13">
        <v>65512</v>
      </c>
      <c r="F465" s="14">
        <v>40</v>
      </c>
      <c r="G465" s="15">
        <v>12713</v>
      </c>
      <c r="H465" s="16">
        <v>0.1</v>
      </c>
      <c r="I465" s="13">
        <v>3</v>
      </c>
      <c r="J465" s="15">
        <v>50852</v>
      </c>
      <c r="K465" s="15">
        <v>457668</v>
      </c>
      <c r="L465" s="15">
        <v>401902.27609108639</v>
      </c>
      <c r="M465" s="15">
        <v>55765.723908913613</v>
      </c>
    </row>
    <row r="466" spans="1:13" x14ac:dyDescent="0.25">
      <c r="A466" s="12">
        <v>45391</v>
      </c>
      <c r="B466" s="12" t="s">
        <v>16</v>
      </c>
      <c r="C466" s="12" t="s">
        <v>23</v>
      </c>
      <c r="D466" s="12" t="s">
        <v>18</v>
      </c>
      <c r="E466" s="13">
        <v>66809</v>
      </c>
      <c r="F466" s="14">
        <v>16</v>
      </c>
      <c r="G466" s="15">
        <v>32331</v>
      </c>
      <c r="H466" s="16">
        <v>0</v>
      </c>
      <c r="I466" s="13">
        <v>2</v>
      </c>
      <c r="J466" s="15">
        <v>0</v>
      </c>
      <c r="K466" s="15">
        <v>517296</v>
      </c>
      <c r="L466" s="15">
        <v>450262.74464421772</v>
      </c>
      <c r="M466" s="15">
        <v>67033.255355782283</v>
      </c>
    </row>
    <row r="467" spans="1:13" x14ac:dyDescent="0.25">
      <c r="A467" s="12">
        <v>45392</v>
      </c>
      <c r="B467" s="12" t="s">
        <v>13</v>
      </c>
      <c r="C467" s="12" t="s">
        <v>14</v>
      </c>
      <c r="D467" s="12" t="s">
        <v>27</v>
      </c>
      <c r="E467" s="13">
        <v>52832</v>
      </c>
      <c r="F467" s="14">
        <v>17</v>
      </c>
      <c r="G467" s="15">
        <v>42796</v>
      </c>
      <c r="H467" s="16">
        <v>0</v>
      </c>
      <c r="I467" s="13">
        <v>1</v>
      </c>
      <c r="J467" s="15">
        <v>0</v>
      </c>
      <c r="K467" s="15">
        <v>727532</v>
      </c>
      <c r="L467" s="15">
        <v>456135.99746345321</v>
      </c>
      <c r="M467" s="15">
        <v>271396.00253654679</v>
      </c>
    </row>
    <row r="468" spans="1:13" x14ac:dyDescent="0.25">
      <c r="A468" s="12">
        <v>45393</v>
      </c>
      <c r="B468" s="12" t="s">
        <v>16</v>
      </c>
      <c r="C468" s="12" t="s">
        <v>23</v>
      </c>
      <c r="D468" s="12" t="s">
        <v>26</v>
      </c>
      <c r="E468" s="13">
        <v>38369</v>
      </c>
      <c r="F468" s="14">
        <v>15</v>
      </c>
      <c r="G468" s="15">
        <v>47430</v>
      </c>
      <c r="H468" s="16">
        <v>0</v>
      </c>
      <c r="I468" s="13">
        <v>5</v>
      </c>
      <c r="J468" s="15">
        <v>0</v>
      </c>
      <c r="K468" s="15">
        <v>711450</v>
      </c>
      <c r="L468" s="15">
        <v>455028.44235976459</v>
      </c>
      <c r="M468" s="15">
        <v>256421.55764023541</v>
      </c>
    </row>
    <row r="469" spans="1:13" x14ac:dyDescent="0.25">
      <c r="A469" s="12">
        <v>45394</v>
      </c>
      <c r="B469" s="12" t="s">
        <v>19</v>
      </c>
      <c r="C469" s="12" t="s">
        <v>20</v>
      </c>
      <c r="D469" s="12" t="s">
        <v>15</v>
      </c>
      <c r="E469" s="13">
        <v>41728</v>
      </c>
      <c r="F469" s="14">
        <v>16</v>
      </c>
      <c r="G469" s="15">
        <v>28213</v>
      </c>
      <c r="H469" s="16">
        <v>0.15</v>
      </c>
      <c r="I469" s="13">
        <v>4</v>
      </c>
      <c r="J469" s="15">
        <v>67711.199999999997</v>
      </c>
      <c r="K469" s="15">
        <v>383696.8</v>
      </c>
      <c r="L469" s="15">
        <v>287255.6657137195</v>
      </c>
      <c r="M469" s="15">
        <v>96441.134286280489</v>
      </c>
    </row>
    <row r="470" spans="1:13" x14ac:dyDescent="0.25">
      <c r="A470" s="12">
        <v>45395</v>
      </c>
      <c r="B470" s="12" t="s">
        <v>19</v>
      </c>
      <c r="C470" s="12" t="s">
        <v>20</v>
      </c>
      <c r="D470" s="12" t="s">
        <v>22</v>
      </c>
      <c r="E470" s="13">
        <v>27576</v>
      </c>
      <c r="F470" s="14">
        <v>15</v>
      </c>
      <c r="G470" s="15">
        <v>42121</v>
      </c>
      <c r="H470" s="16">
        <v>0.2</v>
      </c>
      <c r="I470" s="13">
        <v>2</v>
      </c>
      <c r="J470" s="15">
        <v>126363</v>
      </c>
      <c r="K470" s="15">
        <v>505452</v>
      </c>
      <c r="L470" s="15">
        <v>319438.47740341409</v>
      </c>
      <c r="M470" s="15">
        <v>186013.52259658591</v>
      </c>
    </row>
    <row r="471" spans="1:13" x14ac:dyDescent="0.25">
      <c r="A471" s="12">
        <v>45396</v>
      </c>
      <c r="B471" s="12" t="s">
        <v>16</v>
      </c>
      <c r="C471" s="12" t="s">
        <v>20</v>
      </c>
      <c r="D471" s="12" t="s">
        <v>26</v>
      </c>
      <c r="E471" s="13">
        <v>39001</v>
      </c>
      <c r="F471" s="14">
        <v>34</v>
      </c>
      <c r="G471" s="15">
        <v>7687</v>
      </c>
      <c r="H471" s="16">
        <v>0.2</v>
      </c>
      <c r="I471" s="13">
        <v>3</v>
      </c>
      <c r="J471" s="15">
        <v>52271.600000000013</v>
      </c>
      <c r="K471" s="15">
        <v>209086.4</v>
      </c>
      <c r="L471" s="15">
        <v>147128.7182152005</v>
      </c>
      <c r="M471" s="15">
        <v>61957.681784799468</v>
      </c>
    </row>
    <row r="472" spans="1:13" x14ac:dyDescent="0.25">
      <c r="A472" s="12">
        <v>45397</v>
      </c>
      <c r="B472" s="12" t="s">
        <v>19</v>
      </c>
      <c r="C472" s="12" t="s">
        <v>21</v>
      </c>
      <c r="D472" s="12" t="s">
        <v>25</v>
      </c>
      <c r="E472" s="13">
        <v>93384</v>
      </c>
      <c r="F472" s="14">
        <v>11</v>
      </c>
      <c r="G472" s="15">
        <v>33300</v>
      </c>
      <c r="H472" s="16">
        <v>0.15</v>
      </c>
      <c r="I472" s="13">
        <v>2</v>
      </c>
      <c r="J472" s="15">
        <v>54945</v>
      </c>
      <c r="K472" s="15">
        <v>311355</v>
      </c>
      <c r="L472" s="15">
        <v>200673.15883047081</v>
      </c>
      <c r="M472" s="15">
        <v>110681.8411695292</v>
      </c>
    </row>
    <row r="473" spans="1:13" x14ac:dyDescent="0.25">
      <c r="A473" s="12">
        <v>45398</v>
      </c>
      <c r="B473" s="12" t="s">
        <v>16</v>
      </c>
      <c r="C473" s="12" t="s">
        <v>14</v>
      </c>
      <c r="D473" s="12" t="s">
        <v>27</v>
      </c>
      <c r="E473" s="13">
        <v>10390</v>
      </c>
      <c r="F473" s="14">
        <v>1</v>
      </c>
      <c r="G473" s="15">
        <v>33083</v>
      </c>
      <c r="H473" s="16">
        <v>0.05</v>
      </c>
      <c r="I473" s="13">
        <v>5</v>
      </c>
      <c r="J473" s="15">
        <v>1654.15</v>
      </c>
      <c r="K473" s="15">
        <v>31428.85</v>
      </c>
      <c r="L473" s="15">
        <v>24854.315074616032</v>
      </c>
      <c r="M473" s="15">
        <v>6574.5349253839668</v>
      </c>
    </row>
    <row r="474" spans="1:13" x14ac:dyDescent="0.25">
      <c r="A474" s="12">
        <v>45399</v>
      </c>
      <c r="B474" s="12" t="s">
        <v>13</v>
      </c>
      <c r="C474" s="12" t="s">
        <v>20</v>
      </c>
      <c r="D474" s="12" t="s">
        <v>26</v>
      </c>
      <c r="E474" s="13">
        <v>97535</v>
      </c>
      <c r="F474" s="14">
        <v>15</v>
      </c>
      <c r="G474" s="15">
        <v>48161</v>
      </c>
      <c r="H474" s="16">
        <v>0.15</v>
      </c>
      <c r="I474" s="13">
        <v>3</v>
      </c>
      <c r="J474" s="15">
        <v>108362.25</v>
      </c>
      <c r="K474" s="15">
        <v>614052.75</v>
      </c>
      <c r="L474" s="15">
        <v>543343.73429156095</v>
      </c>
      <c r="M474" s="15">
        <v>70709.015708439052</v>
      </c>
    </row>
    <row r="475" spans="1:13" x14ac:dyDescent="0.25">
      <c r="A475" s="12">
        <v>45400</v>
      </c>
      <c r="B475" s="12" t="s">
        <v>16</v>
      </c>
      <c r="C475" s="12" t="s">
        <v>21</v>
      </c>
      <c r="D475" s="12" t="s">
        <v>26</v>
      </c>
      <c r="E475" s="13">
        <v>55436</v>
      </c>
      <c r="F475" s="14">
        <v>26</v>
      </c>
      <c r="G475" s="15">
        <v>14908</v>
      </c>
      <c r="H475" s="16">
        <v>0</v>
      </c>
      <c r="I475" s="13">
        <v>4</v>
      </c>
      <c r="J475" s="15">
        <v>0</v>
      </c>
      <c r="K475" s="15">
        <v>387608</v>
      </c>
      <c r="L475" s="15">
        <v>348467.39497087942</v>
      </c>
      <c r="M475" s="15">
        <v>39140.605029120627</v>
      </c>
    </row>
    <row r="476" spans="1:13" x14ac:dyDescent="0.25">
      <c r="A476" s="12">
        <v>45401</v>
      </c>
      <c r="B476" s="12" t="s">
        <v>13</v>
      </c>
      <c r="C476" s="12" t="s">
        <v>14</v>
      </c>
      <c r="D476" s="12" t="s">
        <v>25</v>
      </c>
      <c r="E476" s="13">
        <v>21569</v>
      </c>
      <c r="F476" s="14">
        <v>4</v>
      </c>
      <c r="G476" s="15">
        <v>22869</v>
      </c>
      <c r="H476" s="16">
        <v>0.15</v>
      </c>
      <c r="I476" s="13">
        <v>4</v>
      </c>
      <c r="J476" s="15">
        <v>13721.4</v>
      </c>
      <c r="K476" s="15">
        <v>77754.600000000006</v>
      </c>
      <c r="L476" s="15">
        <v>55405.777248253376</v>
      </c>
      <c r="M476" s="15">
        <v>22348.822751746618</v>
      </c>
    </row>
    <row r="477" spans="1:13" x14ac:dyDescent="0.25">
      <c r="A477" s="12">
        <v>45402</v>
      </c>
      <c r="B477" s="12" t="s">
        <v>16</v>
      </c>
      <c r="C477" s="12" t="s">
        <v>23</v>
      </c>
      <c r="D477" s="12" t="s">
        <v>15</v>
      </c>
      <c r="E477" s="13">
        <v>23029</v>
      </c>
      <c r="F477" s="14">
        <v>43</v>
      </c>
      <c r="G477" s="15">
        <v>48428</v>
      </c>
      <c r="H477" s="16">
        <v>0</v>
      </c>
      <c r="I477" s="13">
        <v>4</v>
      </c>
      <c r="J477" s="15">
        <v>0</v>
      </c>
      <c r="K477" s="15">
        <v>2082404</v>
      </c>
      <c r="L477" s="15">
        <v>1623658.2934734051</v>
      </c>
      <c r="M477" s="15">
        <v>458745.70652659488</v>
      </c>
    </row>
    <row r="478" spans="1:13" x14ac:dyDescent="0.25">
      <c r="A478" s="12">
        <v>45403</v>
      </c>
      <c r="B478" s="12" t="s">
        <v>19</v>
      </c>
      <c r="C478" s="12" t="s">
        <v>21</v>
      </c>
      <c r="D478" s="12" t="s">
        <v>22</v>
      </c>
      <c r="E478" s="13">
        <v>32490</v>
      </c>
      <c r="F478" s="14">
        <v>5</v>
      </c>
      <c r="G478" s="15">
        <v>3914</v>
      </c>
      <c r="H478" s="16">
        <v>0.1</v>
      </c>
      <c r="I478" s="13">
        <v>1</v>
      </c>
      <c r="J478" s="15">
        <v>1957</v>
      </c>
      <c r="K478" s="15">
        <v>17613</v>
      </c>
      <c r="L478" s="15">
        <v>15092.232654455889</v>
      </c>
      <c r="M478" s="15">
        <v>2520.7673455441068</v>
      </c>
    </row>
    <row r="479" spans="1:13" x14ac:dyDescent="0.25">
      <c r="A479" s="12">
        <v>45404</v>
      </c>
      <c r="B479" s="12" t="s">
        <v>16</v>
      </c>
      <c r="C479" s="12" t="s">
        <v>17</v>
      </c>
      <c r="D479" s="12" t="s">
        <v>25</v>
      </c>
      <c r="E479" s="13">
        <v>55875</v>
      </c>
      <c r="F479" s="14">
        <v>35</v>
      </c>
      <c r="G479" s="15">
        <v>20010</v>
      </c>
      <c r="H479" s="16">
        <v>0</v>
      </c>
      <c r="I479" s="13">
        <v>3</v>
      </c>
      <c r="J479" s="15">
        <v>0</v>
      </c>
      <c r="K479" s="15">
        <v>700350</v>
      </c>
      <c r="L479" s="15">
        <v>444889.36880488432</v>
      </c>
      <c r="M479" s="15">
        <v>255460.63119511571</v>
      </c>
    </row>
    <row r="480" spans="1:13" x14ac:dyDescent="0.25">
      <c r="A480" s="12">
        <v>45405</v>
      </c>
      <c r="B480" s="12" t="s">
        <v>19</v>
      </c>
      <c r="C480" s="12" t="s">
        <v>21</v>
      </c>
      <c r="D480" s="12" t="s">
        <v>22</v>
      </c>
      <c r="E480" s="13">
        <v>15867</v>
      </c>
      <c r="F480" s="14">
        <v>13</v>
      </c>
      <c r="G480" s="15">
        <v>12620</v>
      </c>
      <c r="H480" s="16">
        <v>0.2</v>
      </c>
      <c r="I480" s="13">
        <v>3</v>
      </c>
      <c r="J480" s="15">
        <v>32812</v>
      </c>
      <c r="K480" s="15">
        <v>131248</v>
      </c>
      <c r="L480" s="15">
        <v>105899.98494652451</v>
      </c>
      <c r="M480" s="15">
        <v>25348.015053475508</v>
      </c>
    </row>
    <row r="481" spans="1:13" x14ac:dyDescent="0.25">
      <c r="A481" s="12">
        <v>45406</v>
      </c>
      <c r="B481" s="12" t="s">
        <v>16</v>
      </c>
      <c r="C481" s="12" t="s">
        <v>21</v>
      </c>
      <c r="D481" s="12" t="s">
        <v>15</v>
      </c>
      <c r="E481" s="13">
        <v>90820</v>
      </c>
      <c r="F481" s="14">
        <v>10</v>
      </c>
      <c r="G481" s="15">
        <v>34811</v>
      </c>
      <c r="H481" s="16">
        <v>0.15</v>
      </c>
      <c r="I481" s="13">
        <v>1</v>
      </c>
      <c r="J481" s="15">
        <v>52216.5</v>
      </c>
      <c r="K481" s="15">
        <v>295893.5</v>
      </c>
      <c r="L481" s="15">
        <v>213828.35460619401</v>
      </c>
      <c r="M481" s="15">
        <v>82065.145393806044</v>
      </c>
    </row>
    <row r="482" spans="1:13" x14ac:dyDescent="0.25">
      <c r="A482" s="12">
        <v>45407</v>
      </c>
      <c r="B482" s="12" t="s">
        <v>16</v>
      </c>
      <c r="C482" s="12" t="s">
        <v>14</v>
      </c>
      <c r="D482" s="12" t="s">
        <v>26</v>
      </c>
      <c r="E482" s="13">
        <v>19121</v>
      </c>
      <c r="F482" s="14">
        <v>11</v>
      </c>
      <c r="G482" s="15">
        <v>33539</v>
      </c>
      <c r="H482" s="16">
        <v>0</v>
      </c>
      <c r="I482" s="13">
        <v>3</v>
      </c>
      <c r="J482" s="15">
        <v>0</v>
      </c>
      <c r="K482" s="15">
        <v>368929</v>
      </c>
      <c r="L482" s="15">
        <v>244173.38902980019</v>
      </c>
      <c r="M482" s="15">
        <v>124755.61097019981</v>
      </c>
    </row>
    <row r="483" spans="1:13" x14ac:dyDescent="0.25">
      <c r="A483" s="12">
        <v>45408</v>
      </c>
      <c r="B483" s="12" t="s">
        <v>24</v>
      </c>
      <c r="C483" s="12" t="s">
        <v>23</v>
      </c>
      <c r="D483" s="12" t="s">
        <v>22</v>
      </c>
      <c r="E483" s="13">
        <v>11539</v>
      </c>
      <c r="F483" s="14">
        <v>18</v>
      </c>
      <c r="G483" s="15">
        <v>5795</v>
      </c>
      <c r="H483" s="16">
        <v>0.05</v>
      </c>
      <c r="I483" s="13">
        <v>1</v>
      </c>
      <c r="J483" s="15">
        <v>5215.5</v>
      </c>
      <c r="K483" s="15">
        <v>99094.5</v>
      </c>
      <c r="L483" s="15">
        <v>71429.900541890514</v>
      </c>
      <c r="M483" s="15">
        <v>27664.599458109489</v>
      </c>
    </row>
    <row r="484" spans="1:13" x14ac:dyDescent="0.25">
      <c r="A484" s="12">
        <v>45409</v>
      </c>
      <c r="B484" s="12" t="s">
        <v>19</v>
      </c>
      <c r="C484" s="12" t="s">
        <v>17</v>
      </c>
      <c r="D484" s="12" t="s">
        <v>27</v>
      </c>
      <c r="E484" s="13">
        <v>27027</v>
      </c>
      <c r="F484" s="14">
        <v>34</v>
      </c>
      <c r="G484" s="15">
        <v>20960</v>
      </c>
      <c r="H484" s="16">
        <v>0.1</v>
      </c>
      <c r="I484" s="13">
        <v>2</v>
      </c>
      <c r="J484" s="15">
        <v>71264</v>
      </c>
      <c r="K484" s="15">
        <v>641376</v>
      </c>
      <c r="L484" s="15">
        <v>399441.33150372311</v>
      </c>
      <c r="M484" s="15">
        <v>241934.66849627689</v>
      </c>
    </row>
    <row r="485" spans="1:13" x14ac:dyDescent="0.25">
      <c r="A485" s="12">
        <v>45410</v>
      </c>
      <c r="B485" s="12" t="s">
        <v>24</v>
      </c>
      <c r="C485" s="12" t="s">
        <v>20</v>
      </c>
      <c r="D485" s="12" t="s">
        <v>27</v>
      </c>
      <c r="E485" s="13">
        <v>84229</v>
      </c>
      <c r="F485" s="14">
        <v>39</v>
      </c>
      <c r="G485" s="15">
        <v>15463</v>
      </c>
      <c r="H485" s="16">
        <v>0.05</v>
      </c>
      <c r="I485" s="13">
        <v>5</v>
      </c>
      <c r="J485" s="15">
        <v>30152.85</v>
      </c>
      <c r="K485" s="15">
        <v>572904.15</v>
      </c>
      <c r="L485" s="15">
        <v>463262.982409944</v>
      </c>
      <c r="M485" s="15">
        <v>109641.16759005599</v>
      </c>
    </row>
    <row r="486" spans="1:13" x14ac:dyDescent="0.25">
      <c r="A486" s="12">
        <v>45411</v>
      </c>
      <c r="B486" s="12" t="s">
        <v>19</v>
      </c>
      <c r="C486" s="12" t="s">
        <v>20</v>
      </c>
      <c r="D486" s="12" t="s">
        <v>25</v>
      </c>
      <c r="E486" s="13">
        <v>18921</v>
      </c>
      <c r="F486" s="14">
        <v>41</v>
      </c>
      <c r="G486" s="15">
        <v>12080</v>
      </c>
      <c r="H486" s="16">
        <v>0.05</v>
      </c>
      <c r="I486" s="13">
        <v>4</v>
      </c>
      <c r="J486" s="15">
        <v>24764</v>
      </c>
      <c r="K486" s="15">
        <v>470516</v>
      </c>
      <c r="L486" s="15">
        <v>317985.44085865421</v>
      </c>
      <c r="M486" s="15">
        <v>152530.55914134579</v>
      </c>
    </row>
    <row r="487" spans="1:13" x14ac:dyDescent="0.25">
      <c r="A487" s="12">
        <v>45412</v>
      </c>
      <c r="B487" s="12" t="s">
        <v>24</v>
      </c>
      <c r="C487" s="12" t="s">
        <v>21</v>
      </c>
      <c r="D487" s="12" t="s">
        <v>15</v>
      </c>
      <c r="E487" s="13">
        <v>60435</v>
      </c>
      <c r="F487" s="14">
        <v>42</v>
      </c>
      <c r="G487" s="15">
        <v>22786</v>
      </c>
      <c r="H487" s="16">
        <v>0.05</v>
      </c>
      <c r="I487" s="13">
        <v>1</v>
      </c>
      <c r="J487" s="15">
        <v>47850.600000000013</v>
      </c>
      <c r="K487" s="15">
        <v>909161.4</v>
      </c>
      <c r="L487" s="15">
        <v>630432.23766507127</v>
      </c>
      <c r="M487" s="15">
        <v>278729.16233492881</v>
      </c>
    </row>
    <row r="488" spans="1:13" x14ac:dyDescent="0.25">
      <c r="A488" s="12">
        <v>45413</v>
      </c>
      <c r="B488" s="12" t="s">
        <v>13</v>
      </c>
      <c r="C488" s="12" t="s">
        <v>14</v>
      </c>
      <c r="D488" s="12" t="s">
        <v>25</v>
      </c>
      <c r="E488" s="13">
        <v>20310</v>
      </c>
      <c r="F488" s="14">
        <v>23</v>
      </c>
      <c r="G488" s="15">
        <v>27828</v>
      </c>
      <c r="H488" s="16">
        <v>0.1</v>
      </c>
      <c r="I488" s="13">
        <v>1</v>
      </c>
      <c r="J488" s="15">
        <v>64004.4</v>
      </c>
      <c r="K488" s="15">
        <v>576039.6</v>
      </c>
      <c r="L488" s="15">
        <v>366548.04678194789</v>
      </c>
      <c r="M488" s="15">
        <v>209491.55321805211</v>
      </c>
    </row>
    <row r="489" spans="1:13" x14ac:dyDescent="0.25">
      <c r="A489" s="12">
        <v>45414</v>
      </c>
      <c r="B489" s="12" t="s">
        <v>16</v>
      </c>
      <c r="C489" s="12" t="s">
        <v>14</v>
      </c>
      <c r="D489" s="12" t="s">
        <v>25</v>
      </c>
      <c r="E489" s="13">
        <v>73965</v>
      </c>
      <c r="F489" s="14">
        <v>7</v>
      </c>
      <c r="G489" s="15">
        <v>19593</v>
      </c>
      <c r="H489" s="16">
        <v>0.1</v>
      </c>
      <c r="I489" s="13">
        <v>1</v>
      </c>
      <c r="J489" s="15">
        <v>13715.1</v>
      </c>
      <c r="K489" s="15">
        <v>123435.9</v>
      </c>
      <c r="L489" s="15">
        <v>106080.5327748604</v>
      </c>
      <c r="M489" s="15">
        <v>17355.36722513962</v>
      </c>
    </row>
    <row r="490" spans="1:13" x14ac:dyDescent="0.25">
      <c r="A490" s="12">
        <v>45415</v>
      </c>
      <c r="B490" s="12" t="s">
        <v>19</v>
      </c>
      <c r="C490" s="12" t="s">
        <v>20</v>
      </c>
      <c r="D490" s="12" t="s">
        <v>18</v>
      </c>
      <c r="E490" s="13">
        <v>79922</v>
      </c>
      <c r="F490" s="14">
        <v>39</v>
      </c>
      <c r="G490" s="15">
        <v>22105</v>
      </c>
      <c r="H490" s="16">
        <v>0.1</v>
      </c>
      <c r="I490" s="13">
        <v>2</v>
      </c>
      <c r="J490" s="15">
        <v>86209.5</v>
      </c>
      <c r="K490" s="15">
        <v>775885.5</v>
      </c>
      <c r="L490" s="15">
        <v>580388.17840602819</v>
      </c>
      <c r="M490" s="15">
        <v>195497.32159397181</v>
      </c>
    </row>
    <row r="491" spans="1:13" x14ac:dyDescent="0.25">
      <c r="A491" s="12">
        <v>45416</v>
      </c>
      <c r="B491" s="12" t="s">
        <v>19</v>
      </c>
      <c r="C491" s="12" t="s">
        <v>17</v>
      </c>
      <c r="D491" s="12" t="s">
        <v>25</v>
      </c>
      <c r="E491" s="13">
        <v>92839</v>
      </c>
      <c r="F491" s="14">
        <v>3</v>
      </c>
      <c r="G491" s="15">
        <v>45865</v>
      </c>
      <c r="H491" s="16">
        <v>0.1</v>
      </c>
      <c r="I491" s="13">
        <v>1</v>
      </c>
      <c r="J491" s="15">
        <v>13759.5</v>
      </c>
      <c r="K491" s="15">
        <v>123835.5</v>
      </c>
      <c r="L491" s="15">
        <v>95556.928405235332</v>
      </c>
      <c r="M491" s="15">
        <v>28278.571594764671</v>
      </c>
    </row>
    <row r="492" spans="1:13" x14ac:dyDescent="0.25">
      <c r="A492" s="12">
        <v>45417</v>
      </c>
      <c r="B492" s="12" t="s">
        <v>16</v>
      </c>
      <c r="C492" s="12" t="s">
        <v>23</v>
      </c>
      <c r="D492" s="12" t="s">
        <v>18</v>
      </c>
      <c r="E492" s="13">
        <v>22242</v>
      </c>
      <c r="F492" s="14">
        <v>12</v>
      </c>
      <c r="G492" s="15">
        <v>45313</v>
      </c>
      <c r="H492" s="16">
        <v>0.05</v>
      </c>
      <c r="I492" s="13">
        <v>5</v>
      </c>
      <c r="J492" s="15">
        <v>27187.8</v>
      </c>
      <c r="K492" s="15">
        <v>516568.2</v>
      </c>
      <c r="L492" s="15">
        <v>398186.16483824392</v>
      </c>
      <c r="M492" s="15">
        <v>118382.0351617562</v>
      </c>
    </row>
    <row r="493" spans="1:13" x14ac:dyDescent="0.25">
      <c r="A493" s="12">
        <v>45418</v>
      </c>
      <c r="B493" s="12" t="s">
        <v>19</v>
      </c>
      <c r="C493" s="12" t="s">
        <v>17</v>
      </c>
      <c r="D493" s="12" t="s">
        <v>27</v>
      </c>
      <c r="E493" s="13">
        <v>18947</v>
      </c>
      <c r="F493" s="14">
        <v>7</v>
      </c>
      <c r="G493" s="15">
        <v>46871</v>
      </c>
      <c r="H493" s="16">
        <v>0.2</v>
      </c>
      <c r="I493" s="13">
        <v>5</v>
      </c>
      <c r="J493" s="15">
        <v>65619.400000000009</v>
      </c>
      <c r="K493" s="15">
        <v>262477.59999999998</v>
      </c>
      <c r="L493" s="15">
        <v>189810.1342564009</v>
      </c>
      <c r="M493" s="15">
        <v>72667.465743599052</v>
      </c>
    </row>
    <row r="494" spans="1:13" x14ac:dyDescent="0.25">
      <c r="A494" s="12">
        <v>45419</v>
      </c>
      <c r="B494" s="12" t="s">
        <v>19</v>
      </c>
      <c r="C494" s="12" t="s">
        <v>23</v>
      </c>
      <c r="D494" s="12" t="s">
        <v>27</v>
      </c>
      <c r="E494" s="13">
        <v>81466</v>
      </c>
      <c r="F494" s="14">
        <v>49</v>
      </c>
      <c r="G494" s="15">
        <v>43205</v>
      </c>
      <c r="H494" s="16">
        <v>0.2</v>
      </c>
      <c r="I494" s="13">
        <v>4</v>
      </c>
      <c r="J494" s="15">
        <v>423409</v>
      </c>
      <c r="K494" s="15">
        <v>1693636</v>
      </c>
      <c r="L494" s="15">
        <v>1114004.278758897</v>
      </c>
      <c r="M494" s="15">
        <v>579631.72124110325</v>
      </c>
    </row>
    <row r="495" spans="1:13" x14ac:dyDescent="0.25">
      <c r="A495" s="12">
        <v>45420</v>
      </c>
      <c r="B495" s="12" t="s">
        <v>24</v>
      </c>
      <c r="C495" s="12" t="s">
        <v>20</v>
      </c>
      <c r="D495" s="12" t="s">
        <v>25</v>
      </c>
      <c r="E495" s="13">
        <v>71816</v>
      </c>
      <c r="F495" s="14">
        <v>26</v>
      </c>
      <c r="G495" s="15">
        <v>48098</v>
      </c>
      <c r="H495" s="16">
        <v>0.1</v>
      </c>
      <c r="I495" s="13">
        <v>2</v>
      </c>
      <c r="J495" s="15">
        <v>125054.8</v>
      </c>
      <c r="K495" s="15">
        <v>1125493.2</v>
      </c>
      <c r="L495" s="15">
        <v>926888.47245967784</v>
      </c>
      <c r="M495" s="15">
        <v>198604.72754032211</v>
      </c>
    </row>
    <row r="496" spans="1:13" x14ac:dyDescent="0.25">
      <c r="A496" s="12">
        <v>45421</v>
      </c>
      <c r="B496" s="12" t="s">
        <v>19</v>
      </c>
      <c r="C496" s="12" t="s">
        <v>23</v>
      </c>
      <c r="D496" s="12" t="s">
        <v>27</v>
      </c>
      <c r="E496" s="13">
        <v>58785</v>
      </c>
      <c r="F496" s="14">
        <v>33</v>
      </c>
      <c r="G496" s="15">
        <v>7222</v>
      </c>
      <c r="H496" s="16">
        <v>0.15</v>
      </c>
      <c r="I496" s="13">
        <v>5</v>
      </c>
      <c r="J496" s="15">
        <v>35748.9</v>
      </c>
      <c r="K496" s="15">
        <v>202577.1</v>
      </c>
      <c r="L496" s="15">
        <v>129267.86693189639</v>
      </c>
      <c r="M496" s="15">
        <v>73309.233068103582</v>
      </c>
    </row>
    <row r="497" spans="1:13" x14ac:dyDescent="0.25">
      <c r="A497" s="12">
        <v>45422</v>
      </c>
      <c r="B497" s="12" t="s">
        <v>13</v>
      </c>
      <c r="C497" s="12" t="s">
        <v>14</v>
      </c>
      <c r="D497" s="12" t="s">
        <v>15</v>
      </c>
      <c r="E497" s="13">
        <v>10507</v>
      </c>
      <c r="F497" s="14">
        <v>37</v>
      </c>
      <c r="G497" s="15">
        <v>41469</v>
      </c>
      <c r="H497" s="16">
        <v>0</v>
      </c>
      <c r="I497" s="13">
        <v>3</v>
      </c>
      <c r="J497" s="15">
        <v>0</v>
      </c>
      <c r="K497" s="15">
        <v>1534353</v>
      </c>
      <c r="L497" s="15">
        <v>968425.518520699</v>
      </c>
      <c r="M497" s="15">
        <v>565927.481479301</v>
      </c>
    </row>
    <row r="498" spans="1:13" x14ac:dyDescent="0.25">
      <c r="A498" s="12">
        <v>45423</v>
      </c>
      <c r="B498" s="12" t="s">
        <v>13</v>
      </c>
      <c r="C498" s="12" t="s">
        <v>21</v>
      </c>
      <c r="D498" s="12" t="s">
        <v>18</v>
      </c>
      <c r="E498" s="13">
        <v>76972</v>
      </c>
      <c r="F498" s="14">
        <v>48</v>
      </c>
      <c r="G498" s="15">
        <v>37412</v>
      </c>
      <c r="H498" s="16">
        <v>0.15</v>
      </c>
      <c r="I498" s="13">
        <v>3</v>
      </c>
      <c r="J498" s="15">
        <v>269366.40000000002</v>
      </c>
      <c r="K498" s="15">
        <v>1526409.6</v>
      </c>
      <c r="L498" s="15">
        <v>1241037.4208338989</v>
      </c>
      <c r="M498" s="15">
        <v>285372.17916610092</v>
      </c>
    </row>
    <row r="499" spans="1:13" x14ac:dyDescent="0.25">
      <c r="A499" s="12">
        <v>45424</v>
      </c>
      <c r="B499" s="12" t="s">
        <v>16</v>
      </c>
      <c r="C499" s="12" t="s">
        <v>21</v>
      </c>
      <c r="D499" s="12" t="s">
        <v>18</v>
      </c>
      <c r="E499" s="13">
        <v>37151</v>
      </c>
      <c r="F499" s="14">
        <v>15</v>
      </c>
      <c r="G499" s="15">
        <v>38874</v>
      </c>
      <c r="H499" s="16">
        <v>0.15</v>
      </c>
      <c r="I499" s="13">
        <v>3</v>
      </c>
      <c r="J499" s="15">
        <v>87466.5</v>
      </c>
      <c r="K499" s="15">
        <v>495643.5</v>
      </c>
      <c r="L499" s="15">
        <v>328438.71352391777</v>
      </c>
      <c r="M499" s="15">
        <v>167204.7864760822</v>
      </c>
    </row>
    <row r="500" spans="1:13" x14ac:dyDescent="0.25">
      <c r="A500" s="12">
        <v>45425</v>
      </c>
      <c r="B500" s="12" t="s">
        <v>19</v>
      </c>
      <c r="C500" s="12" t="s">
        <v>20</v>
      </c>
      <c r="D500" s="12" t="s">
        <v>25</v>
      </c>
      <c r="E500" s="13">
        <v>21618</v>
      </c>
      <c r="F500" s="14">
        <v>2</v>
      </c>
      <c r="G500" s="15">
        <v>7266</v>
      </c>
      <c r="H500" s="16">
        <v>0.15</v>
      </c>
      <c r="I500" s="13">
        <v>1</v>
      </c>
      <c r="J500" s="15">
        <v>2179.8000000000002</v>
      </c>
      <c r="K500" s="15">
        <v>12352.2</v>
      </c>
      <c r="L500" s="15">
        <v>8548.115513778137</v>
      </c>
      <c r="M500" s="15">
        <v>3804.0844862218642</v>
      </c>
    </row>
    <row r="501" spans="1:13" x14ac:dyDescent="0.25">
      <c r="A501" s="12">
        <v>45426</v>
      </c>
      <c r="B501" s="12" t="s">
        <v>16</v>
      </c>
      <c r="C501" s="12" t="s">
        <v>14</v>
      </c>
      <c r="D501" s="12" t="s">
        <v>27</v>
      </c>
      <c r="E501" s="13">
        <v>84286</v>
      </c>
      <c r="F501" s="14">
        <v>41</v>
      </c>
      <c r="G501" s="15">
        <v>16428</v>
      </c>
      <c r="H501" s="16">
        <v>0.2</v>
      </c>
      <c r="I501" s="13">
        <v>1</v>
      </c>
      <c r="J501" s="15">
        <v>134709.6</v>
      </c>
      <c r="K501" s="15">
        <v>538838.4</v>
      </c>
      <c r="L501" s="15">
        <v>400124.28238658112</v>
      </c>
      <c r="M501" s="15">
        <v>138714.1176134189</v>
      </c>
    </row>
    <row r="502" spans="1:13" x14ac:dyDescent="0.25">
      <c r="A502" s="12">
        <v>45427</v>
      </c>
      <c r="B502" s="12" t="s">
        <v>13</v>
      </c>
      <c r="C502" s="12" t="s">
        <v>17</v>
      </c>
      <c r="D502" s="12" t="s">
        <v>22</v>
      </c>
      <c r="E502" s="13">
        <v>26122</v>
      </c>
      <c r="F502" s="14">
        <v>7</v>
      </c>
      <c r="G502" s="15">
        <v>21774</v>
      </c>
      <c r="H502" s="16">
        <v>0</v>
      </c>
      <c r="I502" s="13">
        <v>3</v>
      </c>
      <c r="J502" s="15">
        <v>0</v>
      </c>
      <c r="K502" s="15">
        <v>152418</v>
      </c>
      <c r="L502" s="15">
        <v>111997.5686979852</v>
      </c>
      <c r="M502" s="15">
        <v>40420.431302014811</v>
      </c>
    </row>
    <row r="503" spans="1:13" x14ac:dyDescent="0.25">
      <c r="A503" s="12">
        <v>45428</v>
      </c>
      <c r="B503" s="12" t="s">
        <v>19</v>
      </c>
      <c r="C503" s="12" t="s">
        <v>14</v>
      </c>
      <c r="D503" s="12" t="s">
        <v>18</v>
      </c>
      <c r="E503" s="13">
        <v>17354</v>
      </c>
      <c r="F503" s="14">
        <v>32</v>
      </c>
      <c r="G503" s="15">
        <v>34916</v>
      </c>
      <c r="H503" s="16">
        <v>0.15</v>
      </c>
      <c r="I503" s="13">
        <v>4</v>
      </c>
      <c r="J503" s="15">
        <v>167596.79999999999</v>
      </c>
      <c r="K503" s="15">
        <v>949715.2</v>
      </c>
      <c r="L503" s="15">
        <v>771713.62964307924</v>
      </c>
      <c r="M503" s="15">
        <v>178001.57035692071</v>
      </c>
    </row>
    <row r="504" spans="1:13" x14ac:dyDescent="0.25">
      <c r="A504" s="12">
        <v>45429</v>
      </c>
      <c r="B504" s="12" t="s">
        <v>19</v>
      </c>
      <c r="C504" s="12" t="s">
        <v>21</v>
      </c>
      <c r="D504" s="12" t="s">
        <v>25</v>
      </c>
      <c r="E504" s="13">
        <v>40979</v>
      </c>
      <c r="F504" s="14">
        <v>4</v>
      </c>
      <c r="G504" s="15">
        <v>21112</v>
      </c>
      <c r="H504" s="16">
        <v>0.1</v>
      </c>
      <c r="I504" s="13">
        <v>4</v>
      </c>
      <c r="J504" s="15">
        <v>8444.8000000000011</v>
      </c>
      <c r="K504" s="15">
        <v>76003.199999999997</v>
      </c>
      <c r="L504" s="15">
        <v>59816.763385030339</v>
      </c>
      <c r="M504" s="15">
        <v>16186.43661496966</v>
      </c>
    </row>
    <row r="505" spans="1:13" x14ac:dyDescent="0.25">
      <c r="A505" s="12">
        <v>45430</v>
      </c>
      <c r="B505" s="12" t="s">
        <v>16</v>
      </c>
      <c r="C505" s="12" t="s">
        <v>21</v>
      </c>
      <c r="D505" s="12" t="s">
        <v>25</v>
      </c>
      <c r="E505" s="13">
        <v>96436</v>
      </c>
      <c r="F505" s="14">
        <v>20</v>
      </c>
      <c r="G505" s="15">
        <v>35398</v>
      </c>
      <c r="H505" s="16">
        <v>0.2</v>
      </c>
      <c r="I505" s="13">
        <v>1</v>
      </c>
      <c r="J505" s="15">
        <v>141592</v>
      </c>
      <c r="K505" s="15">
        <v>566368</v>
      </c>
      <c r="L505" s="15">
        <v>449310.40969177667</v>
      </c>
      <c r="M505" s="15">
        <v>117057.5903082233</v>
      </c>
    </row>
    <row r="506" spans="1:13" x14ac:dyDescent="0.25">
      <c r="A506" s="12">
        <v>45431</v>
      </c>
      <c r="B506" s="12" t="s">
        <v>13</v>
      </c>
      <c r="C506" s="12" t="s">
        <v>14</v>
      </c>
      <c r="D506" s="12" t="s">
        <v>15</v>
      </c>
      <c r="E506" s="13">
        <v>89376</v>
      </c>
      <c r="F506" s="14">
        <v>36</v>
      </c>
      <c r="G506" s="15">
        <v>47660</v>
      </c>
      <c r="H506" s="16">
        <v>0.1</v>
      </c>
      <c r="I506" s="13">
        <v>3</v>
      </c>
      <c r="J506" s="15">
        <v>171576</v>
      </c>
      <c r="K506" s="15">
        <v>1544184</v>
      </c>
      <c r="L506" s="15">
        <v>1257299.78175866</v>
      </c>
      <c r="M506" s="15">
        <v>286884.21824134002</v>
      </c>
    </row>
    <row r="507" spans="1:13" x14ac:dyDescent="0.25">
      <c r="A507" s="12">
        <v>45432</v>
      </c>
      <c r="B507" s="12" t="s">
        <v>19</v>
      </c>
      <c r="C507" s="12" t="s">
        <v>14</v>
      </c>
      <c r="D507" s="12" t="s">
        <v>26</v>
      </c>
      <c r="E507" s="13">
        <v>62774</v>
      </c>
      <c r="F507" s="14">
        <v>32</v>
      </c>
      <c r="G507" s="15">
        <v>29547</v>
      </c>
      <c r="H507" s="16">
        <v>0.1</v>
      </c>
      <c r="I507" s="13">
        <v>4</v>
      </c>
      <c r="J507" s="15">
        <v>94550.400000000009</v>
      </c>
      <c r="K507" s="15">
        <v>850953.6</v>
      </c>
      <c r="L507" s="15">
        <v>585272.11614204489</v>
      </c>
      <c r="M507" s="15">
        <v>265681.48385795509</v>
      </c>
    </row>
    <row r="508" spans="1:13" x14ac:dyDescent="0.25">
      <c r="A508" s="12">
        <v>45433</v>
      </c>
      <c r="B508" s="12" t="s">
        <v>16</v>
      </c>
      <c r="C508" s="12" t="s">
        <v>21</v>
      </c>
      <c r="D508" s="12" t="s">
        <v>26</v>
      </c>
      <c r="E508" s="13">
        <v>15037</v>
      </c>
      <c r="F508" s="14">
        <v>28</v>
      </c>
      <c r="G508" s="15">
        <v>43856</v>
      </c>
      <c r="H508" s="16">
        <v>0.15</v>
      </c>
      <c r="I508" s="13">
        <v>1</v>
      </c>
      <c r="J508" s="15">
        <v>184195.20000000001</v>
      </c>
      <c r="K508" s="15">
        <v>1043772.8</v>
      </c>
      <c r="L508" s="15">
        <v>727196.50301737606</v>
      </c>
      <c r="M508" s="15">
        <v>316576.29698262399</v>
      </c>
    </row>
    <row r="509" spans="1:13" x14ac:dyDescent="0.25">
      <c r="A509" s="12">
        <v>45434</v>
      </c>
      <c r="B509" s="12" t="s">
        <v>13</v>
      </c>
      <c r="C509" s="12" t="s">
        <v>17</v>
      </c>
      <c r="D509" s="12" t="s">
        <v>18</v>
      </c>
      <c r="E509" s="13">
        <v>38633</v>
      </c>
      <c r="F509" s="14">
        <v>13</v>
      </c>
      <c r="G509" s="15">
        <v>37634</v>
      </c>
      <c r="H509" s="16">
        <v>0.1</v>
      </c>
      <c r="I509" s="13">
        <v>3</v>
      </c>
      <c r="J509" s="15">
        <v>48924.2</v>
      </c>
      <c r="K509" s="15">
        <v>440317.8</v>
      </c>
      <c r="L509" s="15">
        <v>322048.1414274975</v>
      </c>
      <c r="M509" s="15">
        <v>118269.65857250251</v>
      </c>
    </row>
    <row r="510" spans="1:13" x14ac:dyDescent="0.25">
      <c r="A510" s="12">
        <v>45435</v>
      </c>
      <c r="B510" s="12" t="s">
        <v>16</v>
      </c>
      <c r="C510" s="12" t="s">
        <v>20</v>
      </c>
      <c r="D510" s="12" t="s">
        <v>15</v>
      </c>
      <c r="E510" s="13">
        <v>34495</v>
      </c>
      <c r="F510" s="14">
        <v>1</v>
      </c>
      <c r="G510" s="15">
        <v>2006</v>
      </c>
      <c r="H510" s="16">
        <v>0</v>
      </c>
      <c r="I510" s="13">
        <v>2</v>
      </c>
      <c r="J510" s="15">
        <v>0</v>
      </c>
      <c r="K510" s="15">
        <v>2006</v>
      </c>
      <c r="L510" s="15">
        <v>1388.6307357315759</v>
      </c>
      <c r="M510" s="15">
        <v>617.36926426842388</v>
      </c>
    </row>
    <row r="511" spans="1:13" x14ac:dyDescent="0.25">
      <c r="A511" s="12">
        <v>45436</v>
      </c>
      <c r="B511" s="12" t="s">
        <v>24</v>
      </c>
      <c r="C511" s="12" t="s">
        <v>20</v>
      </c>
      <c r="D511" s="12" t="s">
        <v>15</v>
      </c>
      <c r="E511" s="13">
        <v>74550</v>
      </c>
      <c r="F511" s="14">
        <v>35</v>
      </c>
      <c r="G511" s="15">
        <v>15722</v>
      </c>
      <c r="H511" s="16">
        <v>0.1</v>
      </c>
      <c r="I511" s="13">
        <v>3</v>
      </c>
      <c r="J511" s="15">
        <v>55027</v>
      </c>
      <c r="K511" s="15">
        <v>495243</v>
      </c>
      <c r="L511" s="15">
        <v>443480.87551282119</v>
      </c>
      <c r="M511" s="15">
        <v>51762.124487178808</v>
      </c>
    </row>
    <row r="512" spans="1:13" x14ac:dyDescent="0.25">
      <c r="A512" s="12">
        <v>45437</v>
      </c>
      <c r="B512" s="12" t="s">
        <v>19</v>
      </c>
      <c r="C512" s="12" t="s">
        <v>14</v>
      </c>
      <c r="D512" s="12" t="s">
        <v>15</v>
      </c>
      <c r="E512" s="13">
        <v>91384</v>
      </c>
      <c r="F512" s="14">
        <v>48</v>
      </c>
      <c r="G512" s="15">
        <v>12863</v>
      </c>
      <c r="H512" s="16">
        <v>0.15</v>
      </c>
      <c r="I512" s="13">
        <v>3</v>
      </c>
      <c r="J512" s="15">
        <v>92613.599999999991</v>
      </c>
      <c r="K512" s="15">
        <v>524810.4</v>
      </c>
      <c r="L512" s="15">
        <v>443053.11513780028</v>
      </c>
      <c r="M512" s="15">
        <v>81757.284862199682</v>
      </c>
    </row>
    <row r="513" spans="1:13" x14ac:dyDescent="0.25">
      <c r="A513" s="12">
        <v>45438</v>
      </c>
      <c r="B513" s="12" t="s">
        <v>24</v>
      </c>
      <c r="C513" s="12" t="s">
        <v>20</v>
      </c>
      <c r="D513" s="12" t="s">
        <v>18</v>
      </c>
      <c r="E513" s="13">
        <v>46483</v>
      </c>
      <c r="F513" s="14">
        <v>30</v>
      </c>
      <c r="G513" s="15">
        <v>20113</v>
      </c>
      <c r="H513" s="16">
        <v>0.1</v>
      </c>
      <c r="I513" s="13">
        <v>5</v>
      </c>
      <c r="J513" s="15">
        <v>60339</v>
      </c>
      <c r="K513" s="15">
        <v>543051</v>
      </c>
      <c r="L513" s="15">
        <v>352655.36793363752</v>
      </c>
      <c r="M513" s="15">
        <v>190395.63206636251</v>
      </c>
    </row>
    <row r="514" spans="1:13" x14ac:dyDescent="0.25">
      <c r="A514" s="12">
        <v>45439</v>
      </c>
      <c r="B514" s="12" t="s">
        <v>13</v>
      </c>
      <c r="C514" s="12" t="s">
        <v>21</v>
      </c>
      <c r="D514" s="12" t="s">
        <v>26</v>
      </c>
      <c r="E514" s="13">
        <v>83373</v>
      </c>
      <c r="F514" s="14">
        <v>36</v>
      </c>
      <c r="G514" s="15">
        <v>45063</v>
      </c>
      <c r="H514" s="16">
        <v>0.2</v>
      </c>
      <c r="I514" s="13">
        <v>5</v>
      </c>
      <c r="J514" s="15">
        <v>324453.59999999998</v>
      </c>
      <c r="K514" s="15">
        <v>1297814.3999999999</v>
      </c>
      <c r="L514" s="15">
        <v>780866.69281780045</v>
      </c>
      <c r="M514" s="15">
        <v>516947.70718219952</v>
      </c>
    </row>
    <row r="515" spans="1:13" x14ac:dyDescent="0.25">
      <c r="A515" s="12">
        <v>45440</v>
      </c>
      <c r="B515" s="12" t="s">
        <v>24</v>
      </c>
      <c r="C515" s="12" t="s">
        <v>21</v>
      </c>
      <c r="D515" s="12" t="s">
        <v>15</v>
      </c>
      <c r="E515" s="13">
        <v>44069</v>
      </c>
      <c r="F515" s="14">
        <v>25</v>
      </c>
      <c r="G515" s="15">
        <v>31128</v>
      </c>
      <c r="H515" s="16">
        <v>0.2</v>
      </c>
      <c r="I515" s="13">
        <v>2</v>
      </c>
      <c r="J515" s="15">
        <v>155640</v>
      </c>
      <c r="K515" s="15">
        <v>622560</v>
      </c>
      <c r="L515" s="15">
        <v>381526.54544400581</v>
      </c>
      <c r="M515" s="15">
        <v>241033.45455599419</v>
      </c>
    </row>
    <row r="516" spans="1:13" x14ac:dyDescent="0.25">
      <c r="A516" s="12">
        <v>45441</v>
      </c>
      <c r="B516" s="12" t="s">
        <v>24</v>
      </c>
      <c r="C516" s="12" t="s">
        <v>14</v>
      </c>
      <c r="D516" s="12" t="s">
        <v>27</v>
      </c>
      <c r="E516" s="13">
        <v>17370</v>
      </c>
      <c r="F516" s="14">
        <v>16</v>
      </c>
      <c r="G516" s="15">
        <v>43126</v>
      </c>
      <c r="H516" s="16">
        <v>0.2</v>
      </c>
      <c r="I516" s="13">
        <v>2</v>
      </c>
      <c r="J516" s="15">
        <v>138003.20000000001</v>
      </c>
      <c r="K516" s="15">
        <v>552012.80000000005</v>
      </c>
      <c r="L516" s="15">
        <v>371625.5246963604</v>
      </c>
      <c r="M516" s="15">
        <v>180387.27530363959</v>
      </c>
    </row>
    <row r="517" spans="1:13" x14ac:dyDescent="0.25">
      <c r="A517" s="12">
        <v>45442</v>
      </c>
      <c r="B517" s="12" t="s">
        <v>13</v>
      </c>
      <c r="C517" s="12" t="s">
        <v>14</v>
      </c>
      <c r="D517" s="12" t="s">
        <v>25</v>
      </c>
      <c r="E517" s="13">
        <v>81947</v>
      </c>
      <c r="F517" s="14">
        <v>19</v>
      </c>
      <c r="G517" s="15">
        <v>45884</v>
      </c>
      <c r="H517" s="16">
        <v>0.05</v>
      </c>
      <c r="I517" s="13">
        <v>3</v>
      </c>
      <c r="J517" s="15">
        <v>43589.8</v>
      </c>
      <c r="K517" s="15">
        <v>828206.2</v>
      </c>
      <c r="L517" s="15">
        <v>525320.74546081701</v>
      </c>
      <c r="M517" s="15">
        <v>302885.45453918289</v>
      </c>
    </row>
    <row r="518" spans="1:13" x14ac:dyDescent="0.25">
      <c r="A518" s="12">
        <v>45443</v>
      </c>
      <c r="B518" s="12" t="s">
        <v>16</v>
      </c>
      <c r="C518" s="12" t="s">
        <v>14</v>
      </c>
      <c r="D518" s="12" t="s">
        <v>25</v>
      </c>
      <c r="E518" s="13">
        <v>49133</v>
      </c>
      <c r="F518" s="14">
        <v>1</v>
      </c>
      <c r="G518" s="15">
        <v>4636</v>
      </c>
      <c r="H518" s="16">
        <v>0.2</v>
      </c>
      <c r="I518" s="13">
        <v>4</v>
      </c>
      <c r="J518" s="15">
        <v>927.2</v>
      </c>
      <c r="K518" s="15">
        <v>3708.8</v>
      </c>
      <c r="L518" s="15">
        <v>2818.6933201540719</v>
      </c>
      <c r="M518" s="15">
        <v>890.10667984592828</v>
      </c>
    </row>
    <row r="519" spans="1:13" x14ac:dyDescent="0.25">
      <c r="A519" s="12">
        <v>45444</v>
      </c>
      <c r="B519" s="12" t="s">
        <v>24</v>
      </c>
      <c r="C519" s="12" t="s">
        <v>17</v>
      </c>
      <c r="D519" s="12" t="s">
        <v>22</v>
      </c>
      <c r="E519" s="13">
        <v>10692</v>
      </c>
      <c r="F519" s="14">
        <v>5</v>
      </c>
      <c r="G519" s="15">
        <v>46746</v>
      </c>
      <c r="H519" s="16">
        <v>0.2</v>
      </c>
      <c r="I519" s="13">
        <v>2</v>
      </c>
      <c r="J519" s="15">
        <v>46746</v>
      </c>
      <c r="K519" s="15">
        <v>186984</v>
      </c>
      <c r="L519" s="15">
        <v>160319.8136179357</v>
      </c>
      <c r="M519" s="15">
        <v>26664.186382064279</v>
      </c>
    </row>
    <row r="520" spans="1:13" x14ac:dyDescent="0.25">
      <c r="A520" s="12">
        <v>45445</v>
      </c>
      <c r="B520" s="12" t="s">
        <v>16</v>
      </c>
      <c r="C520" s="12" t="s">
        <v>20</v>
      </c>
      <c r="D520" s="12" t="s">
        <v>22</v>
      </c>
      <c r="E520" s="13">
        <v>38926</v>
      </c>
      <c r="F520" s="14">
        <v>22</v>
      </c>
      <c r="G520" s="15">
        <v>11661</v>
      </c>
      <c r="H520" s="16">
        <v>0.05</v>
      </c>
      <c r="I520" s="13">
        <v>3</v>
      </c>
      <c r="J520" s="15">
        <v>12827.1</v>
      </c>
      <c r="K520" s="15">
        <v>243714.9</v>
      </c>
      <c r="L520" s="15">
        <v>200096.04192445349</v>
      </c>
      <c r="M520" s="15">
        <v>43618.858075546479</v>
      </c>
    </row>
    <row r="521" spans="1:13" x14ac:dyDescent="0.25">
      <c r="A521" s="12">
        <v>45446</v>
      </c>
      <c r="B521" s="12" t="s">
        <v>24</v>
      </c>
      <c r="C521" s="12" t="s">
        <v>14</v>
      </c>
      <c r="D521" s="12" t="s">
        <v>18</v>
      </c>
      <c r="E521" s="13">
        <v>83984</v>
      </c>
      <c r="F521" s="14">
        <v>24</v>
      </c>
      <c r="G521" s="15">
        <v>35957</v>
      </c>
      <c r="H521" s="16">
        <v>0.2</v>
      </c>
      <c r="I521" s="13">
        <v>1</v>
      </c>
      <c r="J521" s="15">
        <v>172593.6</v>
      </c>
      <c r="K521" s="15">
        <v>690374.4</v>
      </c>
      <c r="L521" s="15">
        <v>458879.93326797878</v>
      </c>
      <c r="M521" s="15">
        <v>231494.46673202119</v>
      </c>
    </row>
    <row r="522" spans="1:13" x14ac:dyDescent="0.25">
      <c r="A522" s="12">
        <v>45447</v>
      </c>
      <c r="B522" s="12" t="s">
        <v>16</v>
      </c>
      <c r="C522" s="12" t="s">
        <v>23</v>
      </c>
      <c r="D522" s="12" t="s">
        <v>18</v>
      </c>
      <c r="E522" s="13">
        <v>53390</v>
      </c>
      <c r="F522" s="14">
        <v>43</v>
      </c>
      <c r="G522" s="15">
        <v>24074</v>
      </c>
      <c r="H522" s="16">
        <v>0.15</v>
      </c>
      <c r="I522" s="13">
        <v>5</v>
      </c>
      <c r="J522" s="15">
        <v>155277.29999999999</v>
      </c>
      <c r="K522" s="15">
        <v>879904.7</v>
      </c>
      <c r="L522" s="15">
        <v>633346.40762507764</v>
      </c>
      <c r="M522" s="15">
        <v>246558.29237492231</v>
      </c>
    </row>
    <row r="523" spans="1:13" x14ac:dyDescent="0.25">
      <c r="A523" s="12">
        <v>45448</v>
      </c>
      <c r="B523" s="12" t="s">
        <v>13</v>
      </c>
      <c r="C523" s="12" t="s">
        <v>23</v>
      </c>
      <c r="D523" s="12" t="s">
        <v>25</v>
      </c>
      <c r="E523" s="13">
        <v>59593</v>
      </c>
      <c r="F523" s="14">
        <v>45</v>
      </c>
      <c r="G523" s="15">
        <v>27402</v>
      </c>
      <c r="H523" s="16">
        <v>0.2</v>
      </c>
      <c r="I523" s="13">
        <v>4</v>
      </c>
      <c r="J523" s="15">
        <v>246618</v>
      </c>
      <c r="K523" s="15">
        <v>986472</v>
      </c>
      <c r="L523" s="15">
        <v>742190.22499942151</v>
      </c>
      <c r="M523" s="15">
        <v>244281.77500057849</v>
      </c>
    </row>
    <row r="524" spans="1:13" x14ac:dyDescent="0.25">
      <c r="A524" s="12">
        <v>45449</v>
      </c>
      <c r="B524" s="12" t="s">
        <v>24</v>
      </c>
      <c r="C524" s="12" t="s">
        <v>21</v>
      </c>
      <c r="D524" s="12" t="s">
        <v>27</v>
      </c>
      <c r="E524" s="13">
        <v>85609</v>
      </c>
      <c r="F524" s="14">
        <v>37</v>
      </c>
      <c r="G524" s="15">
        <v>3310</v>
      </c>
      <c r="H524" s="16">
        <v>0.2</v>
      </c>
      <c r="I524" s="13">
        <v>3</v>
      </c>
      <c r="J524" s="15">
        <v>24494</v>
      </c>
      <c r="K524" s="15">
        <v>97976</v>
      </c>
      <c r="L524" s="15">
        <v>82599.818493281637</v>
      </c>
      <c r="M524" s="15">
        <v>15376.18150671836</v>
      </c>
    </row>
    <row r="525" spans="1:13" x14ac:dyDescent="0.25">
      <c r="A525" s="12">
        <v>45450</v>
      </c>
      <c r="B525" s="12" t="s">
        <v>13</v>
      </c>
      <c r="C525" s="12" t="s">
        <v>20</v>
      </c>
      <c r="D525" s="12" t="s">
        <v>26</v>
      </c>
      <c r="E525" s="13">
        <v>15209</v>
      </c>
      <c r="F525" s="14">
        <v>36</v>
      </c>
      <c r="G525" s="15">
        <v>12163</v>
      </c>
      <c r="H525" s="16">
        <v>0.05</v>
      </c>
      <c r="I525" s="13">
        <v>1</v>
      </c>
      <c r="J525" s="15">
        <v>21893.4</v>
      </c>
      <c r="K525" s="15">
        <v>415974.6</v>
      </c>
      <c r="L525" s="15">
        <v>354300.74196103372</v>
      </c>
      <c r="M525" s="15">
        <v>61673.858038966253</v>
      </c>
    </row>
    <row r="526" spans="1:13" x14ac:dyDescent="0.25">
      <c r="A526" s="12">
        <v>45451</v>
      </c>
      <c r="B526" s="12" t="s">
        <v>24</v>
      </c>
      <c r="C526" s="12" t="s">
        <v>14</v>
      </c>
      <c r="D526" s="12" t="s">
        <v>26</v>
      </c>
      <c r="E526" s="13">
        <v>16533</v>
      </c>
      <c r="F526" s="14">
        <v>36</v>
      </c>
      <c r="G526" s="15">
        <v>6652</v>
      </c>
      <c r="H526" s="16">
        <v>0.15</v>
      </c>
      <c r="I526" s="13">
        <v>5</v>
      </c>
      <c r="J526" s="15">
        <v>35920.800000000003</v>
      </c>
      <c r="K526" s="15">
        <v>203551.2</v>
      </c>
      <c r="L526" s="15">
        <v>177682.99621524071</v>
      </c>
      <c r="M526" s="15">
        <v>25868.20378475936</v>
      </c>
    </row>
    <row r="527" spans="1:13" x14ac:dyDescent="0.25">
      <c r="A527" s="12">
        <v>45452</v>
      </c>
      <c r="B527" s="12" t="s">
        <v>13</v>
      </c>
      <c r="C527" s="12" t="s">
        <v>23</v>
      </c>
      <c r="D527" s="12" t="s">
        <v>18</v>
      </c>
      <c r="E527" s="13">
        <v>96597</v>
      </c>
      <c r="F527" s="14">
        <v>4</v>
      </c>
      <c r="G527" s="15">
        <v>512</v>
      </c>
      <c r="H527" s="16">
        <v>0.1</v>
      </c>
      <c r="I527" s="13">
        <v>1</v>
      </c>
      <c r="J527" s="15">
        <v>204.8</v>
      </c>
      <c r="K527" s="15">
        <v>1843.2</v>
      </c>
      <c r="L527" s="15">
        <v>1387.51225371807</v>
      </c>
      <c r="M527" s="15">
        <v>455.68774628193017</v>
      </c>
    </row>
    <row r="528" spans="1:13" x14ac:dyDescent="0.25">
      <c r="A528" s="12">
        <v>45453</v>
      </c>
      <c r="B528" s="12" t="s">
        <v>13</v>
      </c>
      <c r="C528" s="12" t="s">
        <v>20</v>
      </c>
      <c r="D528" s="12" t="s">
        <v>27</v>
      </c>
      <c r="E528" s="13">
        <v>17211</v>
      </c>
      <c r="F528" s="14">
        <v>36</v>
      </c>
      <c r="G528" s="15">
        <v>11662</v>
      </c>
      <c r="H528" s="16">
        <v>0</v>
      </c>
      <c r="I528" s="13">
        <v>3</v>
      </c>
      <c r="J528" s="15">
        <v>0</v>
      </c>
      <c r="K528" s="15">
        <v>419832</v>
      </c>
      <c r="L528" s="15">
        <v>339342.82660369843</v>
      </c>
      <c r="M528" s="15">
        <v>80489.17339630163</v>
      </c>
    </row>
    <row r="529" spans="1:13" x14ac:dyDescent="0.25">
      <c r="A529" s="12">
        <v>45454</v>
      </c>
      <c r="B529" s="12" t="s">
        <v>24</v>
      </c>
      <c r="C529" s="12" t="s">
        <v>21</v>
      </c>
      <c r="D529" s="12" t="s">
        <v>18</v>
      </c>
      <c r="E529" s="13">
        <v>19927</v>
      </c>
      <c r="F529" s="14">
        <v>18</v>
      </c>
      <c r="G529" s="15">
        <v>22822</v>
      </c>
      <c r="H529" s="16">
        <v>0.15</v>
      </c>
      <c r="I529" s="13">
        <v>2</v>
      </c>
      <c r="J529" s="15">
        <v>61619.399999999987</v>
      </c>
      <c r="K529" s="15">
        <v>349176.6</v>
      </c>
      <c r="L529" s="15">
        <v>221217.3820518612</v>
      </c>
      <c r="M529" s="15">
        <v>127959.2179481388</v>
      </c>
    </row>
    <row r="530" spans="1:13" x14ac:dyDescent="0.25">
      <c r="A530" s="12">
        <v>45455</v>
      </c>
      <c r="B530" s="12" t="s">
        <v>24</v>
      </c>
      <c r="C530" s="12" t="s">
        <v>17</v>
      </c>
      <c r="D530" s="12" t="s">
        <v>26</v>
      </c>
      <c r="E530" s="13">
        <v>87463</v>
      </c>
      <c r="F530" s="14">
        <v>16</v>
      </c>
      <c r="G530" s="15">
        <v>8499</v>
      </c>
      <c r="H530" s="16">
        <v>0.1</v>
      </c>
      <c r="I530" s="13">
        <v>5</v>
      </c>
      <c r="J530" s="15">
        <v>13598.4</v>
      </c>
      <c r="K530" s="15">
        <v>122385.60000000001</v>
      </c>
      <c r="L530" s="15">
        <v>94186.328561203234</v>
      </c>
      <c r="M530" s="15">
        <v>28199.271438796772</v>
      </c>
    </row>
    <row r="531" spans="1:13" x14ac:dyDescent="0.25">
      <c r="A531" s="12">
        <v>45456</v>
      </c>
      <c r="B531" s="12" t="s">
        <v>24</v>
      </c>
      <c r="C531" s="12" t="s">
        <v>20</v>
      </c>
      <c r="D531" s="12" t="s">
        <v>18</v>
      </c>
      <c r="E531" s="13">
        <v>34594</v>
      </c>
      <c r="F531" s="14">
        <v>41</v>
      </c>
      <c r="G531" s="15">
        <v>7719</v>
      </c>
      <c r="H531" s="16">
        <v>0.15</v>
      </c>
      <c r="I531" s="13">
        <v>1</v>
      </c>
      <c r="J531" s="15">
        <v>47471.85</v>
      </c>
      <c r="K531" s="15">
        <v>269007.15000000002</v>
      </c>
      <c r="L531" s="15">
        <v>181474.25246825191</v>
      </c>
      <c r="M531" s="15">
        <v>87532.897531748109</v>
      </c>
    </row>
    <row r="532" spans="1:13" x14ac:dyDescent="0.25">
      <c r="A532" s="12">
        <v>45457</v>
      </c>
      <c r="B532" s="12" t="s">
        <v>19</v>
      </c>
      <c r="C532" s="12" t="s">
        <v>20</v>
      </c>
      <c r="D532" s="12" t="s">
        <v>15</v>
      </c>
      <c r="E532" s="13">
        <v>84852</v>
      </c>
      <c r="F532" s="14">
        <v>18</v>
      </c>
      <c r="G532" s="15">
        <v>5828</v>
      </c>
      <c r="H532" s="16">
        <v>0.1</v>
      </c>
      <c r="I532" s="13">
        <v>2</v>
      </c>
      <c r="J532" s="15">
        <v>10490.4</v>
      </c>
      <c r="K532" s="15">
        <v>94413.6</v>
      </c>
      <c r="L532" s="15">
        <v>68876.143588844541</v>
      </c>
      <c r="M532" s="15">
        <v>25537.456411155461</v>
      </c>
    </row>
    <row r="533" spans="1:13" x14ac:dyDescent="0.25">
      <c r="A533" s="12">
        <v>45458</v>
      </c>
      <c r="B533" s="12" t="s">
        <v>16</v>
      </c>
      <c r="C533" s="12" t="s">
        <v>17</v>
      </c>
      <c r="D533" s="12" t="s">
        <v>18</v>
      </c>
      <c r="E533" s="13">
        <v>87713</v>
      </c>
      <c r="F533" s="14">
        <v>22</v>
      </c>
      <c r="G533" s="15">
        <v>4121</v>
      </c>
      <c r="H533" s="16">
        <v>0.1</v>
      </c>
      <c r="I533" s="13">
        <v>4</v>
      </c>
      <c r="J533" s="15">
        <v>9066.2000000000007</v>
      </c>
      <c r="K533" s="15">
        <v>81595.8</v>
      </c>
      <c r="L533" s="15">
        <v>64478.237539708018</v>
      </c>
      <c r="M533" s="15">
        <v>17117.562460291982</v>
      </c>
    </row>
    <row r="534" spans="1:13" x14ac:dyDescent="0.25">
      <c r="A534" s="12">
        <v>45459</v>
      </c>
      <c r="B534" s="12" t="s">
        <v>19</v>
      </c>
      <c r="C534" s="12" t="s">
        <v>20</v>
      </c>
      <c r="D534" s="12" t="s">
        <v>25</v>
      </c>
      <c r="E534" s="13">
        <v>86382</v>
      </c>
      <c r="F534" s="14">
        <v>2</v>
      </c>
      <c r="G534" s="15">
        <v>24756</v>
      </c>
      <c r="H534" s="16">
        <v>0.15</v>
      </c>
      <c r="I534" s="13">
        <v>3</v>
      </c>
      <c r="J534" s="15">
        <v>7426.7999999999993</v>
      </c>
      <c r="K534" s="15">
        <v>42085.2</v>
      </c>
      <c r="L534" s="15">
        <v>28495.71137752918</v>
      </c>
      <c r="M534" s="15">
        <v>13589.48862247081</v>
      </c>
    </row>
    <row r="535" spans="1:13" x14ac:dyDescent="0.25">
      <c r="A535" s="12">
        <v>45460</v>
      </c>
      <c r="B535" s="12" t="s">
        <v>19</v>
      </c>
      <c r="C535" s="12" t="s">
        <v>21</v>
      </c>
      <c r="D535" s="12" t="s">
        <v>18</v>
      </c>
      <c r="E535" s="13">
        <v>17933</v>
      </c>
      <c r="F535" s="14">
        <v>21</v>
      </c>
      <c r="G535" s="15">
        <v>44933</v>
      </c>
      <c r="H535" s="16">
        <v>0.05</v>
      </c>
      <c r="I535" s="13">
        <v>3</v>
      </c>
      <c r="J535" s="15">
        <v>47179.65</v>
      </c>
      <c r="K535" s="15">
        <v>896413.35</v>
      </c>
      <c r="L535" s="15">
        <v>551881.82474386145</v>
      </c>
      <c r="M535" s="15">
        <v>344531.52525613853</v>
      </c>
    </row>
    <row r="536" spans="1:13" x14ac:dyDescent="0.25">
      <c r="A536" s="12">
        <v>45461</v>
      </c>
      <c r="B536" s="12" t="s">
        <v>13</v>
      </c>
      <c r="C536" s="12" t="s">
        <v>21</v>
      </c>
      <c r="D536" s="12" t="s">
        <v>25</v>
      </c>
      <c r="E536" s="13">
        <v>50696</v>
      </c>
      <c r="F536" s="14">
        <v>36</v>
      </c>
      <c r="G536" s="15">
        <v>11814</v>
      </c>
      <c r="H536" s="16">
        <v>0.15</v>
      </c>
      <c r="I536" s="13">
        <v>5</v>
      </c>
      <c r="J536" s="15">
        <v>63795.6</v>
      </c>
      <c r="K536" s="15">
        <v>361508.4</v>
      </c>
      <c r="L536" s="15">
        <v>218014.92751684791</v>
      </c>
      <c r="M536" s="15">
        <v>143493.47248315209</v>
      </c>
    </row>
    <row r="537" spans="1:13" x14ac:dyDescent="0.25">
      <c r="A537" s="12">
        <v>45462</v>
      </c>
      <c r="B537" s="12" t="s">
        <v>24</v>
      </c>
      <c r="C537" s="12" t="s">
        <v>17</v>
      </c>
      <c r="D537" s="12" t="s">
        <v>27</v>
      </c>
      <c r="E537" s="13">
        <v>75449</v>
      </c>
      <c r="F537" s="14">
        <v>44</v>
      </c>
      <c r="G537" s="15">
        <v>1152</v>
      </c>
      <c r="H537" s="16">
        <v>0.15</v>
      </c>
      <c r="I537" s="13">
        <v>1</v>
      </c>
      <c r="J537" s="15">
        <v>7603.2</v>
      </c>
      <c r="K537" s="15">
        <v>43084.800000000003</v>
      </c>
      <c r="L537" s="15">
        <v>26137.30174710858</v>
      </c>
      <c r="M537" s="15">
        <v>16947.498252891419</v>
      </c>
    </row>
    <row r="538" spans="1:13" x14ac:dyDescent="0.25">
      <c r="A538" s="12">
        <v>45463</v>
      </c>
      <c r="B538" s="12" t="s">
        <v>16</v>
      </c>
      <c r="C538" s="12" t="s">
        <v>14</v>
      </c>
      <c r="D538" s="12" t="s">
        <v>26</v>
      </c>
      <c r="E538" s="13">
        <v>77616</v>
      </c>
      <c r="F538" s="14">
        <v>39</v>
      </c>
      <c r="G538" s="15">
        <v>16682</v>
      </c>
      <c r="H538" s="16">
        <v>0.1</v>
      </c>
      <c r="I538" s="13">
        <v>4</v>
      </c>
      <c r="J538" s="15">
        <v>65059.8</v>
      </c>
      <c r="K538" s="15">
        <v>585538.19999999995</v>
      </c>
      <c r="L538" s="15">
        <v>352789.64708228549</v>
      </c>
      <c r="M538" s="15">
        <v>232748.55291771441</v>
      </c>
    </row>
    <row r="539" spans="1:13" x14ac:dyDescent="0.25">
      <c r="A539" s="12">
        <v>45464</v>
      </c>
      <c r="B539" s="12" t="s">
        <v>13</v>
      </c>
      <c r="C539" s="12" t="s">
        <v>23</v>
      </c>
      <c r="D539" s="12" t="s">
        <v>22</v>
      </c>
      <c r="E539" s="13">
        <v>16089</v>
      </c>
      <c r="F539" s="14">
        <v>47</v>
      </c>
      <c r="G539" s="15">
        <v>42080</v>
      </c>
      <c r="H539" s="16">
        <v>0</v>
      </c>
      <c r="I539" s="13">
        <v>5</v>
      </c>
      <c r="J539" s="15">
        <v>0</v>
      </c>
      <c r="K539" s="15">
        <v>1977760</v>
      </c>
      <c r="L539" s="15">
        <v>1252132.744997371</v>
      </c>
      <c r="M539" s="15">
        <v>725627.25500262878</v>
      </c>
    </row>
    <row r="540" spans="1:13" x14ac:dyDescent="0.25">
      <c r="A540" s="12">
        <v>45465</v>
      </c>
      <c r="B540" s="12" t="s">
        <v>19</v>
      </c>
      <c r="C540" s="12" t="s">
        <v>14</v>
      </c>
      <c r="D540" s="12" t="s">
        <v>22</v>
      </c>
      <c r="E540" s="13">
        <v>66548</v>
      </c>
      <c r="F540" s="14">
        <v>39</v>
      </c>
      <c r="G540" s="15">
        <v>37058</v>
      </c>
      <c r="H540" s="16">
        <v>0.1</v>
      </c>
      <c r="I540" s="13">
        <v>5</v>
      </c>
      <c r="J540" s="15">
        <v>144526.20000000001</v>
      </c>
      <c r="K540" s="15">
        <v>1300735.8</v>
      </c>
      <c r="L540" s="15">
        <v>873894.94342120492</v>
      </c>
      <c r="M540" s="15">
        <v>426840.85657879512</v>
      </c>
    </row>
    <row r="541" spans="1:13" x14ac:dyDescent="0.25">
      <c r="A541" s="12">
        <v>45466</v>
      </c>
      <c r="B541" s="12" t="s">
        <v>24</v>
      </c>
      <c r="C541" s="12" t="s">
        <v>20</v>
      </c>
      <c r="D541" s="12" t="s">
        <v>26</v>
      </c>
      <c r="E541" s="13">
        <v>36123</v>
      </c>
      <c r="F541" s="14">
        <v>29</v>
      </c>
      <c r="G541" s="15">
        <v>16159</v>
      </c>
      <c r="H541" s="16">
        <v>0.2</v>
      </c>
      <c r="I541" s="13">
        <v>1</v>
      </c>
      <c r="J541" s="15">
        <v>93722.200000000012</v>
      </c>
      <c r="K541" s="15">
        <v>374888.8</v>
      </c>
      <c r="L541" s="15">
        <v>249813.32039579551</v>
      </c>
      <c r="M541" s="15">
        <v>125075.4796042044</v>
      </c>
    </row>
    <row r="542" spans="1:13" x14ac:dyDescent="0.25">
      <c r="A542" s="12">
        <v>45467</v>
      </c>
      <c r="B542" s="12" t="s">
        <v>13</v>
      </c>
      <c r="C542" s="12" t="s">
        <v>23</v>
      </c>
      <c r="D542" s="12" t="s">
        <v>22</v>
      </c>
      <c r="E542" s="13">
        <v>17797</v>
      </c>
      <c r="F542" s="14">
        <v>26</v>
      </c>
      <c r="G542" s="15">
        <v>34913</v>
      </c>
      <c r="H542" s="16">
        <v>0.15</v>
      </c>
      <c r="I542" s="13">
        <v>4</v>
      </c>
      <c r="J542" s="15">
        <v>136160.70000000001</v>
      </c>
      <c r="K542" s="15">
        <v>771577.3</v>
      </c>
      <c r="L542" s="15">
        <v>691363.3355359562</v>
      </c>
      <c r="M542" s="15">
        <v>80213.964464043849</v>
      </c>
    </row>
    <row r="543" spans="1:13" x14ac:dyDescent="0.25">
      <c r="A543" s="12">
        <v>45468</v>
      </c>
      <c r="B543" s="12" t="s">
        <v>24</v>
      </c>
      <c r="C543" s="12" t="s">
        <v>17</v>
      </c>
      <c r="D543" s="12" t="s">
        <v>18</v>
      </c>
      <c r="E543" s="13">
        <v>60013</v>
      </c>
      <c r="F543" s="14">
        <v>21</v>
      </c>
      <c r="G543" s="15">
        <v>10935</v>
      </c>
      <c r="H543" s="16">
        <v>0.15</v>
      </c>
      <c r="I543" s="13">
        <v>1</v>
      </c>
      <c r="J543" s="15">
        <v>34445.25</v>
      </c>
      <c r="K543" s="15">
        <v>195189.75</v>
      </c>
      <c r="L543" s="15">
        <v>135032.6265522622</v>
      </c>
      <c r="M543" s="15">
        <v>60157.123447737802</v>
      </c>
    </row>
    <row r="544" spans="1:13" x14ac:dyDescent="0.25">
      <c r="A544" s="12">
        <v>45469</v>
      </c>
      <c r="B544" s="12" t="s">
        <v>13</v>
      </c>
      <c r="C544" s="12" t="s">
        <v>17</v>
      </c>
      <c r="D544" s="12" t="s">
        <v>27</v>
      </c>
      <c r="E544" s="13">
        <v>18346</v>
      </c>
      <c r="F544" s="14">
        <v>17</v>
      </c>
      <c r="G544" s="15">
        <v>28567</v>
      </c>
      <c r="H544" s="16">
        <v>0.05</v>
      </c>
      <c r="I544" s="13">
        <v>3</v>
      </c>
      <c r="J544" s="15">
        <v>24281.95</v>
      </c>
      <c r="K544" s="15">
        <v>461357.05</v>
      </c>
      <c r="L544" s="15">
        <v>294450.17301581439</v>
      </c>
      <c r="M544" s="15">
        <v>166906.87698418551</v>
      </c>
    </row>
    <row r="545" spans="1:13" x14ac:dyDescent="0.25">
      <c r="A545" s="12">
        <v>45470</v>
      </c>
      <c r="B545" s="12" t="s">
        <v>24</v>
      </c>
      <c r="C545" s="12" t="s">
        <v>23</v>
      </c>
      <c r="D545" s="12" t="s">
        <v>27</v>
      </c>
      <c r="E545" s="13">
        <v>95414</v>
      </c>
      <c r="F545" s="14">
        <v>16</v>
      </c>
      <c r="G545" s="15">
        <v>22758</v>
      </c>
      <c r="H545" s="16">
        <v>0.1</v>
      </c>
      <c r="I545" s="13">
        <v>2</v>
      </c>
      <c r="J545" s="15">
        <v>36412.800000000003</v>
      </c>
      <c r="K545" s="15">
        <v>327715.20000000001</v>
      </c>
      <c r="L545" s="15">
        <v>250265.86148233371</v>
      </c>
      <c r="M545" s="15">
        <v>77449.3385176663</v>
      </c>
    </row>
    <row r="546" spans="1:13" x14ac:dyDescent="0.25">
      <c r="A546" s="12">
        <v>45471</v>
      </c>
      <c r="B546" s="12" t="s">
        <v>19</v>
      </c>
      <c r="C546" s="12" t="s">
        <v>21</v>
      </c>
      <c r="D546" s="12" t="s">
        <v>26</v>
      </c>
      <c r="E546" s="13">
        <v>43672</v>
      </c>
      <c r="F546" s="14">
        <v>31</v>
      </c>
      <c r="G546" s="15">
        <v>28787</v>
      </c>
      <c r="H546" s="16">
        <v>0.05</v>
      </c>
      <c r="I546" s="13">
        <v>3</v>
      </c>
      <c r="J546" s="15">
        <v>44619.850000000013</v>
      </c>
      <c r="K546" s="15">
        <v>847777.15</v>
      </c>
      <c r="L546" s="15">
        <v>726873.30790744559</v>
      </c>
      <c r="M546" s="15">
        <v>120903.84209255441</v>
      </c>
    </row>
    <row r="547" spans="1:13" x14ac:dyDescent="0.25">
      <c r="A547" s="12">
        <v>45472</v>
      </c>
      <c r="B547" s="12" t="s">
        <v>16</v>
      </c>
      <c r="C547" s="12" t="s">
        <v>23</v>
      </c>
      <c r="D547" s="12" t="s">
        <v>22</v>
      </c>
      <c r="E547" s="13">
        <v>27653</v>
      </c>
      <c r="F547" s="14">
        <v>9</v>
      </c>
      <c r="G547" s="15">
        <v>4188</v>
      </c>
      <c r="H547" s="16">
        <v>0.15</v>
      </c>
      <c r="I547" s="13">
        <v>3</v>
      </c>
      <c r="J547" s="15">
        <v>5653.8</v>
      </c>
      <c r="K547" s="15">
        <v>32038.2</v>
      </c>
      <c r="L547" s="15">
        <v>25740.07018907967</v>
      </c>
      <c r="M547" s="15">
        <v>6298.1298109203344</v>
      </c>
    </row>
    <row r="548" spans="1:13" x14ac:dyDescent="0.25">
      <c r="A548" s="12">
        <v>45473</v>
      </c>
      <c r="B548" s="12" t="s">
        <v>19</v>
      </c>
      <c r="C548" s="12" t="s">
        <v>20</v>
      </c>
      <c r="D548" s="12" t="s">
        <v>18</v>
      </c>
      <c r="E548" s="13">
        <v>59556</v>
      </c>
      <c r="F548" s="14">
        <v>31</v>
      </c>
      <c r="G548" s="15">
        <v>8189</v>
      </c>
      <c r="H548" s="16">
        <v>0.1</v>
      </c>
      <c r="I548" s="13">
        <v>5</v>
      </c>
      <c r="J548" s="15">
        <v>25385.9</v>
      </c>
      <c r="K548" s="15">
        <v>228473.1</v>
      </c>
      <c r="L548" s="15">
        <v>157377.8978277758</v>
      </c>
      <c r="M548" s="15">
        <v>71095.202172224206</v>
      </c>
    </row>
    <row r="549" spans="1:13" x14ac:dyDescent="0.25">
      <c r="A549" s="12">
        <v>45474</v>
      </c>
      <c r="B549" s="12" t="s">
        <v>16</v>
      </c>
      <c r="C549" s="12" t="s">
        <v>21</v>
      </c>
      <c r="D549" s="12" t="s">
        <v>27</v>
      </c>
      <c r="E549" s="13">
        <v>36140</v>
      </c>
      <c r="F549" s="14">
        <v>14</v>
      </c>
      <c r="G549" s="15">
        <v>1879</v>
      </c>
      <c r="H549" s="16">
        <v>0.1</v>
      </c>
      <c r="I549" s="13">
        <v>3</v>
      </c>
      <c r="J549" s="15">
        <v>2630.6</v>
      </c>
      <c r="K549" s="15">
        <v>23675.4</v>
      </c>
      <c r="L549" s="15">
        <v>18194.186168857981</v>
      </c>
      <c r="M549" s="15">
        <v>5481.2138311420167</v>
      </c>
    </row>
    <row r="550" spans="1:13" x14ac:dyDescent="0.25">
      <c r="A550" s="12">
        <v>45475</v>
      </c>
      <c r="B550" s="12" t="s">
        <v>24</v>
      </c>
      <c r="C550" s="12" t="s">
        <v>17</v>
      </c>
      <c r="D550" s="12" t="s">
        <v>27</v>
      </c>
      <c r="E550" s="13">
        <v>11184</v>
      </c>
      <c r="F550" s="14">
        <v>49</v>
      </c>
      <c r="G550" s="15">
        <v>37511</v>
      </c>
      <c r="H550" s="16">
        <v>0.2</v>
      </c>
      <c r="I550" s="13">
        <v>4</v>
      </c>
      <c r="J550" s="15">
        <v>367607.8</v>
      </c>
      <c r="K550" s="15">
        <v>1470431.2</v>
      </c>
      <c r="L550" s="15">
        <v>1197602.6783912031</v>
      </c>
      <c r="M550" s="15">
        <v>272828.52160879708</v>
      </c>
    </row>
    <row r="551" spans="1:13" x14ac:dyDescent="0.25">
      <c r="A551" s="12">
        <v>45476</v>
      </c>
      <c r="B551" s="12" t="s">
        <v>13</v>
      </c>
      <c r="C551" s="12" t="s">
        <v>23</v>
      </c>
      <c r="D551" s="12" t="s">
        <v>15</v>
      </c>
      <c r="E551" s="13">
        <v>44493</v>
      </c>
      <c r="F551" s="14">
        <v>37</v>
      </c>
      <c r="G551" s="15">
        <v>43505</v>
      </c>
      <c r="H551" s="16">
        <v>0.2</v>
      </c>
      <c r="I551" s="13">
        <v>3</v>
      </c>
      <c r="J551" s="15">
        <v>321937</v>
      </c>
      <c r="K551" s="15">
        <v>1287748</v>
      </c>
      <c r="L551" s="15">
        <v>1053933.3311512731</v>
      </c>
      <c r="M551" s="15">
        <v>233814.66884872739</v>
      </c>
    </row>
    <row r="552" spans="1:13" x14ac:dyDescent="0.25">
      <c r="A552" s="12">
        <v>45477</v>
      </c>
      <c r="B552" s="12" t="s">
        <v>19</v>
      </c>
      <c r="C552" s="12" t="s">
        <v>14</v>
      </c>
      <c r="D552" s="12" t="s">
        <v>15</v>
      </c>
      <c r="E552" s="13">
        <v>54148</v>
      </c>
      <c r="F552" s="14">
        <v>2</v>
      </c>
      <c r="G552" s="15">
        <v>28124</v>
      </c>
      <c r="H552" s="16">
        <v>0</v>
      </c>
      <c r="I552" s="13">
        <v>4</v>
      </c>
      <c r="J552" s="15">
        <v>0</v>
      </c>
      <c r="K552" s="15">
        <v>56248</v>
      </c>
      <c r="L552" s="15">
        <v>44996.236510075323</v>
      </c>
      <c r="M552" s="15">
        <v>11251.76348992468</v>
      </c>
    </row>
    <row r="553" spans="1:13" x14ac:dyDescent="0.25">
      <c r="A553" s="12">
        <v>45478</v>
      </c>
      <c r="B553" s="12" t="s">
        <v>16</v>
      </c>
      <c r="C553" s="12" t="s">
        <v>14</v>
      </c>
      <c r="D553" s="12" t="s">
        <v>27</v>
      </c>
      <c r="E553" s="13">
        <v>34846</v>
      </c>
      <c r="F553" s="14">
        <v>48</v>
      </c>
      <c r="G553" s="15">
        <v>26464</v>
      </c>
      <c r="H553" s="16">
        <v>0.2</v>
      </c>
      <c r="I553" s="13">
        <v>1</v>
      </c>
      <c r="J553" s="15">
        <v>254054.39999999999</v>
      </c>
      <c r="K553" s="15">
        <v>1016217.6</v>
      </c>
      <c r="L553" s="15">
        <v>875210.42397613765</v>
      </c>
      <c r="M553" s="15">
        <v>141007.1760238623</v>
      </c>
    </row>
    <row r="554" spans="1:13" x14ac:dyDescent="0.25">
      <c r="A554" s="12">
        <v>45479</v>
      </c>
      <c r="B554" s="12" t="s">
        <v>19</v>
      </c>
      <c r="C554" s="12" t="s">
        <v>20</v>
      </c>
      <c r="D554" s="12" t="s">
        <v>26</v>
      </c>
      <c r="E554" s="13">
        <v>32195</v>
      </c>
      <c r="F554" s="14">
        <v>46</v>
      </c>
      <c r="G554" s="15">
        <v>23391</v>
      </c>
      <c r="H554" s="16">
        <v>0.1</v>
      </c>
      <c r="I554" s="13">
        <v>5</v>
      </c>
      <c r="J554" s="15">
        <v>107598.6</v>
      </c>
      <c r="K554" s="15">
        <v>968387.4</v>
      </c>
      <c r="L554" s="15">
        <v>833812.18875949667</v>
      </c>
      <c r="M554" s="15">
        <v>134575.21124050341</v>
      </c>
    </row>
    <row r="555" spans="1:13" x14ac:dyDescent="0.25">
      <c r="A555" s="12">
        <v>45480</v>
      </c>
      <c r="B555" s="12" t="s">
        <v>16</v>
      </c>
      <c r="C555" s="12" t="s">
        <v>14</v>
      </c>
      <c r="D555" s="12" t="s">
        <v>25</v>
      </c>
      <c r="E555" s="13">
        <v>15606</v>
      </c>
      <c r="F555" s="14">
        <v>14</v>
      </c>
      <c r="G555" s="15">
        <v>49598</v>
      </c>
      <c r="H555" s="16">
        <v>0.2</v>
      </c>
      <c r="I555" s="13">
        <v>4</v>
      </c>
      <c r="J555" s="15">
        <v>138874.4</v>
      </c>
      <c r="K555" s="15">
        <v>555497.6</v>
      </c>
      <c r="L555" s="15">
        <v>429777.92079085432</v>
      </c>
      <c r="M555" s="15">
        <v>125719.6792091457</v>
      </c>
    </row>
    <row r="556" spans="1:13" x14ac:dyDescent="0.25">
      <c r="A556" s="12">
        <v>45481</v>
      </c>
      <c r="B556" s="12" t="s">
        <v>19</v>
      </c>
      <c r="C556" s="12" t="s">
        <v>23</v>
      </c>
      <c r="D556" s="12" t="s">
        <v>25</v>
      </c>
      <c r="E556" s="13">
        <v>13956</v>
      </c>
      <c r="F556" s="14">
        <v>33</v>
      </c>
      <c r="G556" s="15">
        <v>38879</v>
      </c>
      <c r="H556" s="16">
        <v>0</v>
      </c>
      <c r="I556" s="13">
        <v>3</v>
      </c>
      <c r="J556" s="15">
        <v>0</v>
      </c>
      <c r="K556" s="15">
        <v>1283007</v>
      </c>
      <c r="L556" s="15">
        <v>935256.8191692807</v>
      </c>
      <c r="M556" s="15">
        <v>347750.1808307193</v>
      </c>
    </row>
    <row r="557" spans="1:13" x14ac:dyDescent="0.25">
      <c r="A557" s="12">
        <v>45482</v>
      </c>
      <c r="B557" s="12" t="s">
        <v>16</v>
      </c>
      <c r="C557" s="12" t="s">
        <v>23</v>
      </c>
      <c r="D557" s="12" t="s">
        <v>18</v>
      </c>
      <c r="E557" s="13">
        <v>26555</v>
      </c>
      <c r="F557" s="14">
        <v>35</v>
      </c>
      <c r="G557" s="15">
        <v>13016</v>
      </c>
      <c r="H557" s="16">
        <v>0.15</v>
      </c>
      <c r="I557" s="13">
        <v>5</v>
      </c>
      <c r="J557" s="15">
        <v>68334</v>
      </c>
      <c r="K557" s="15">
        <v>387226</v>
      </c>
      <c r="L557" s="15">
        <v>306865.40978114738</v>
      </c>
      <c r="M557" s="15">
        <v>80360.590218852565</v>
      </c>
    </row>
    <row r="558" spans="1:13" x14ac:dyDescent="0.25">
      <c r="A558" s="12">
        <v>45483</v>
      </c>
      <c r="B558" s="12" t="s">
        <v>16</v>
      </c>
      <c r="C558" s="12" t="s">
        <v>14</v>
      </c>
      <c r="D558" s="12" t="s">
        <v>27</v>
      </c>
      <c r="E558" s="13">
        <v>28690</v>
      </c>
      <c r="F558" s="14">
        <v>39</v>
      </c>
      <c r="G558" s="15">
        <v>14386</v>
      </c>
      <c r="H558" s="16">
        <v>0.2</v>
      </c>
      <c r="I558" s="13">
        <v>5</v>
      </c>
      <c r="J558" s="15">
        <v>112210.8</v>
      </c>
      <c r="K558" s="15">
        <v>448843.2</v>
      </c>
      <c r="L558" s="15">
        <v>379480.58789205702</v>
      </c>
      <c r="M558" s="15">
        <v>69362.612107943045</v>
      </c>
    </row>
    <row r="559" spans="1:13" x14ac:dyDescent="0.25">
      <c r="A559" s="12">
        <v>45484</v>
      </c>
      <c r="B559" s="12" t="s">
        <v>24</v>
      </c>
      <c r="C559" s="12" t="s">
        <v>23</v>
      </c>
      <c r="D559" s="12" t="s">
        <v>27</v>
      </c>
      <c r="E559" s="13">
        <v>68502</v>
      </c>
      <c r="F559" s="14">
        <v>47</v>
      </c>
      <c r="G559" s="15">
        <v>20807</v>
      </c>
      <c r="H559" s="16">
        <v>0.1</v>
      </c>
      <c r="I559" s="13">
        <v>4</v>
      </c>
      <c r="J559" s="15">
        <v>97792.900000000009</v>
      </c>
      <c r="K559" s="15">
        <v>880136.1</v>
      </c>
      <c r="L559" s="15">
        <v>529574.04645351344</v>
      </c>
      <c r="M559" s="15">
        <v>350562.05354648648</v>
      </c>
    </row>
    <row r="560" spans="1:13" x14ac:dyDescent="0.25">
      <c r="A560" s="12">
        <v>45485</v>
      </c>
      <c r="B560" s="12" t="s">
        <v>16</v>
      </c>
      <c r="C560" s="12" t="s">
        <v>20</v>
      </c>
      <c r="D560" s="12" t="s">
        <v>27</v>
      </c>
      <c r="E560" s="13">
        <v>58849</v>
      </c>
      <c r="F560" s="14">
        <v>20</v>
      </c>
      <c r="G560" s="15">
        <v>25343</v>
      </c>
      <c r="H560" s="16">
        <v>0.15</v>
      </c>
      <c r="I560" s="13">
        <v>4</v>
      </c>
      <c r="J560" s="15">
        <v>76029</v>
      </c>
      <c r="K560" s="15">
        <v>430831</v>
      </c>
      <c r="L560" s="15">
        <v>386713.51901726332</v>
      </c>
      <c r="M560" s="15">
        <v>44117.480982736743</v>
      </c>
    </row>
    <row r="561" spans="1:13" x14ac:dyDescent="0.25">
      <c r="A561" s="12">
        <v>45486</v>
      </c>
      <c r="B561" s="12" t="s">
        <v>24</v>
      </c>
      <c r="C561" s="12" t="s">
        <v>21</v>
      </c>
      <c r="D561" s="12" t="s">
        <v>26</v>
      </c>
      <c r="E561" s="13">
        <v>36347</v>
      </c>
      <c r="F561" s="14">
        <v>2</v>
      </c>
      <c r="G561" s="15">
        <v>46984</v>
      </c>
      <c r="H561" s="16">
        <v>0.1</v>
      </c>
      <c r="I561" s="13">
        <v>2</v>
      </c>
      <c r="J561" s="15">
        <v>9396.8000000000011</v>
      </c>
      <c r="K561" s="15">
        <v>84571.199999999997</v>
      </c>
      <c r="L561" s="15">
        <v>55382.983739522148</v>
      </c>
      <c r="M561" s="15">
        <v>29188.216260477839</v>
      </c>
    </row>
    <row r="562" spans="1:13" x14ac:dyDescent="0.25">
      <c r="A562" s="12">
        <v>45487</v>
      </c>
      <c r="B562" s="12" t="s">
        <v>16</v>
      </c>
      <c r="C562" s="12" t="s">
        <v>20</v>
      </c>
      <c r="D562" s="12" t="s">
        <v>15</v>
      </c>
      <c r="E562" s="13">
        <v>59056</v>
      </c>
      <c r="F562" s="14">
        <v>41</v>
      </c>
      <c r="G562" s="15">
        <v>6412</v>
      </c>
      <c r="H562" s="16">
        <v>0.15</v>
      </c>
      <c r="I562" s="13">
        <v>2</v>
      </c>
      <c r="J562" s="15">
        <v>39433.800000000003</v>
      </c>
      <c r="K562" s="15">
        <v>223458.2</v>
      </c>
      <c r="L562" s="15">
        <v>165599.21756622131</v>
      </c>
      <c r="M562" s="15">
        <v>57858.982433778758</v>
      </c>
    </row>
    <row r="563" spans="1:13" x14ac:dyDescent="0.25">
      <c r="A563" s="12">
        <v>45488</v>
      </c>
      <c r="B563" s="12" t="s">
        <v>13</v>
      </c>
      <c r="C563" s="12" t="s">
        <v>20</v>
      </c>
      <c r="D563" s="12" t="s">
        <v>27</v>
      </c>
      <c r="E563" s="13">
        <v>73851</v>
      </c>
      <c r="F563" s="14">
        <v>19</v>
      </c>
      <c r="G563" s="15">
        <v>22014</v>
      </c>
      <c r="H563" s="16">
        <v>0.1</v>
      </c>
      <c r="I563" s="13">
        <v>5</v>
      </c>
      <c r="J563" s="15">
        <v>41826.600000000013</v>
      </c>
      <c r="K563" s="15">
        <v>376439.4</v>
      </c>
      <c r="L563" s="15">
        <v>324343.54504992242</v>
      </c>
      <c r="M563" s="15">
        <v>52095.854950077599</v>
      </c>
    </row>
    <row r="564" spans="1:13" x14ac:dyDescent="0.25">
      <c r="A564" s="12">
        <v>45489</v>
      </c>
      <c r="B564" s="12" t="s">
        <v>13</v>
      </c>
      <c r="C564" s="12" t="s">
        <v>23</v>
      </c>
      <c r="D564" s="12" t="s">
        <v>27</v>
      </c>
      <c r="E564" s="13">
        <v>91502</v>
      </c>
      <c r="F564" s="14">
        <v>37</v>
      </c>
      <c r="G564" s="15">
        <v>22323</v>
      </c>
      <c r="H564" s="16">
        <v>0.2</v>
      </c>
      <c r="I564" s="13">
        <v>2</v>
      </c>
      <c r="J564" s="15">
        <v>165190.20000000001</v>
      </c>
      <c r="K564" s="15">
        <v>660760.80000000005</v>
      </c>
      <c r="L564" s="15">
        <v>441065.84223142941</v>
      </c>
      <c r="M564" s="15">
        <v>219694.95776857069</v>
      </c>
    </row>
    <row r="565" spans="1:13" x14ac:dyDescent="0.25">
      <c r="A565" s="12">
        <v>45490</v>
      </c>
      <c r="B565" s="12" t="s">
        <v>13</v>
      </c>
      <c r="C565" s="12" t="s">
        <v>21</v>
      </c>
      <c r="D565" s="12" t="s">
        <v>22</v>
      </c>
      <c r="E565" s="13">
        <v>91418</v>
      </c>
      <c r="F565" s="14">
        <v>18</v>
      </c>
      <c r="G565" s="15">
        <v>29297</v>
      </c>
      <c r="H565" s="16">
        <v>0.2</v>
      </c>
      <c r="I565" s="13">
        <v>3</v>
      </c>
      <c r="J565" s="15">
        <v>105469.2</v>
      </c>
      <c r="K565" s="15">
        <v>421876.8</v>
      </c>
      <c r="L565" s="15">
        <v>313470.73299431312</v>
      </c>
      <c r="M565" s="15">
        <v>108406.0670056869</v>
      </c>
    </row>
    <row r="566" spans="1:13" x14ac:dyDescent="0.25">
      <c r="A566" s="12">
        <v>45491</v>
      </c>
      <c r="B566" s="12" t="s">
        <v>16</v>
      </c>
      <c r="C566" s="12" t="s">
        <v>23</v>
      </c>
      <c r="D566" s="12" t="s">
        <v>26</v>
      </c>
      <c r="E566" s="13">
        <v>80211</v>
      </c>
      <c r="F566" s="14">
        <v>16</v>
      </c>
      <c r="G566" s="15">
        <v>6949</v>
      </c>
      <c r="H566" s="16">
        <v>0</v>
      </c>
      <c r="I566" s="13">
        <v>1</v>
      </c>
      <c r="J566" s="15">
        <v>0</v>
      </c>
      <c r="K566" s="15">
        <v>111184</v>
      </c>
      <c r="L566" s="15">
        <v>71132.705136379271</v>
      </c>
      <c r="M566" s="15">
        <v>40051.294863620729</v>
      </c>
    </row>
    <row r="567" spans="1:13" x14ac:dyDescent="0.25">
      <c r="A567" s="12">
        <v>45492</v>
      </c>
      <c r="B567" s="12" t="s">
        <v>24</v>
      </c>
      <c r="C567" s="12" t="s">
        <v>17</v>
      </c>
      <c r="D567" s="12" t="s">
        <v>18</v>
      </c>
      <c r="E567" s="13">
        <v>51850</v>
      </c>
      <c r="F567" s="14">
        <v>4</v>
      </c>
      <c r="G567" s="15">
        <v>2225</v>
      </c>
      <c r="H567" s="16">
        <v>0.15</v>
      </c>
      <c r="I567" s="13">
        <v>5</v>
      </c>
      <c r="J567" s="15">
        <v>1335</v>
      </c>
      <c r="K567" s="15">
        <v>7565</v>
      </c>
      <c r="L567" s="15">
        <v>5435.6257204685025</v>
      </c>
      <c r="M567" s="15">
        <v>2129.374279531497</v>
      </c>
    </row>
    <row r="568" spans="1:13" x14ac:dyDescent="0.25">
      <c r="A568" s="12">
        <v>45493</v>
      </c>
      <c r="B568" s="12" t="s">
        <v>24</v>
      </c>
      <c r="C568" s="12" t="s">
        <v>23</v>
      </c>
      <c r="D568" s="12" t="s">
        <v>27</v>
      </c>
      <c r="E568" s="13">
        <v>88545</v>
      </c>
      <c r="F568" s="14">
        <v>12</v>
      </c>
      <c r="G568" s="15">
        <v>16370</v>
      </c>
      <c r="H568" s="16">
        <v>0</v>
      </c>
      <c r="I568" s="13">
        <v>1</v>
      </c>
      <c r="J568" s="15">
        <v>0</v>
      </c>
      <c r="K568" s="15">
        <v>196440</v>
      </c>
      <c r="L568" s="15">
        <v>128302.94662186121</v>
      </c>
      <c r="M568" s="15">
        <v>68137.053378138778</v>
      </c>
    </row>
    <row r="569" spans="1:13" x14ac:dyDescent="0.25">
      <c r="A569" s="12">
        <v>45494</v>
      </c>
      <c r="B569" s="12" t="s">
        <v>16</v>
      </c>
      <c r="C569" s="12" t="s">
        <v>23</v>
      </c>
      <c r="D569" s="12" t="s">
        <v>22</v>
      </c>
      <c r="E569" s="13">
        <v>37843</v>
      </c>
      <c r="F569" s="14">
        <v>29</v>
      </c>
      <c r="G569" s="15">
        <v>9804</v>
      </c>
      <c r="H569" s="16">
        <v>0.05</v>
      </c>
      <c r="I569" s="13">
        <v>2</v>
      </c>
      <c r="J569" s="15">
        <v>14215.8</v>
      </c>
      <c r="K569" s="15">
        <v>270100.2</v>
      </c>
      <c r="L569" s="15">
        <v>191524.8983005918</v>
      </c>
      <c r="M569" s="15">
        <v>78575.301699408243</v>
      </c>
    </row>
    <row r="570" spans="1:13" x14ac:dyDescent="0.25">
      <c r="A570" s="12">
        <v>45495</v>
      </c>
      <c r="B570" s="12" t="s">
        <v>13</v>
      </c>
      <c r="C570" s="12" t="s">
        <v>23</v>
      </c>
      <c r="D570" s="12" t="s">
        <v>25</v>
      </c>
      <c r="E570" s="13">
        <v>72320</v>
      </c>
      <c r="F570" s="14">
        <v>7</v>
      </c>
      <c r="G570" s="15">
        <v>8022</v>
      </c>
      <c r="H570" s="16">
        <v>0.2</v>
      </c>
      <c r="I570" s="13">
        <v>4</v>
      </c>
      <c r="J570" s="15">
        <v>11230.8</v>
      </c>
      <c r="K570" s="15">
        <v>44923.199999999997</v>
      </c>
      <c r="L570" s="15">
        <v>31987.082311146842</v>
      </c>
      <c r="M570" s="15">
        <v>12936.117688853161</v>
      </c>
    </row>
    <row r="571" spans="1:13" x14ac:dyDescent="0.25">
      <c r="A571" s="12">
        <v>45496</v>
      </c>
      <c r="B571" s="12" t="s">
        <v>13</v>
      </c>
      <c r="C571" s="12" t="s">
        <v>21</v>
      </c>
      <c r="D571" s="12" t="s">
        <v>18</v>
      </c>
      <c r="E571" s="13">
        <v>39793</v>
      </c>
      <c r="F571" s="14">
        <v>14</v>
      </c>
      <c r="G571" s="15">
        <v>14163</v>
      </c>
      <c r="H571" s="16">
        <v>0.15</v>
      </c>
      <c r="I571" s="13">
        <v>5</v>
      </c>
      <c r="J571" s="15">
        <v>29742.3</v>
      </c>
      <c r="K571" s="15">
        <v>168539.7</v>
      </c>
      <c r="L571" s="15">
        <v>151340.43207829981</v>
      </c>
      <c r="M571" s="15">
        <v>17199.267921700171</v>
      </c>
    </row>
    <row r="572" spans="1:13" x14ac:dyDescent="0.25">
      <c r="A572" s="12">
        <v>45497</v>
      </c>
      <c r="B572" s="12" t="s">
        <v>24</v>
      </c>
      <c r="C572" s="12" t="s">
        <v>23</v>
      </c>
      <c r="D572" s="12" t="s">
        <v>27</v>
      </c>
      <c r="E572" s="13">
        <v>49516</v>
      </c>
      <c r="F572" s="14">
        <v>12</v>
      </c>
      <c r="G572" s="15">
        <v>5284</v>
      </c>
      <c r="H572" s="16">
        <v>0</v>
      </c>
      <c r="I572" s="13">
        <v>2</v>
      </c>
      <c r="J572" s="15">
        <v>0</v>
      </c>
      <c r="K572" s="15">
        <v>63408</v>
      </c>
      <c r="L572" s="15">
        <v>56968.531368628079</v>
      </c>
      <c r="M572" s="15">
        <v>6439.4686313719212</v>
      </c>
    </row>
    <row r="573" spans="1:13" x14ac:dyDescent="0.25">
      <c r="A573" s="12">
        <v>45498</v>
      </c>
      <c r="B573" s="12" t="s">
        <v>13</v>
      </c>
      <c r="C573" s="12" t="s">
        <v>21</v>
      </c>
      <c r="D573" s="12" t="s">
        <v>27</v>
      </c>
      <c r="E573" s="13">
        <v>27857</v>
      </c>
      <c r="F573" s="14">
        <v>35</v>
      </c>
      <c r="G573" s="15">
        <v>9972</v>
      </c>
      <c r="H573" s="16">
        <v>0</v>
      </c>
      <c r="I573" s="13">
        <v>3</v>
      </c>
      <c r="J573" s="15">
        <v>0</v>
      </c>
      <c r="K573" s="15">
        <v>349020</v>
      </c>
      <c r="L573" s="15">
        <v>221430.81209343809</v>
      </c>
      <c r="M573" s="15">
        <v>127589.1879065619</v>
      </c>
    </row>
    <row r="574" spans="1:13" x14ac:dyDescent="0.25">
      <c r="A574" s="12">
        <v>45499</v>
      </c>
      <c r="B574" s="12" t="s">
        <v>19</v>
      </c>
      <c r="C574" s="12" t="s">
        <v>14</v>
      </c>
      <c r="D574" s="12" t="s">
        <v>22</v>
      </c>
      <c r="E574" s="13">
        <v>29627</v>
      </c>
      <c r="F574" s="14">
        <v>5</v>
      </c>
      <c r="G574" s="15">
        <v>29452</v>
      </c>
      <c r="H574" s="16">
        <v>0.05</v>
      </c>
      <c r="I574" s="13">
        <v>5</v>
      </c>
      <c r="J574" s="15">
        <v>7363</v>
      </c>
      <c r="K574" s="15">
        <v>139897</v>
      </c>
      <c r="L574" s="15">
        <v>114406.45629650931</v>
      </c>
      <c r="M574" s="15">
        <v>25490.543703490661</v>
      </c>
    </row>
    <row r="575" spans="1:13" x14ac:dyDescent="0.25">
      <c r="A575" s="12">
        <v>45500</v>
      </c>
      <c r="B575" s="12" t="s">
        <v>24</v>
      </c>
      <c r="C575" s="12" t="s">
        <v>17</v>
      </c>
      <c r="D575" s="12" t="s">
        <v>26</v>
      </c>
      <c r="E575" s="13">
        <v>71822</v>
      </c>
      <c r="F575" s="14">
        <v>17</v>
      </c>
      <c r="G575" s="15">
        <v>10555</v>
      </c>
      <c r="H575" s="16">
        <v>0</v>
      </c>
      <c r="I575" s="13">
        <v>5</v>
      </c>
      <c r="J575" s="15">
        <v>0</v>
      </c>
      <c r="K575" s="15">
        <v>179435</v>
      </c>
      <c r="L575" s="15">
        <v>110446.4850433275</v>
      </c>
      <c r="M575" s="15">
        <v>68988.514956672458</v>
      </c>
    </row>
    <row r="576" spans="1:13" x14ac:dyDescent="0.25">
      <c r="A576" s="12">
        <v>45501</v>
      </c>
      <c r="B576" s="12" t="s">
        <v>13</v>
      </c>
      <c r="C576" s="12" t="s">
        <v>21</v>
      </c>
      <c r="D576" s="12" t="s">
        <v>27</v>
      </c>
      <c r="E576" s="13">
        <v>94101</v>
      </c>
      <c r="F576" s="14">
        <v>42</v>
      </c>
      <c r="G576" s="15">
        <v>30008</v>
      </c>
      <c r="H576" s="16">
        <v>0.1</v>
      </c>
      <c r="I576" s="13">
        <v>4</v>
      </c>
      <c r="J576" s="15">
        <v>126033.60000000001</v>
      </c>
      <c r="K576" s="15">
        <v>1134302.3999999999</v>
      </c>
      <c r="L576" s="15">
        <v>690855.5026373429</v>
      </c>
      <c r="M576" s="15">
        <v>443446.89736265701</v>
      </c>
    </row>
    <row r="577" spans="1:13" x14ac:dyDescent="0.25">
      <c r="A577" s="12">
        <v>45502</v>
      </c>
      <c r="B577" s="12" t="s">
        <v>24</v>
      </c>
      <c r="C577" s="12" t="s">
        <v>14</v>
      </c>
      <c r="D577" s="12" t="s">
        <v>25</v>
      </c>
      <c r="E577" s="13">
        <v>62248</v>
      </c>
      <c r="F577" s="14">
        <v>32</v>
      </c>
      <c r="G577" s="15">
        <v>13176</v>
      </c>
      <c r="H577" s="16">
        <v>0.2</v>
      </c>
      <c r="I577" s="13">
        <v>5</v>
      </c>
      <c r="J577" s="15">
        <v>84326.400000000009</v>
      </c>
      <c r="K577" s="15">
        <v>337305.59999999998</v>
      </c>
      <c r="L577" s="15">
        <v>213042.27371959019</v>
      </c>
      <c r="M577" s="15">
        <v>124263.3262804097</v>
      </c>
    </row>
    <row r="578" spans="1:13" x14ac:dyDescent="0.25">
      <c r="A578" s="12">
        <v>45503</v>
      </c>
      <c r="B578" s="12" t="s">
        <v>19</v>
      </c>
      <c r="C578" s="12" t="s">
        <v>21</v>
      </c>
      <c r="D578" s="12" t="s">
        <v>27</v>
      </c>
      <c r="E578" s="13">
        <v>65798</v>
      </c>
      <c r="F578" s="14">
        <v>10</v>
      </c>
      <c r="G578" s="15">
        <v>25692</v>
      </c>
      <c r="H578" s="16">
        <v>0</v>
      </c>
      <c r="I578" s="13">
        <v>4</v>
      </c>
      <c r="J578" s="15">
        <v>0</v>
      </c>
      <c r="K578" s="15">
        <v>256920</v>
      </c>
      <c r="L578" s="15">
        <v>228567.77249954359</v>
      </c>
      <c r="M578" s="15">
        <v>28352.22750045644</v>
      </c>
    </row>
    <row r="579" spans="1:13" x14ac:dyDescent="0.25">
      <c r="A579" s="12">
        <v>45504</v>
      </c>
      <c r="B579" s="12" t="s">
        <v>24</v>
      </c>
      <c r="C579" s="12" t="s">
        <v>21</v>
      </c>
      <c r="D579" s="12" t="s">
        <v>25</v>
      </c>
      <c r="E579" s="13">
        <v>54116</v>
      </c>
      <c r="F579" s="14">
        <v>43</v>
      </c>
      <c r="G579" s="15">
        <v>25222</v>
      </c>
      <c r="H579" s="16">
        <v>0</v>
      </c>
      <c r="I579" s="13">
        <v>2</v>
      </c>
      <c r="J579" s="15">
        <v>0</v>
      </c>
      <c r="K579" s="15">
        <v>1084546</v>
      </c>
      <c r="L579" s="15">
        <v>956850.53922450065</v>
      </c>
      <c r="M579" s="15">
        <v>127695.4607754993</v>
      </c>
    </row>
    <row r="580" spans="1:13" x14ac:dyDescent="0.25">
      <c r="A580" s="12">
        <v>45505</v>
      </c>
      <c r="B580" s="12" t="s">
        <v>24</v>
      </c>
      <c r="C580" s="12" t="s">
        <v>17</v>
      </c>
      <c r="D580" s="12" t="s">
        <v>18</v>
      </c>
      <c r="E580" s="13">
        <v>85318</v>
      </c>
      <c r="F580" s="14">
        <v>17</v>
      </c>
      <c r="G580" s="15">
        <v>7946</v>
      </c>
      <c r="H580" s="16">
        <v>0.05</v>
      </c>
      <c r="I580" s="13">
        <v>3</v>
      </c>
      <c r="J580" s="15">
        <v>6754.1</v>
      </c>
      <c r="K580" s="15">
        <v>128327.9</v>
      </c>
      <c r="L580" s="15">
        <v>84462.644978459139</v>
      </c>
      <c r="M580" s="15">
        <v>43865.255021540863</v>
      </c>
    </row>
    <row r="581" spans="1:13" x14ac:dyDescent="0.25">
      <c r="A581" s="12">
        <v>45506</v>
      </c>
      <c r="B581" s="12" t="s">
        <v>24</v>
      </c>
      <c r="C581" s="12" t="s">
        <v>20</v>
      </c>
      <c r="D581" s="12" t="s">
        <v>18</v>
      </c>
      <c r="E581" s="13">
        <v>97902</v>
      </c>
      <c r="F581" s="14">
        <v>5</v>
      </c>
      <c r="G581" s="15">
        <v>5225</v>
      </c>
      <c r="H581" s="16">
        <v>0.1</v>
      </c>
      <c r="I581" s="13">
        <v>3</v>
      </c>
      <c r="J581" s="15">
        <v>2612.5</v>
      </c>
      <c r="K581" s="15">
        <v>23512.5</v>
      </c>
      <c r="L581" s="15">
        <v>15247.896236911991</v>
      </c>
      <c r="M581" s="15">
        <v>8264.6037630880073</v>
      </c>
    </row>
    <row r="582" spans="1:13" x14ac:dyDescent="0.25">
      <c r="A582" s="12">
        <v>45507</v>
      </c>
      <c r="B582" s="12" t="s">
        <v>24</v>
      </c>
      <c r="C582" s="12" t="s">
        <v>20</v>
      </c>
      <c r="D582" s="12" t="s">
        <v>15</v>
      </c>
      <c r="E582" s="13">
        <v>38557</v>
      </c>
      <c r="F582" s="14">
        <v>45</v>
      </c>
      <c r="G582" s="15">
        <v>20561</v>
      </c>
      <c r="H582" s="16">
        <v>0</v>
      </c>
      <c r="I582" s="13">
        <v>5</v>
      </c>
      <c r="J582" s="15">
        <v>0</v>
      </c>
      <c r="K582" s="15">
        <v>925245</v>
      </c>
      <c r="L582" s="15">
        <v>621913.16583703412</v>
      </c>
      <c r="M582" s="15">
        <v>303331.83416296588</v>
      </c>
    </row>
    <row r="583" spans="1:13" x14ac:dyDescent="0.25">
      <c r="A583" s="12">
        <v>45508</v>
      </c>
      <c r="B583" s="12" t="s">
        <v>19</v>
      </c>
      <c r="C583" s="12" t="s">
        <v>21</v>
      </c>
      <c r="D583" s="12" t="s">
        <v>15</v>
      </c>
      <c r="E583" s="13">
        <v>81334</v>
      </c>
      <c r="F583" s="14">
        <v>42</v>
      </c>
      <c r="G583" s="15">
        <v>48037</v>
      </c>
      <c r="H583" s="16">
        <v>0.2</v>
      </c>
      <c r="I583" s="13">
        <v>5</v>
      </c>
      <c r="J583" s="15">
        <v>403510.8</v>
      </c>
      <c r="K583" s="15">
        <v>1614043.2</v>
      </c>
      <c r="L583" s="15">
        <v>1218060.4560202269</v>
      </c>
      <c r="M583" s="15">
        <v>395982.74397977302</v>
      </c>
    </row>
    <row r="584" spans="1:13" x14ac:dyDescent="0.25">
      <c r="A584" s="12">
        <v>45509</v>
      </c>
      <c r="B584" s="12" t="s">
        <v>16</v>
      </c>
      <c r="C584" s="12" t="s">
        <v>23</v>
      </c>
      <c r="D584" s="12" t="s">
        <v>25</v>
      </c>
      <c r="E584" s="13">
        <v>85163</v>
      </c>
      <c r="F584" s="14">
        <v>9</v>
      </c>
      <c r="G584" s="15">
        <v>23171</v>
      </c>
      <c r="H584" s="16">
        <v>0.2</v>
      </c>
      <c r="I584" s="13">
        <v>2</v>
      </c>
      <c r="J584" s="15">
        <v>41707.800000000003</v>
      </c>
      <c r="K584" s="15">
        <v>166831.20000000001</v>
      </c>
      <c r="L584" s="15">
        <v>128612.07222240781</v>
      </c>
      <c r="M584" s="15">
        <v>38219.127777592243</v>
      </c>
    </row>
    <row r="585" spans="1:13" x14ac:dyDescent="0.25">
      <c r="A585" s="12">
        <v>45510</v>
      </c>
      <c r="B585" s="12" t="s">
        <v>24</v>
      </c>
      <c r="C585" s="12" t="s">
        <v>14</v>
      </c>
      <c r="D585" s="12" t="s">
        <v>26</v>
      </c>
      <c r="E585" s="13">
        <v>88002</v>
      </c>
      <c r="F585" s="14">
        <v>49</v>
      </c>
      <c r="G585" s="15">
        <v>1909</v>
      </c>
      <c r="H585" s="16">
        <v>0</v>
      </c>
      <c r="I585" s="13">
        <v>4</v>
      </c>
      <c r="J585" s="15">
        <v>0</v>
      </c>
      <c r="K585" s="15">
        <v>93541</v>
      </c>
      <c r="L585" s="15">
        <v>62343.021323020897</v>
      </c>
      <c r="M585" s="15">
        <v>31197.978676979099</v>
      </c>
    </row>
    <row r="586" spans="1:13" x14ac:dyDescent="0.25">
      <c r="A586" s="12">
        <v>45511</v>
      </c>
      <c r="B586" s="12" t="s">
        <v>24</v>
      </c>
      <c r="C586" s="12" t="s">
        <v>23</v>
      </c>
      <c r="D586" s="12" t="s">
        <v>27</v>
      </c>
      <c r="E586" s="13">
        <v>52614</v>
      </c>
      <c r="F586" s="14">
        <v>33</v>
      </c>
      <c r="G586" s="15">
        <v>8705</v>
      </c>
      <c r="H586" s="16">
        <v>0.1</v>
      </c>
      <c r="I586" s="13">
        <v>3</v>
      </c>
      <c r="J586" s="15">
        <v>28726.5</v>
      </c>
      <c r="K586" s="15">
        <v>258538.5</v>
      </c>
      <c r="L586" s="15">
        <v>213807.93620957769</v>
      </c>
      <c r="M586" s="15">
        <v>44730.563790422311</v>
      </c>
    </row>
    <row r="587" spans="1:13" x14ac:dyDescent="0.25">
      <c r="A587" s="12">
        <v>45512</v>
      </c>
      <c r="B587" s="12" t="s">
        <v>13</v>
      </c>
      <c r="C587" s="12" t="s">
        <v>23</v>
      </c>
      <c r="D587" s="12" t="s">
        <v>27</v>
      </c>
      <c r="E587" s="13">
        <v>22720</v>
      </c>
      <c r="F587" s="14">
        <v>36</v>
      </c>
      <c r="G587" s="15">
        <v>16865</v>
      </c>
      <c r="H587" s="16">
        <v>0.2</v>
      </c>
      <c r="I587" s="13">
        <v>4</v>
      </c>
      <c r="J587" s="15">
        <v>121428</v>
      </c>
      <c r="K587" s="15">
        <v>485712</v>
      </c>
      <c r="L587" s="15">
        <v>336533.30670507008</v>
      </c>
      <c r="M587" s="15">
        <v>149178.69329492989</v>
      </c>
    </row>
    <row r="588" spans="1:13" x14ac:dyDescent="0.25">
      <c r="A588" s="12">
        <v>45513</v>
      </c>
      <c r="B588" s="12" t="s">
        <v>24</v>
      </c>
      <c r="C588" s="12" t="s">
        <v>21</v>
      </c>
      <c r="D588" s="12" t="s">
        <v>15</v>
      </c>
      <c r="E588" s="13">
        <v>67608</v>
      </c>
      <c r="F588" s="14">
        <v>36</v>
      </c>
      <c r="G588" s="15">
        <v>756</v>
      </c>
      <c r="H588" s="16">
        <v>0.2</v>
      </c>
      <c r="I588" s="13">
        <v>2</v>
      </c>
      <c r="J588" s="15">
        <v>5443.2000000000007</v>
      </c>
      <c r="K588" s="15">
        <v>21772.799999999999</v>
      </c>
      <c r="L588" s="15">
        <v>19086.894277346029</v>
      </c>
      <c r="M588" s="15">
        <v>2685.905722653973</v>
      </c>
    </row>
    <row r="589" spans="1:13" x14ac:dyDescent="0.25">
      <c r="A589" s="12">
        <v>45514</v>
      </c>
      <c r="B589" s="12" t="s">
        <v>13</v>
      </c>
      <c r="C589" s="12" t="s">
        <v>21</v>
      </c>
      <c r="D589" s="12" t="s">
        <v>25</v>
      </c>
      <c r="E589" s="13">
        <v>82095</v>
      </c>
      <c r="F589" s="14">
        <v>18</v>
      </c>
      <c r="G589" s="15">
        <v>16204</v>
      </c>
      <c r="H589" s="16">
        <v>0.1</v>
      </c>
      <c r="I589" s="13">
        <v>3</v>
      </c>
      <c r="J589" s="15">
        <v>29167.200000000001</v>
      </c>
      <c r="K589" s="15">
        <v>262504.8</v>
      </c>
      <c r="L589" s="15">
        <v>209220.7388141648</v>
      </c>
      <c r="M589" s="15">
        <v>53284.061185835191</v>
      </c>
    </row>
    <row r="590" spans="1:13" x14ac:dyDescent="0.25">
      <c r="A590" s="12">
        <v>45515</v>
      </c>
      <c r="B590" s="12" t="s">
        <v>16</v>
      </c>
      <c r="C590" s="12" t="s">
        <v>21</v>
      </c>
      <c r="D590" s="12" t="s">
        <v>27</v>
      </c>
      <c r="E590" s="13">
        <v>94694</v>
      </c>
      <c r="F590" s="14">
        <v>9</v>
      </c>
      <c r="G590" s="15">
        <v>30402</v>
      </c>
      <c r="H590" s="16">
        <v>0.1</v>
      </c>
      <c r="I590" s="13">
        <v>3</v>
      </c>
      <c r="J590" s="15">
        <v>27361.8</v>
      </c>
      <c r="K590" s="15">
        <v>246256.2</v>
      </c>
      <c r="L590" s="15">
        <v>179989.9760924007</v>
      </c>
      <c r="M590" s="15">
        <v>66266.223907599284</v>
      </c>
    </row>
    <row r="591" spans="1:13" x14ac:dyDescent="0.25">
      <c r="A591" s="12">
        <v>45516</v>
      </c>
      <c r="B591" s="12" t="s">
        <v>19</v>
      </c>
      <c r="C591" s="12" t="s">
        <v>21</v>
      </c>
      <c r="D591" s="12" t="s">
        <v>27</v>
      </c>
      <c r="E591" s="13">
        <v>97593</v>
      </c>
      <c r="F591" s="14">
        <v>29</v>
      </c>
      <c r="G591" s="15">
        <v>36258</v>
      </c>
      <c r="H591" s="16">
        <v>0</v>
      </c>
      <c r="I591" s="13">
        <v>1</v>
      </c>
      <c r="J591" s="15">
        <v>0</v>
      </c>
      <c r="K591" s="15">
        <v>1051482</v>
      </c>
      <c r="L591" s="15">
        <v>880062.67541235348</v>
      </c>
      <c r="M591" s="15">
        <v>171419.32458764649</v>
      </c>
    </row>
    <row r="592" spans="1:13" x14ac:dyDescent="0.25">
      <c r="A592" s="12">
        <v>45517</v>
      </c>
      <c r="B592" s="12" t="s">
        <v>19</v>
      </c>
      <c r="C592" s="12" t="s">
        <v>20</v>
      </c>
      <c r="D592" s="12" t="s">
        <v>26</v>
      </c>
      <c r="E592" s="13">
        <v>45892</v>
      </c>
      <c r="F592" s="14">
        <v>14</v>
      </c>
      <c r="G592" s="15">
        <v>1695</v>
      </c>
      <c r="H592" s="16">
        <v>0.15</v>
      </c>
      <c r="I592" s="13">
        <v>2</v>
      </c>
      <c r="J592" s="15">
        <v>3559.5</v>
      </c>
      <c r="K592" s="15">
        <v>20170.5</v>
      </c>
      <c r="L592" s="15">
        <v>17051.62408940227</v>
      </c>
      <c r="M592" s="15">
        <v>3118.875910597726</v>
      </c>
    </row>
    <row r="593" spans="1:13" x14ac:dyDescent="0.25">
      <c r="A593" s="12">
        <v>45518</v>
      </c>
      <c r="B593" s="12" t="s">
        <v>16</v>
      </c>
      <c r="C593" s="12" t="s">
        <v>21</v>
      </c>
      <c r="D593" s="12" t="s">
        <v>22</v>
      </c>
      <c r="E593" s="13">
        <v>87242</v>
      </c>
      <c r="F593" s="14">
        <v>25</v>
      </c>
      <c r="G593" s="15">
        <v>34512</v>
      </c>
      <c r="H593" s="16">
        <v>0.05</v>
      </c>
      <c r="I593" s="13">
        <v>2</v>
      </c>
      <c r="J593" s="15">
        <v>43140</v>
      </c>
      <c r="K593" s="15">
        <v>819660</v>
      </c>
      <c r="L593" s="15">
        <v>563224.84585602803</v>
      </c>
      <c r="M593" s="15">
        <v>256435.154143972</v>
      </c>
    </row>
    <row r="594" spans="1:13" x14ac:dyDescent="0.25">
      <c r="A594" s="12">
        <v>45519</v>
      </c>
      <c r="B594" s="12" t="s">
        <v>19</v>
      </c>
      <c r="C594" s="12" t="s">
        <v>20</v>
      </c>
      <c r="D594" s="12" t="s">
        <v>15</v>
      </c>
      <c r="E594" s="13">
        <v>87606</v>
      </c>
      <c r="F594" s="14">
        <v>15</v>
      </c>
      <c r="G594" s="15">
        <v>11915</v>
      </c>
      <c r="H594" s="16">
        <v>0.15</v>
      </c>
      <c r="I594" s="13">
        <v>1</v>
      </c>
      <c r="J594" s="15">
        <v>26808.75</v>
      </c>
      <c r="K594" s="15">
        <v>151916.25</v>
      </c>
      <c r="L594" s="15">
        <v>106632.19787101159</v>
      </c>
      <c r="M594" s="15">
        <v>45284.052128988427</v>
      </c>
    </row>
    <row r="595" spans="1:13" x14ac:dyDescent="0.25">
      <c r="A595" s="12">
        <v>45520</v>
      </c>
      <c r="B595" s="12" t="s">
        <v>16</v>
      </c>
      <c r="C595" s="12" t="s">
        <v>20</v>
      </c>
      <c r="D595" s="12" t="s">
        <v>15</v>
      </c>
      <c r="E595" s="13">
        <v>10924</v>
      </c>
      <c r="F595" s="14">
        <v>6</v>
      </c>
      <c r="G595" s="15">
        <v>40034</v>
      </c>
      <c r="H595" s="16">
        <v>0.15</v>
      </c>
      <c r="I595" s="13">
        <v>4</v>
      </c>
      <c r="J595" s="15">
        <v>36030.6</v>
      </c>
      <c r="K595" s="15">
        <v>204173.4</v>
      </c>
      <c r="L595" s="15">
        <v>179833.18379528751</v>
      </c>
      <c r="M595" s="15">
        <v>24340.216204712491</v>
      </c>
    </row>
    <row r="596" spans="1:13" x14ac:dyDescent="0.25">
      <c r="A596" s="12">
        <v>45521</v>
      </c>
      <c r="B596" s="12" t="s">
        <v>16</v>
      </c>
      <c r="C596" s="12" t="s">
        <v>21</v>
      </c>
      <c r="D596" s="12" t="s">
        <v>22</v>
      </c>
      <c r="E596" s="13">
        <v>61322</v>
      </c>
      <c r="F596" s="14">
        <v>42</v>
      </c>
      <c r="G596" s="15">
        <v>22186</v>
      </c>
      <c r="H596" s="16">
        <v>0.2</v>
      </c>
      <c r="I596" s="13">
        <v>1</v>
      </c>
      <c r="J596" s="15">
        <v>186362.4</v>
      </c>
      <c r="K596" s="15">
        <v>745449.6</v>
      </c>
      <c r="L596" s="15">
        <v>484111.60234544572</v>
      </c>
      <c r="M596" s="15">
        <v>261337.99765455429</v>
      </c>
    </row>
    <row r="597" spans="1:13" x14ac:dyDescent="0.25">
      <c r="A597" s="12">
        <v>45522</v>
      </c>
      <c r="B597" s="12" t="s">
        <v>16</v>
      </c>
      <c r="C597" s="12" t="s">
        <v>17</v>
      </c>
      <c r="D597" s="12" t="s">
        <v>27</v>
      </c>
      <c r="E597" s="13">
        <v>36478</v>
      </c>
      <c r="F597" s="14">
        <v>29</v>
      </c>
      <c r="G597" s="15">
        <v>12162</v>
      </c>
      <c r="H597" s="16">
        <v>0.1</v>
      </c>
      <c r="I597" s="13">
        <v>2</v>
      </c>
      <c r="J597" s="15">
        <v>35269.800000000003</v>
      </c>
      <c r="K597" s="15">
        <v>317428.2</v>
      </c>
      <c r="L597" s="15">
        <v>194470.83929573809</v>
      </c>
      <c r="M597" s="15">
        <v>122957.3607042619</v>
      </c>
    </row>
    <row r="598" spans="1:13" x14ac:dyDescent="0.25">
      <c r="A598" s="12">
        <v>45523</v>
      </c>
      <c r="B598" s="12" t="s">
        <v>19</v>
      </c>
      <c r="C598" s="12" t="s">
        <v>14</v>
      </c>
      <c r="D598" s="12" t="s">
        <v>26</v>
      </c>
      <c r="E598" s="13">
        <v>81042</v>
      </c>
      <c r="F598" s="14">
        <v>15</v>
      </c>
      <c r="G598" s="15">
        <v>49478</v>
      </c>
      <c r="H598" s="16">
        <v>0.2</v>
      </c>
      <c r="I598" s="13">
        <v>4</v>
      </c>
      <c r="J598" s="15">
        <v>148434</v>
      </c>
      <c r="K598" s="15">
        <v>593736</v>
      </c>
      <c r="L598" s="15">
        <v>437118.29730747099</v>
      </c>
      <c r="M598" s="15">
        <v>156617.70269252901</v>
      </c>
    </row>
    <row r="599" spans="1:13" x14ac:dyDescent="0.25">
      <c r="A599" s="12">
        <v>45524</v>
      </c>
      <c r="B599" s="12" t="s">
        <v>13</v>
      </c>
      <c r="C599" s="12" t="s">
        <v>23</v>
      </c>
      <c r="D599" s="12" t="s">
        <v>26</v>
      </c>
      <c r="E599" s="13">
        <v>56418</v>
      </c>
      <c r="F599" s="14">
        <v>29</v>
      </c>
      <c r="G599" s="15">
        <v>29243</v>
      </c>
      <c r="H599" s="16">
        <v>0.05</v>
      </c>
      <c r="I599" s="13">
        <v>3</v>
      </c>
      <c r="J599" s="15">
        <v>42402.350000000013</v>
      </c>
      <c r="K599" s="15">
        <v>805644.65</v>
      </c>
      <c r="L599" s="15">
        <v>677033.93089749408</v>
      </c>
      <c r="M599" s="15">
        <v>128610.7191025059</v>
      </c>
    </row>
    <row r="600" spans="1:13" x14ac:dyDescent="0.25">
      <c r="A600" s="12">
        <v>45525</v>
      </c>
      <c r="B600" s="12" t="s">
        <v>16</v>
      </c>
      <c r="C600" s="12" t="s">
        <v>20</v>
      </c>
      <c r="D600" s="12" t="s">
        <v>15</v>
      </c>
      <c r="E600" s="13">
        <v>72217</v>
      </c>
      <c r="F600" s="14">
        <v>4</v>
      </c>
      <c r="G600" s="15">
        <v>32661</v>
      </c>
      <c r="H600" s="16">
        <v>0</v>
      </c>
      <c r="I600" s="13">
        <v>1</v>
      </c>
      <c r="J600" s="15">
        <v>0</v>
      </c>
      <c r="K600" s="15">
        <v>130644</v>
      </c>
      <c r="L600" s="15">
        <v>108630.5424242583</v>
      </c>
      <c r="M600" s="15">
        <v>22013.457575741679</v>
      </c>
    </row>
    <row r="601" spans="1:13" x14ac:dyDescent="0.25">
      <c r="A601" s="12">
        <v>45526</v>
      </c>
      <c r="B601" s="12" t="s">
        <v>24</v>
      </c>
      <c r="C601" s="12" t="s">
        <v>14</v>
      </c>
      <c r="D601" s="12" t="s">
        <v>26</v>
      </c>
      <c r="E601" s="13">
        <v>90846</v>
      </c>
      <c r="F601" s="14">
        <v>18</v>
      </c>
      <c r="G601" s="15">
        <v>43581</v>
      </c>
      <c r="H601" s="16">
        <v>0.05</v>
      </c>
      <c r="I601" s="13">
        <v>4</v>
      </c>
      <c r="J601" s="15">
        <v>39222.9</v>
      </c>
      <c r="K601" s="15">
        <v>745235.1</v>
      </c>
      <c r="L601" s="15">
        <v>652721.0100572753</v>
      </c>
      <c r="M601" s="15">
        <v>92514.089942724677</v>
      </c>
    </row>
    <row r="602" spans="1:13" x14ac:dyDescent="0.25">
      <c r="A602" s="12">
        <v>45527</v>
      </c>
      <c r="B602" s="12" t="s">
        <v>19</v>
      </c>
      <c r="C602" s="12" t="s">
        <v>17</v>
      </c>
      <c r="D602" s="12" t="s">
        <v>18</v>
      </c>
      <c r="E602" s="13">
        <v>83762</v>
      </c>
      <c r="F602" s="14">
        <v>49</v>
      </c>
      <c r="G602" s="15">
        <v>2902</v>
      </c>
      <c r="H602" s="16">
        <v>0.2</v>
      </c>
      <c r="I602" s="13">
        <v>4</v>
      </c>
      <c r="J602" s="15">
        <v>28439.599999999999</v>
      </c>
      <c r="K602" s="15">
        <v>113758.39999999999</v>
      </c>
      <c r="L602" s="15">
        <v>86451.856337267716</v>
      </c>
      <c r="M602" s="15">
        <v>27306.543662732282</v>
      </c>
    </row>
    <row r="603" spans="1:13" x14ac:dyDescent="0.25">
      <c r="A603" s="12">
        <v>45528</v>
      </c>
      <c r="B603" s="12" t="s">
        <v>16</v>
      </c>
      <c r="C603" s="12" t="s">
        <v>23</v>
      </c>
      <c r="D603" s="12" t="s">
        <v>22</v>
      </c>
      <c r="E603" s="13">
        <v>21781</v>
      </c>
      <c r="F603" s="14">
        <v>44</v>
      </c>
      <c r="G603" s="15">
        <v>13775</v>
      </c>
      <c r="H603" s="16">
        <v>0.2</v>
      </c>
      <c r="I603" s="13">
        <v>4</v>
      </c>
      <c r="J603" s="15">
        <v>121220</v>
      </c>
      <c r="K603" s="15">
        <v>484880</v>
      </c>
      <c r="L603" s="15">
        <v>305483.80738475418</v>
      </c>
      <c r="M603" s="15">
        <v>179396.19261524579</v>
      </c>
    </row>
    <row r="604" spans="1:13" x14ac:dyDescent="0.25">
      <c r="A604" s="12">
        <v>45529</v>
      </c>
      <c r="B604" s="12" t="s">
        <v>16</v>
      </c>
      <c r="C604" s="12" t="s">
        <v>23</v>
      </c>
      <c r="D604" s="12" t="s">
        <v>27</v>
      </c>
      <c r="E604" s="13">
        <v>15515</v>
      </c>
      <c r="F604" s="14">
        <v>39</v>
      </c>
      <c r="G604" s="15">
        <v>28682</v>
      </c>
      <c r="H604" s="16">
        <v>0.2</v>
      </c>
      <c r="I604" s="13">
        <v>1</v>
      </c>
      <c r="J604" s="15">
        <v>223719.6</v>
      </c>
      <c r="K604" s="15">
        <v>894878.4</v>
      </c>
      <c r="L604" s="15">
        <v>694968.5542354366</v>
      </c>
      <c r="M604" s="15">
        <v>199909.84576456339</v>
      </c>
    </row>
    <row r="605" spans="1:13" x14ac:dyDescent="0.25">
      <c r="A605" s="12">
        <v>45530</v>
      </c>
      <c r="B605" s="12" t="s">
        <v>24</v>
      </c>
      <c r="C605" s="12" t="s">
        <v>20</v>
      </c>
      <c r="D605" s="12" t="s">
        <v>18</v>
      </c>
      <c r="E605" s="13">
        <v>46133</v>
      </c>
      <c r="F605" s="14">
        <v>16</v>
      </c>
      <c r="G605" s="15">
        <v>15415</v>
      </c>
      <c r="H605" s="16">
        <v>0.2</v>
      </c>
      <c r="I605" s="13">
        <v>3</v>
      </c>
      <c r="J605" s="15">
        <v>49328</v>
      </c>
      <c r="K605" s="15">
        <v>197312</v>
      </c>
      <c r="L605" s="15">
        <v>164463.2386377783</v>
      </c>
      <c r="M605" s="15">
        <v>32848.761362221732</v>
      </c>
    </row>
    <row r="606" spans="1:13" x14ac:dyDescent="0.25">
      <c r="A606" s="12">
        <v>45531</v>
      </c>
      <c r="B606" s="12" t="s">
        <v>13</v>
      </c>
      <c r="C606" s="12" t="s">
        <v>21</v>
      </c>
      <c r="D606" s="12" t="s">
        <v>22</v>
      </c>
      <c r="E606" s="13">
        <v>92508</v>
      </c>
      <c r="F606" s="14">
        <v>11</v>
      </c>
      <c r="G606" s="15">
        <v>1409</v>
      </c>
      <c r="H606" s="16">
        <v>0.15</v>
      </c>
      <c r="I606" s="13">
        <v>4</v>
      </c>
      <c r="J606" s="15">
        <v>2324.85</v>
      </c>
      <c r="K606" s="15">
        <v>13174.15</v>
      </c>
      <c r="L606" s="15">
        <v>8273.345596695819</v>
      </c>
      <c r="M606" s="15">
        <v>4900.8044033041806</v>
      </c>
    </row>
    <row r="607" spans="1:13" x14ac:dyDescent="0.25">
      <c r="A607" s="12">
        <v>45532</v>
      </c>
      <c r="B607" s="12" t="s">
        <v>13</v>
      </c>
      <c r="C607" s="12" t="s">
        <v>17</v>
      </c>
      <c r="D607" s="12" t="s">
        <v>25</v>
      </c>
      <c r="E607" s="13">
        <v>86946</v>
      </c>
      <c r="F607" s="14">
        <v>14</v>
      </c>
      <c r="G607" s="15">
        <v>49074</v>
      </c>
      <c r="H607" s="16">
        <v>0</v>
      </c>
      <c r="I607" s="13">
        <v>1</v>
      </c>
      <c r="J607" s="15">
        <v>0</v>
      </c>
      <c r="K607" s="15">
        <v>687036</v>
      </c>
      <c r="L607" s="15">
        <v>447808.15506614512</v>
      </c>
      <c r="M607" s="15">
        <v>239227.84493385491</v>
      </c>
    </row>
    <row r="608" spans="1:13" x14ac:dyDescent="0.25">
      <c r="A608" s="12">
        <v>45533</v>
      </c>
      <c r="B608" s="12" t="s">
        <v>13</v>
      </c>
      <c r="C608" s="12" t="s">
        <v>20</v>
      </c>
      <c r="D608" s="12" t="s">
        <v>15</v>
      </c>
      <c r="E608" s="13">
        <v>95058</v>
      </c>
      <c r="F608" s="14">
        <v>3</v>
      </c>
      <c r="G608" s="15">
        <v>872</v>
      </c>
      <c r="H608" s="16">
        <v>0.15</v>
      </c>
      <c r="I608" s="13">
        <v>2</v>
      </c>
      <c r="J608" s="15">
        <v>392.4</v>
      </c>
      <c r="K608" s="15">
        <v>2223.6</v>
      </c>
      <c r="L608" s="15">
        <v>1342.3588542437251</v>
      </c>
      <c r="M608" s="15">
        <v>881.24114575627505</v>
      </c>
    </row>
    <row r="609" spans="1:13" x14ac:dyDescent="0.25">
      <c r="A609" s="12">
        <v>45534</v>
      </c>
      <c r="B609" s="12" t="s">
        <v>16</v>
      </c>
      <c r="C609" s="12" t="s">
        <v>17</v>
      </c>
      <c r="D609" s="12" t="s">
        <v>26</v>
      </c>
      <c r="E609" s="13">
        <v>19095</v>
      </c>
      <c r="F609" s="14">
        <v>42</v>
      </c>
      <c r="G609" s="15">
        <v>23120</v>
      </c>
      <c r="H609" s="16">
        <v>0.2</v>
      </c>
      <c r="I609" s="13">
        <v>1</v>
      </c>
      <c r="J609" s="15">
        <v>194208</v>
      </c>
      <c r="K609" s="15">
        <v>776832</v>
      </c>
      <c r="L609" s="15">
        <v>604449.69617904746</v>
      </c>
      <c r="M609" s="15">
        <v>172382.30382095251</v>
      </c>
    </row>
    <row r="610" spans="1:13" x14ac:dyDescent="0.25">
      <c r="A610" s="12">
        <v>45535</v>
      </c>
      <c r="B610" s="12" t="s">
        <v>16</v>
      </c>
      <c r="C610" s="12" t="s">
        <v>21</v>
      </c>
      <c r="D610" s="12" t="s">
        <v>25</v>
      </c>
      <c r="E610" s="13">
        <v>98583</v>
      </c>
      <c r="F610" s="14">
        <v>38</v>
      </c>
      <c r="G610" s="15">
        <v>34612</v>
      </c>
      <c r="H610" s="16">
        <v>0.1</v>
      </c>
      <c r="I610" s="13">
        <v>1</v>
      </c>
      <c r="J610" s="15">
        <v>131525.6</v>
      </c>
      <c r="K610" s="15">
        <v>1183730.3999999999</v>
      </c>
      <c r="L610" s="15">
        <v>1025134.576941565</v>
      </c>
      <c r="M610" s="15">
        <v>158595.82305843529</v>
      </c>
    </row>
    <row r="611" spans="1:13" x14ac:dyDescent="0.25">
      <c r="A611" s="12">
        <v>45536</v>
      </c>
      <c r="B611" s="12" t="s">
        <v>16</v>
      </c>
      <c r="C611" s="12" t="s">
        <v>21</v>
      </c>
      <c r="D611" s="12" t="s">
        <v>26</v>
      </c>
      <c r="E611" s="13">
        <v>30470</v>
      </c>
      <c r="F611" s="14">
        <v>45</v>
      </c>
      <c r="G611" s="15">
        <v>9015</v>
      </c>
      <c r="H611" s="16">
        <v>0.15</v>
      </c>
      <c r="I611" s="13">
        <v>1</v>
      </c>
      <c r="J611" s="15">
        <v>60851.25</v>
      </c>
      <c r="K611" s="15">
        <v>344823.75</v>
      </c>
      <c r="L611" s="15">
        <v>276272.44188338373</v>
      </c>
      <c r="M611" s="15">
        <v>68551.308116616332</v>
      </c>
    </row>
    <row r="612" spans="1:13" x14ac:dyDescent="0.25">
      <c r="A612" s="12">
        <v>45537</v>
      </c>
      <c r="B612" s="12" t="s">
        <v>19</v>
      </c>
      <c r="C612" s="12" t="s">
        <v>20</v>
      </c>
      <c r="D612" s="12" t="s">
        <v>18</v>
      </c>
      <c r="E612" s="13">
        <v>53129</v>
      </c>
      <c r="F612" s="14">
        <v>42</v>
      </c>
      <c r="G612" s="15">
        <v>2931</v>
      </c>
      <c r="H612" s="16">
        <v>0.2</v>
      </c>
      <c r="I612" s="13">
        <v>4</v>
      </c>
      <c r="J612" s="15">
        <v>24620.400000000001</v>
      </c>
      <c r="K612" s="15">
        <v>98481.600000000006</v>
      </c>
      <c r="L612" s="15">
        <v>88102.823727030031</v>
      </c>
      <c r="M612" s="15">
        <v>10378.776272969981</v>
      </c>
    </row>
    <row r="613" spans="1:13" x14ac:dyDescent="0.25">
      <c r="A613" s="12">
        <v>45538</v>
      </c>
      <c r="B613" s="12" t="s">
        <v>24</v>
      </c>
      <c r="C613" s="12" t="s">
        <v>21</v>
      </c>
      <c r="D613" s="12" t="s">
        <v>27</v>
      </c>
      <c r="E613" s="13">
        <v>18531</v>
      </c>
      <c r="F613" s="14">
        <v>18</v>
      </c>
      <c r="G613" s="15">
        <v>21554</v>
      </c>
      <c r="H613" s="16">
        <v>0.2</v>
      </c>
      <c r="I613" s="13">
        <v>1</v>
      </c>
      <c r="J613" s="15">
        <v>77594.400000000009</v>
      </c>
      <c r="K613" s="15">
        <v>310377.59999999998</v>
      </c>
      <c r="L613" s="15">
        <v>192095.830134633</v>
      </c>
      <c r="M613" s="15">
        <v>118281.76986536699</v>
      </c>
    </row>
    <row r="614" spans="1:13" x14ac:dyDescent="0.25">
      <c r="A614" s="12">
        <v>45539</v>
      </c>
      <c r="B614" s="12" t="s">
        <v>16</v>
      </c>
      <c r="C614" s="12" t="s">
        <v>14</v>
      </c>
      <c r="D614" s="12" t="s">
        <v>27</v>
      </c>
      <c r="E614" s="13">
        <v>47038</v>
      </c>
      <c r="F614" s="14">
        <v>20</v>
      </c>
      <c r="G614" s="15">
        <v>33124</v>
      </c>
      <c r="H614" s="16">
        <v>0</v>
      </c>
      <c r="I614" s="13">
        <v>2</v>
      </c>
      <c r="J614" s="15">
        <v>0</v>
      </c>
      <c r="K614" s="15">
        <v>662480</v>
      </c>
      <c r="L614" s="15">
        <v>576954.04766734899</v>
      </c>
      <c r="M614" s="15">
        <v>85525.95233265101</v>
      </c>
    </row>
    <row r="615" spans="1:13" x14ac:dyDescent="0.25">
      <c r="A615" s="12">
        <v>45540</v>
      </c>
      <c r="B615" s="12" t="s">
        <v>24</v>
      </c>
      <c r="C615" s="12" t="s">
        <v>23</v>
      </c>
      <c r="D615" s="12" t="s">
        <v>27</v>
      </c>
      <c r="E615" s="13">
        <v>97939</v>
      </c>
      <c r="F615" s="14">
        <v>48</v>
      </c>
      <c r="G615" s="15">
        <v>11085</v>
      </c>
      <c r="H615" s="16">
        <v>0.05</v>
      </c>
      <c r="I615" s="13">
        <v>4</v>
      </c>
      <c r="J615" s="15">
        <v>26604</v>
      </c>
      <c r="K615" s="15">
        <v>505476</v>
      </c>
      <c r="L615" s="15">
        <v>426733.19449052092</v>
      </c>
      <c r="M615" s="15">
        <v>78742.805509479076</v>
      </c>
    </row>
    <row r="616" spans="1:13" x14ac:dyDescent="0.25">
      <c r="A616" s="12">
        <v>45541</v>
      </c>
      <c r="B616" s="12" t="s">
        <v>24</v>
      </c>
      <c r="C616" s="12" t="s">
        <v>20</v>
      </c>
      <c r="D616" s="12" t="s">
        <v>26</v>
      </c>
      <c r="E616" s="13">
        <v>52674</v>
      </c>
      <c r="F616" s="14">
        <v>25</v>
      </c>
      <c r="G616" s="15">
        <v>48730</v>
      </c>
      <c r="H616" s="16">
        <v>0.15</v>
      </c>
      <c r="I616" s="13">
        <v>2</v>
      </c>
      <c r="J616" s="15">
        <v>182737.5</v>
      </c>
      <c r="K616" s="15">
        <v>1035512.5</v>
      </c>
      <c r="L616" s="15">
        <v>718927.80674887309</v>
      </c>
      <c r="M616" s="15">
        <v>316584.69325112691</v>
      </c>
    </row>
    <row r="617" spans="1:13" x14ac:dyDescent="0.25">
      <c r="A617" s="12">
        <v>45542</v>
      </c>
      <c r="B617" s="12" t="s">
        <v>13</v>
      </c>
      <c r="C617" s="12" t="s">
        <v>17</v>
      </c>
      <c r="D617" s="12" t="s">
        <v>25</v>
      </c>
      <c r="E617" s="13">
        <v>92476</v>
      </c>
      <c r="F617" s="14">
        <v>38</v>
      </c>
      <c r="G617" s="15">
        <v>32458</v>
      </c>
      <c r="H617" s="16">
        <v>0.15</v>
      </c>
      <c r="I617" s="13">
        <v>5</v>
      </c>
      <c r="J617" s="15">
        <v>185010.6</v>
      </c>
      <c r="K617" s="15">
        <v>1048393.4</v>
      </c>
      <c r="L617" s="15">
        <v>935227.6835012798</v>
      </c>
      <c r="M617" s="15">
        <v>113165.7164987202</v>
      </c>
    </row>
    <row r="618" spans="1:13" x14ac:dyDescent="0.25">
      <c r="A618" s="12">
        <v>45543</v>
      </c>
      <c r="B618" s="12" t="s">
        <v>19</v>
      </c>
      <c r="C618" s="12" t="s">
        <v>14</v>
      </c>
      <c r="D618" s="12" t="s">
        <v>27</v>
      </c>
      <c r="E618" s="13">
        <v>39831</v>
      </c>
      <c r="F618" s="14">
        <v>13</v>
      </c>
      <c r="G618" s="15">
        <v>2195</v>
      </c>
      <c r="H618" s="16">
        <v>0.15</v>
      </c>
      <c r="I618" s="13">
        <v>1</v>
      </c>
      <c r="J618" s="15">
        <v>4280.25</v>
      </c>
      <c r="K618" s="15">
        <v>24254.75</v>
      </c>
      <c r="L618" s="15">
        <v>16648.007429238191</v>
      </c>
      <c r="M618" s="15">
        <v>7606.7425707618086</v>
      </c>
    </row>
    <row r="619" spans="1:13" x14ac:dyDescent="0.25">
      <c r="A619" s="12">
        <v>45544</v>
      </c>
      <c r="B619" s="12" t="s">
        <v>16</v>
      </c>
      <c r="C619" s="12" t="s">
        <v>20</v>
      </c>
      <c r="D619" s="12" t="s">
        <v>25</v>
      </c>
      <c r="E619" s="13">
        <v>67174</v>
      </c>
      <c r="F619" s="14">
        <v>4</v>
      </c>
      <c r="G619" s="15">
        <v>35175</v>
      </c>
      <c r="H619" s="16">
        <v>0.2</v>
      </c>
      <c r="I619" s="13">
        <v>4</v>
      </c>
      <c r="J619" s="15">
        <v>28140</v>
      </c>
      <c r="K619" s="15">
        <v>112560</v>
      </c>
      <c r="L619" s="15">
        <v>97566.041914231289</v>
      </c>
      <c r="M619" s="15">
        <v>14993.958085768711</v>
      </c>
    </row>
    <row r="620" spans="1:13" x14ac:dyDescent="0.25">
      <c r="A620" s="12">
        <v>45545</v>
      </c>
      <c r="B620" s="12" t="s">
        <v>13</v>
      </c>
      <c r="C620" s="12" t="s">
        <v>21</v>
      </c>
      <c r="D620" s="12" t="s">
        <v>26</v>
      </c>
      <c r="E620" s="13">
        <v>21279</v>
      </c>
      <c r="F620" s="14">
        <v>14</v>
      </c>
      <c r="G620" s="15">
        <v>34287</v>
      </c>
      <c r="H620" s="16">
        <v>0</v>
      </c>
      <c r="I620" s="13">
        <v>4</v>
      </c>
      <c r="J620" s="15">
        <v>0</v>
      </c>
      <c r="K620" s="15">
        <v>480018</v>
      </c>
      <c r="L620" s="15">
        <v>414843.35114099953</v>
      </c>
      <c r="M620" s="15">
        <v>65174.648859000532</v>
      </c>
    </row>
    <row r="621" spans="1:13" x14ac:dyDescent="0.25">
      <c r="A621" s="12">
        <v>45546</v>
      </c>
      <c r="B621" s="12" t="s">
        <v>13</v>
      </c>
      <c r="C621" s="12" t="s">
        <v>21</v>
      </c>
      <c r="D621" s="12" t="s">
        <v>18</v>
      </c>
      <c r="E621" s="13">
        <v>48220</v>
      </c>
      <c r="F621" s="14">
        <v>33</v>
      </c>
      <c r="G621" s="15">
        <v>44725</v>
      </c>
      <c r="H621" s="16">
        <v>0.2</v>
      </c>
      <c r="I621" s="13">
        <v>1</v>
      </c>
      <c r="J621" s="15">
        <v>295185</v>
      </c>
      <c r="K621" s="15">
        <v>1180740</v>
      </c>
      <c r="L621" s="15">
        <v>976822.99626833806</v>
      </c>
      <c r="M621" s="15">
        <v>203917.00373166191</v>
      </c>
    </row>
    <row r="622" spans="1:13" x14ac:dyDescent="0.25">
      <c r="A622" s="12">
        <v>45547</v>
      </c>
      <c r="B622" s="12" t="s">
        <v>16</v>
      </c>
      <c r="C622" s="12" t="s">
        <v>21</v>
      </c>
      <c r="D622" s="12" t="s">
        <v>25</v>
      </c>
      <c r="E622" s="13">
        <v>70610</v>
      </c>
      <c r="F622" s="14">
        <v>28</v>
      </c>
      <c r="G622" s="15">
        <v>1903</v>
      </c>
      <c r="H622" s="16">
        <v>0.2</v>
      </c>
      <c r="I622" s="13">
        <v>3</v>
      </c>
      <c r="J622" s="15">
        <v>10656.8</v>
      </c>
      <c r="K622" s="15">
        <v>42627.199999999997</v>
      </c>
      <c r="L622" s="15">
        <v>32782.070574394558</v>
      </c>
      <c r="M622" s="15">
        <v>9845.1294256054389</v>
      </c>
    </row>
    <row r="623" spans="1:13" x14ac:dyDescent="0.25">
      <c r="A623" s="12">
        <v>45548</v>
      </c>
      <c r="B623" s="12" t="s">
        <v>24</v>
      </c>
      <c r="C623" s="12" t="s">
        <v>21</v>
      </c>
      <c r="D623" s="12" t="s">
        <v>18</v>
      </c>
      <c r="E623" s="13">
        <v>62719</v>
      </c>
      <c r="F623" s="14">
        <v>37</v>
      </c>
      <c r="G623" s="15">
        <v>18310</v>
      </c>
      <c r="H623" s="16">
        <v>0.1</v>
      </c>
      <c r="I623" s="13">
        <v>3</v>
      </c>
      <c r="J623" s="15">
        <v>67747</v>
      </c>
      <c r="K623" s="15">
        <v>609723</v>
      </c>
      <c r="L623" s="15">
        <v>387784.33095139731</v>
      </c>
      <c r="M623" s="15">
        <v>221938.66904860269</v>
      </c>
    </row>
    <row r="624" spans="1:13" x14ac:dyDescent="0.25">
      <c r="A624" s="12">
        <v>45549</v>
      </c>
      <c r="B624" s="12" t="s">
        <v>13</v>
      </c>
      <c r="C624" s="12" t="s">
        <v>17</v>
      </c>
      <c r="D624" s="12" t="s">
        <v>26</v>
      </c>
      <c r="E624" s="13">
        <v>63051</v>
      </c>
      <c r="F624" s="14">
        <v>8</v>
      </c>
      <c r="G624" s="15">
        <v>9355</v>
      </c>
      <c r="H624" s="16">
        <v>0</v>
      </c>
      <c r="I624" s="13">
        <v>2</v>
      </c>
      <c r="J624" s="15">
        <v>0</v>
      </c>
      <c r="K624" s="15">
        <v>74840</v>
      </c>
      <c r="L624" s="15">
        <v>56847.829382915377</v>
      </c>
      <c r="M624" s="15">
        <v>17992.170617084619</v>
      </c>
    </row>
    <row r="625" spans="1:13" x14ac:dyDescent="0.25">
      <c r="A625" s="12">
        <v>45550</v>
      </c>
      <c r="B625" s="12" t="s">
        <v>24</v>
      </c>
      <c r="C625" s="12" t="s">
        <v>14</v>
      </c>
      <c r="D625" s="12" t="s">
        <v>26</v>
      </c>
      <c r="E625" s="13">
        <v>82013</v>
      </c>
      <c r="F625" s="14">
        <v>44</v>
      </c>
      <c r="G625" s="15">
        <v>39136</v>
      </c>
      <c r="H625" s="16">
        <v>0.15</v>
      </c>
      <c r="I625" s="13">
        <v>1</v>
      </c>
      <c r="J625" s="15">
        <v>258297.60000000001</v>
      </c>
      <c r="K625" s="15">
        <v>1463686.4</v>
      </c>
      <c r="L625" s="15">
        <v>1034883.188091915</v>
      </c>
      <c r="M625" s="15">
        <v>428803.21190808469</v>
      </c>
    </row>
    <row r="626" spans="1:13" x14ac:dyDescent="0.25">
      <c r="A626" s="12">
        <v>45551</v>
      </c>
      <c r="B626" s="12" t="s">
        <v>19</v>
      </c>
      <c r="C626" s="12" t="s">
        <v>23</v>
      </c>
      <c r="D626" s="12" t="s">
        <v>15</v>
      </c>
      <c r="E626" s="13">
        <v>66652</v>
      </c>
      <c r="F626" s="14">
        <v>34</v>
      </c>
      <c r="G626" s="15">
        <v>11339</v>
      </c>
      <c r="H626" s="16">
        <v>0.05</v>
      </c>
      <c r="I626" s="13">
        <v>1</v>
      </c>
      <c r="J626" s="15">
        <v>19276.3</v>
      </c>
      <c r="K626" s="15">
        <v>366249.7</v>
      </c>
      <c r="L626" s="15">
        <v>306794.5952184113</v>
      </c>
      <c r="M626" s="15">
        <v>59455.104781588707</v>
      </c>
    </row>
    <row r="627" spans="1:13" x14ac:dyDescent="0.25">
      <c r="A627" s="12">
        <v>45552</v>
      </c>
      <c r="B627" s="12" t="s">
        <v>24</v>
      </c>
      <c r="C627" s="12" t="s">
        <v>17</v>
      </c>
      <c r="D627" s="12" t="s">
        <v>26</v>
      </c>
      <c r="E627" s="13">
        <v>75524</v>
      </c>
      <c r="F627" s="14">
        <v>44</v>
      </c>
      <c r="G627" s="15">
        <v>510</v>
      </c>
      <c r="H627" s="16">
        <v>0.15</v>
      </c>
      <c r="I627" s="13">
        <v>5</v>
      </c>
      <c r="J627" s="15">
        <v>3366</v>
      </c>
      <c r="K627" s="15">
        <v>19074</v>
      </c>
      <c r="L627" s="15">
        <v>15782.566945416251</v>
      </c>
      <c r="M627" s="15">
        <v>3291.4330545837529</v>
      </c>
    </row>
    <row r="628" spans="1:13" x14ac:dyDescent="0.25">
      <c r="A628" s="12">
        <v>45553</v>
      </c>
      <c r="B628" s="12" t="s">
        <v>19</v>
      </c>
      <c r="C628" s="12" t="s">
        <v>17</v>
      </c>
      <c r="D628" s="12" t="s">
        <v>26</v>
      </c>
      <c r="E628" s="13">
        <v>92936</v>
      </c>
      <c r="F628" s="14">
        <v>5</v>
      </c>
      <c r="G628" s="15">
        <v>39598</v>
      </c>
      <c r="H628" s="16">
        <v>0.2</v>
      </c>
      <c r="I628" s="13">
        <v>3</v>
      </c>
      <c r="J628" s="15">
        <v>39598</v>
      </c>
      <c r="K628" s="15">
        <v>158392</v>
      </c>
      <c r="L628" s="15">
        <v>138305.32088032851</v>
      </c>
      <c r="M628" s="15">
        <v>20086.679119671491</v>
      </c>
    </row>
    <row r="629" spans="1:13" x14ac:dyDescent="0.25">
      <c r="A629" s="12">
        <v>45554</v>
      </c>
      <c r="B629" s="12" t="s">
        <v>24</v>
      </c>
      <c r="C629" s="12" t="s">
        <v>23</v>
      </c>
      <c r="D629" s="12" t="s">
        <v>22</v>
      </c>
      <c r="E629" s="13">
        <v>16470</v>
      </c>
      <c r="F629" s="14">
        <v>5</v>
      </c>
      <c r="G629" s="15">
        <v>48329</v>
      </c>
      <c r="H629" s="16">
        <v>0</v>
      </c>
      <c r="I629" s="13">
        <v>3</v>
      </c>
      <c r="J629" s="15">
        <v>0</v>
      </c>
      <c r="K629" s="15">
        <v>241645</v>
      </c>
      <c r="L629" s="15">
        <v>146062.090380243</v>
      </c>
      <c r="M629" s="15">
        <v>95582.909619757003</v>
      </c>
    </row>
    <row r="630" spans="1:13" x14ac:dyDescent="0.25">
      <c r="A630" s="12">
        <v>45555</v>
      </c>
      <c r="B630" s="12" t="s">
        <v>13</v>
      </c>
      <c r="C630" s="12" t="s">
        <v>23</v>
      </c>
      <c r="D630" s="12" t="s">
        <v>27</v>
      </c>
      <c r="E630" s="13">
        <v>77598</v>
      </c>
      <c r="F630" s="14">
        <v>31</v>
      </c>
      <c r="G630" s="15">
        <v>9730</v>
      </c>
      <c r="H630" s="16">
        <v>0</v>
      </c>
      <c r="I630" s="13">
        <v>1</v>
      </c>
      <c r="J630" s="15">
        <v>0</v>
      </c>
      <c r="K630" s="15">
        <v>301630</v>
      </c>
      <c r="L630" s="15">
        <v>254192.94098710059</v>
      </c>
      <c r="M630" s="15">
        <v>47437.059012899379</v>
      </c>
    </row>
    <row r="631" spans="1:13" x14ac:dyDescent="0.25">
      <c r="A631" s="12">
        <v>45556</v>
      </c>
      <c r="B631" s="12" t="s">
        <v>13</v>
      </c>
      <c r="C631" s="12" t="s">
        <v>21</v>
      </c>
      <c r="D631" s="12" t="s">
        <v>15</v>
      </c>
      <c r="E631" s="13">
        <v>51798</v>
      </c>
      <c r="F631" s="14">
        <v>45</v>
      </c>
      <c r="G631" s="15">
        <v>40732</v>
      </c>
      <c r="H631" s="16">
        <v>0</v>
      </c>
      <c r="I631" s="13">
        <v>2</v>
      </c>
      <c r="J631" s="15">
        <v>0</v>
      </c>
      <c r="K631" s="15">
        <v>1832940</v>
      </c>
      <c r="L631" s="15">
        <v>1615807.390696299</v>
      </c>
      <c r="M631" s="15">
        <v>217132.60930370071</v>
      </c>
    </row>
    <row r="632" spans="1:13" x14ac:dyDescent="0.25">
      <c r="A632" s="12">
        <v>45557</v>
      </c>
      <c r="B632" s="12" t="s">
        <v>19</v>
      </c>
      <c r="C632" s="12" t="s">
        <v>17</v>
      </c>
      <c r="D632" s="12" t="s">
        <v>15</v>
      </c>
      <c r="E632" s="13">
        <v>63473</v>
      </c>
      <c r="F632" s="14">
        <v>9</v>
      </c>
      <c r="G632" s="15">
        <v>48014</v>
      </c>
      <c r="H632" s="16">
        <v>0.1</v>
      </c>
      <c r="I632" s="13">
        <v>1</v>
      </c>
      <c r="J632" s="15">
        <v>43212.600000000013</v>
      </c>
      <c r="K632" s="15">
        <v>388913.4</v>
      </c>
      <c r="L632" s="15">
        <v>325438.89638525329</v>
      </c>
      <c r="M632" s="15">
        <v>63474.503614746733</v>
      </c>
    </row>
    <row r="633" spans="1:13" x14ac:dyDescent="0.25">
      <c r="A633" s="12">
        <v>45558</v>
      </c>
      <c r="B633" s="12" t="s">
        <v>16</v>
      </c>
      <c r="C633" s="12" t="s">
        <v>20</v>
      </c>
      <c r="D633" s="12" t="s">
        <v>15</v>
      </c>
      <c r="E633" s="13">
        <v>29880</v>
      </c>
      <c r="F633" s="14">
        <v>42</v>
      </c>
      <c r="G633" s="15">
        <v>36271</v>
      </c>
      <c r="H633" s="16">
        <v>0.15</v>
      </c>
      <c r="I633" s="13">
        <v>2</v>
      </c>
      <c r="J633" s="15">
        <v>228507.3</v>
      </c>
      <c r="K633" s="15">
        <v>1294874.7</v>
      </c>
      <c r="L633" s="15">
        <v>827500.47364989086</v>
      </c>
      <c r="M633" s="15">
        <v>467374.22635010909</v>
      </c>
    </row>
    <row r="634" spans="1:13" x14ac:dyDescent="0.25">
      <c r="A634" s="12">
        <v>45559</v>
      </c>
      <c r="B634" s="12" t="s">
        <v>19</v>
      </c>
      <c r="C634" s="12" t="s">
        <v>23</v>
      </c>
      <c r="D634" s="12" t="s">
        <v>22</v>
      </c>
      <c r="E634" s="13">
        <v>54439</v>
      </c>
      <c r="F634" s="14">
        <v>32</v>
      </c>
      <c r="G634" s="15">
        <v>29756</v>
      </c>
      <c r="H634" s="16">
        <v>0.1</v>
      </c>
      <c r="I634" s="13">
        <v>3</v>
      </c>
      <c r="J634" s="15">
        <v>95219.200000000012</v>
      </c>
      <c r="K634" s="15">
        <v>856972.80000000005</v>
      </c>
      <c r="L634" s="15">
        <v>535079.87461709674</v>
      </c>
      <c r="M634" s="15">
        <v>321892.92538290331</v>
      </c>
    </row>
    <row r="635" spans="1:13" x14ac:dyDescent="0.25">
      <c r="A635" s="12">
        <v>45560</v>
      </c>
      <c r="B635" s="12" t="s">
        <v>19</v>
      </c>
      <c r="C635" s="12" t="s">
        <v>23</v>
      </c>
      <c r="D635" s="12" t="s">
        <v>18</v>
      </c>
      <c r="E635" s="13">
        <v>24308</v>
      </c>
      <c r="F635" s="14">
        <v>33</v>
      </c>
      <c r="G635" s="15">
        <v>26151</v>
      </c>
      <c r="H635" s="16">
        <v>0.05</v>
      </c>
      <c r="I635" s="13">
        <v>5</v>
      </c>
      <c r="J635" s="15">
        <v>43149.15</v>
      </c>
      <c r="K635" s="15">
        <v>819833.85</v>
      </c>
      <c r="L635" s="15">
        <v>497027.19996171608</v>
      </c>
      <c r="M635" s="15">
        <v>322806.65003828378</v>
      </c>
    </row>
    <row r="636" spans="1:13" x14ac:dyDescent="0.25">
      <c r="A636" s="12">
        <v>45561</v>
      </c>
      <c r="B636" s="12" t="s">
        <v>24</v>
      </c>
      <c r="C636" s="12" t="s">
        <v>14</v>
      </c>
      <c r="D636" s="12" t="s">
        <v>26</v>
      </c>
      <c r="E636" s="13">
        <v>45081</v>
      </c>
      <c r="F636" s="14">
        <v>3</v>
      </c>
      <c r="G636" s="15">
        <v>32883</v>
      </c>
      <c r="H636" s="16">
        <v>0.2</v>
      </c>
      <c r="I636" s="13">
        <v>4</v>
      </c>
      <c r="J636" s="15">
        <v>19729.8</v>
      </c>
      <c r="K636" s="15">
        <v>78919.199999999997</v>
      </c>
      <c r="L636" s="15">
        <v>62237.541067851213</v>
      </c>
      <c r="M636" s="15">
        <v>16681.658932148781</v>
      </c>
    </row>
    <row r="637" spans="1:13" x14ac:dyDescent="0.25">
      <c r="A637" s="12">
        <v>45562</v>
      </c>
      <c r="B637" s="12" t="s">
        <v>24</v>
      </c>
      <c r="C637" s="12" t="s">
        <v>20</v>
      </c>
      <c r="D637" s="12" t="s">
        <v>27</v>
      </c>
      <c r="E637" s="13">
        <v>85242</v>
      </c>
      <c r="F637" s="14">
        <v>30</v>
      </c>
      <c r="G637" s="15">
        <v>40463</v>
      </c>
      <c r="H637" s="16">
        <v>0.1</v>
      </c>
      <c r="I637" s="13">
        <v>3</v>
      </c>
      <c r="J637" s="15">
        <v>121389</v>
      </c>
      <c r="K637" s="15">
        <v>1092501</v>
      </c>
      <c r="L637" s="15">
        <v>861876.00054887368</v>
      </c>
      <c r="M637" s="15">
        <v>230624.99945112629</v>
      </c>
    </row>
    <row r="638" spans="1:13" x14ac:dyDescent="0.25">
      <c r="A638" s="12">
        <v>45563</v>
      </c>
      <c r="B638" s="12" t="s">
        <v>19</v>
      </c>
      <c r="C638" s="12" t="s">
        <v>20</v>
      </c>
      <c r="D638" s="12" t="s">
        <v>25</v>
      </c>
      <c r="E638" s="13">
        <v>60383</v>
      </c>
      <c r="F638" s="14">
        <v>12</v>
      </c>
      <c r="G638" s="15">
        <v>14162</v>
      </c>
      <c r="H638" s="16">
        <v>0.1</v>
      </c>
      <c r="I638" s="13">
        <v>2</v>
      </c>
      <c r="J638" s="15">
        <v>16994.400000000001</v>
      </c>
      <c r="K638" s="15">
        <v>152949.6</v>
      </c>
      <c r="L638" s="15">
        <v>137054.17734725701</v>
      </c>
      <c r="M638" s="15">
        <v>15895.422652743029</v>
      </c>
    </row>
    <row r="639" spans="1:13" x14ac:dyDescent="0.25">
      <c r="A639" s="12">
        <v>45564</v>
      </c>
      <c r="B639" s="12" t="s">
        <v>13</v>
      </c>
      <c r="C639" s="12" t="s">
        <v>23</v>
      </c>
      <c r="D639" s="12" t="s">
        <v>18</v>
      </c>
      <c r="E639" s="13">
        <v>19837</v>
      </c>
      <c r="F639" s="14">
        <v>29</v>
      </c>
      <c r="G639" s="15">
        <v>14239</v>
      </c>
      <c r="H639" s="16">
        <v>0.2</v>
      </c>
      <c r="I639" s="13">
        <v>1</v>
      </c>
      <c r="J639" s="15">
        <v>82586.200000000012</v>
      </c>
      <c r="K639" s="15">
        <v>330344.8</v>
      </c>
      <c r="L639" s="15">
        <v>237654.3278222348</v>
      </c>
      <c r="M639" s="15">
        <v>92690.472177765187</v>
      </c>
    </row>
    <row r="640" spans="1:13" x14ac:dyDescent="0.25">
      <c r="A640" s="12">
        <v>45565</v>
      </c>
      <c r="B640" s="12" t="s">
        <v>24</v>
      </c>
      <c r="C640" s="12" t="s">
        <v>21</v>
      </c>
      <c r="D640" s="12" t="s">
        <v>26</v>
      </c>
      <c r="E640" s="13">
        <v>62151</v>
      </c>
      <c r="F640" s="14">
        <v>3</v>
      </c>
      <c r="G640" s="15">
        <v>48856</v>
      </c>
      <c r="H640" s="16">
        <v>0</v>
      </c>
      <c r="I640" s="13">
        <v>3</v>
      </c>
      <c r="J640" s="15">
        <v>0</v>
      </c>
      <c r="K640" s="15">
        <v>146568</v>
      </c>
      <c r="L640" s="15">
        <v>102534.8521094569</v>
      </c>
      <c r="M640" s="15">
        <v>44033.147890543107</v>
      </c>
    </row>
    <row r="641" spans="1:13" x14ac:dyDescent="0.25">
      <c r="A641" s="12">
        <v>45566</v>
      </c>
      <c r="B641" s="12" t="s">
        <v>16</v>
      </c>
      <c r="C641" s="12" t="s">
        <v>14</v>
      </c>
      <c r="D641" s="12" t="s">
        <v>22</v>
      </c>
      <c r="E641" s="13">
        <v>46824</v>
      </c>
      <c r="F641" s="14">
        <v>26</v>
      </c>
      <c r="G641" s="15">
        <v>2289</v>
      </c>
      <c r="H641" s="16">
        <v>0.2</v>
      </c>
      <c r="I641" s="13">
        <v>5</v>
      </c>
      <c r="J641" s="15">
        <v>11902.8</v>
      </c>
      <c r="K641" s="15">
        <v>47611.199999999997</v>
      </c>
      <c r="L641" s="15">
        <v>37485.606027948466</v>
      </c>
      <c r="M641" s="15">
        <v>10125.593972051531</v>
      </c>
    </row>
    <row r="642" spans="1:13" x14ac:dyDescent="0.25">
      <c r="A642" s="12">
        <v>45567</v>
      </c>
      <c r="B642" s="12" t="s">
        <v>24</v>
      </c>
      <c r="C642" s="12" t="s">
        <v>20</v>
      </c>
      <c r="D642" s="12" t="s">
        <v>26</v>
      </c>
      <c r="E642" s="13">
        <v>43073</v>
      </c>
      <c r="F642" s="14">
        <v>30</v>
      </c>
      <c r="G642" s="15">
        <v>19920</v>
      </c>
      <c r="H642" s="16">
        <v>0.15</v>
      </c>
      <c r="I642" s="13">
        <v>2</v>
      </c>
      <c r="J642" s="15">
        <v>89640</v>
      </c>
      <c r="K642" s="15">
        <v>507960</v>
      </c>
      <c r="L642" s="15">
        <v>430588.85438608722</v>
      </c>
      <c r="M642" s="15">
        <v>77371.145613912784</v>
      </c>
    </row>
    <row r="643" spans="1:13" x14ac:dyDescent="0.25">
      <c r="A643" s="12">
        <v>45568</v>
      </c>
      <c r="B643" s="12" t="s">
        <v>24</v>
      </c>
      <c r="C643" s="12" t="s">
        <v>23</v>
      </c>
      <c r="D643" s="12" t="s">
        <v>26</v>
      </c>
      <c r="E643" s="13">
        <v>36299</v>
      </c>
      <c r="F643" s="14">
        <v>9</v>
      </c>
      <c r="G643" s="15">
        <v>24261</v>
      </c>
      <c r="H643" s="16">
        <v>0.2</v>
      </c>
      <c r="I643" s="13">
        <v>1</v>
      </c>
      <c r="J643" s="15">
        <v>43669.8</v>
      </c>
      <c r="K643" s="15">
        <v>174679.2</v>
      </c>
      <c r="L643" s="15">
        <v>153897.9972250555</v>
      </c>
      <c r="M643" s="15">
        <v>20781.202774944479</v>
      </c>
    </row>
    <row r="644" spans="1:13" x14ac:dyDescent="0.25">
      <c r="A644" s="12">
        <v>45569</v>
      </c>
      <c r="B644" s="12" t="s">
        <v>16</v>
      </c>
      <c r="C644" s="12" t="s">
        <v>20</v>
      </c>
      <c r="D644" s="12" t="s">
        <v>22</v>
      </c>
      <c r="E644" s="13">
        <v>68861</v>
      </c>
      <c r="F644" s="14">
        <v>26</v>
      </c>
      <c r="G644" s="15">
        <v>40866</v>
      </c>
      <c r="H644" s="16">
        <v>0</v>
      </c>
      <c r="I644" s="13">
        <v>4</v>
      </c>
      <c r="J644" s="15">
        <v>0</v>
      </c>
      <c r="K644" s="15">
        <v>1062516</v>
      </c>
      <c r="L644" s="15">
        <v>893509.28296556615</v>
      </c>
      <c r="M644" s="15">
        <v>169006.71703443391</v>
      </c>
    </row>
    <row r="645" spans="1:13" x14ac:dyDescent="0.25">
      <c r="A645" s="12">
        <v>45570</v>
      </c>
      <c r="B645" s="12" t="s">
        <v>19</v>
      </c>
      <c r="C645" s="12" t="s">
        <v>14</v>
      </c>
      <c r="D645" s="12" t="s">
        <v>15</v>
      </c>
      <c r="E645" s="13">
        <v>40063</v>
      </c>
      <c r="F645" s="14">
        <v>2</v>
      </c>
      <c r="G645" s="15">
        <v>38106</v>
      </c>
      <c r="H645" s="16">
        <v>0.2</v>
      </c>
      <c r="I645" s="13">
        <v>2</v>
      </c>
      <c r="J645" s="15">
        <v>15242.4</v>
      </c>
      <c r="K645" s="15">
        <v>60969.599999999999</v>
      </c>
      <c r="L645" s="15">
        <v>44386.002578566011</v>
      </c>
      <c r="M645" s="15">
        <v>16583.597421433991</v>
      </c>
    </row>
    <row r="646" spans="1:13" x14ac:dyDescent="0.25">
      <c r="A646" s="12">
        <v>45571</v>
      </c>
      <c r="B646" s="12" t="s">
        <v>16</v>
      </c>
      <c r="C646" s="12" t="s">
        <v>14</v>
      </c>
      <c r="D646" s="12" t="s">
        <v>15</v>
      </c>
      <c r="E646" s="13">
        <v>79453</v>
      </c>
      <c r="F646" s="14">
        <v>3</v>
      </c>
      <c r="G646" s="15">
        <v>39140</v>
      </c>
      <c r="H646" s="16">
        <v>0.1</v>
      </c>
      <c r="I646" s="13">
        <v>1</v>
      </c>
      <c r="J646" s="15">
        <v>11742</v>
      </c>
      <c r="K646" s="15">
        <v>105678</v>
      </c>
      <c r="L646" s="15">
        <v>83535.739967792484</v>
      </c>
      <c r="M646" s="15">
        <v>22142.26003220752</v>
      </c>
    </row>
    <row r="647" spans="1:13" x14ac:dyDescent="0.25">
      <c r="A647" s="12">
        <v>45572</v>
      </c>
      <c r="B647" s="12" t="s">
        <v>19</v>
      </c>
      <c r="C647" s="12" t="s">
        <v>17</v>
      </c>
      <c r="D647" s="12" t="s">
        <v>27</v>
      </c>
      <c r="E647" s="13">
        <v>78472</v>
      </c>
      <c r="F647" s="14">
        <v>46</v>
      </c>
      <c r="G647" s="15">
        <v>44635</v>
      </c>
      <c r="H647" s="16">
        <v>0.05</v>
      </c>
      <c r="I647" s="13">
        <v>4</v>
      </c>
      <c r="J647" s="15">
        <v>102660.5</v>
      </c>
      <c r="K647" s="15">
        <v>1950549.5</v>
      </c>
      <c r="L647" s="15">
        <v>1671405.9670729381</v>
      </c>
      <c r="M647" s="15">
        <v>279143.53292706242</v>
      </c>
    </row>
    <row r="648" spans="1:13" x14ac:dyDescent="0.25">
      <c r="A648" s="12">
        <v>45573</v>
      </c>
      <c r="B648" s="12" t="s">
        <v>19</v>
      </c>
      <c r="C648" s="12" t="s">
        <v>23</v>
      </c>
      <c r="D648" s="12" t="s">
        <v>27</v>
      </c>
      <c r="E648" s="13">
        <v>24506</v>
      </c>
      <c r="F648" s="14">
        <v>4</v>
      </c>
      <c r="G648" s="15">
        <v>37567</v>
      </c>
      <c r="H648" s="16">
        <v>0.1</v>
      </c>
      <c r="I648" s="13">
        <v>1</v>
      </c>
      <c r="J648" s="15">
        <v>15026.8</v>
      </c>
      <c r="K648" s="15">
        <v>135241.20000000001</v>
      </c>
      <c r="L648" s="15">
        <v>101049.9128936717</v>
      </c>
      <c r="M648" s="15">
        <v>34191.287106328316</v>
      </c>
    </row>
    <row r="649" spans="1:13" x14ac:dyDescent="0.25">
      <c r="A649" s="12">
        <v>45574</v>
      </c>
      <c r="B649" s="12" t="s">
        <v>19</v>
      </c>
      <c r="C649" s="12" t="s">
        <v>14</v>
      </c>
      <c r="D649" s="12" t="s">
        <v>15</v>
      </c>
      <c r="E649" s="13">
        <v>89854</v>
      </c>
      <c r="F649" s="14">
        <v>25</v>
      </c>
      <c r="G649" s="15">
        <v>17857</v>
      </c>
      <c r="H649" s="16">
        <v>0.05</v>
      </c>
      <c r="I649" s="13">
        <v>4</v>
      </c>
      <c r="J649" s="15">
        <v>22321.25</v>
      </c>
      <c r="K649" s="15">
        <v>424103.75</v>
      </c>
      <c r="L649" s="15">
        <v>282031.53545111133</v>
      </c>
      <c r="M649" s="15">
        <v>142072.2145488887</v>
      </c>
    </row>
    <row r="650" spans="1:13" x14ac:dyDescent="0.25">
      <c r="A650" s="12">
        <v>45575</v>
      </c>
      <c r="B650" s="12" t="s">
        <v>16</v>
      </c>
      <c r="C650" s="12" t="s">
        <v>17</v>
      </c>
      <c r="D650" s="12" t="s">
        <v>18</v>
      </c>
      <c r="E650" s="13">
        <v>36026</v>
      </c>
      <c r="F650" s="14">
        <v>13</v>
      </c>
      <c r="G650" s="15">
        <v>40351</v>
      </c>
      <c r="H650" s="16">
        <v>0.2</v>
      </c>
      <c r="I650" s="13">
        <v>4</v>
      </c>
      <c r="J650" s="15">
        <v>104912.6</v>
      </c>
      <c r="K650" s="15">
        <v>419650.4</v>
      </c>
      <c r="L650" s="15">
        <v>273157.59281387128</v>
      </c>
      <c r="M650" s="15">
        <v>146492.80718612869</v>
      </c>
    </row>
    <row r="651" spans="1:13" x14ac:dyDescent="0.25">
      <c r="A651" s="12">
        <v>45576</v>
      </c>
      <c r="B651" s="12" t="s">
        <v>19</v>
      </c>
      <c r="C651" s="12" t="s">
        <v>17</v>
      </c>
      <c r="D651" s="12" t="s">
        <v>25</v>
      </c>
      <c r="E651" s="13">
        <v>37672</v>
      </c>
      <c r="F651" s="14">
        <v>39</v>
      </c>
      <c r="G651" s="15">
        <v>38762</v>
      </c>
      <c r="H651" s="16">
        <v>0.15</v>
      </c>
      <c r="I651" s="13">
        <v>4</v>
      </c>
      <c r="J651" s="15">
        <v>226757.7</v>
      </c>
      <c r="K651" s="15">
        <v>1284960.3</v>
      </c>
      <c r="L651" s="15">
        <v>771036.98865610303</v>
      </c>
      <c r="M651" s="15">
        <v>513923.31134389702</v>
      </c>
    </row>
    <row r="652" spans="1:13" x14ac:dyDescent="0.25">
      <c r="A652" s="12">
        <v>45577</v>
      </c>
      <c r="B652" s="12" t="s">
        <v>13</v>
      </c>
      <c r="C652" s="12" t="s">
        <v>20</v>
      </c>
      <c r="D652" s="12" t="s">
        <v>26</v>
      </c>
      <c r="E652" s="13">
        <v>48417</v>
      </c>
      <c r="F652" s="14">
        <v>44</v>
      </c>
      <c r="G652" s="15">
        <v>11817</v>
      </c>
      <c r="H652" s="16">
        <v>0.2</v>
      </c>
      <c r="I652" s="13">
        <v>1</v>
      </c>
      <c r="J652" s="15">
        <v>103989.6</v>
      </c>
      <c r="K652" s="15">
        <v>415958.4</v>
      </c>
      <c r="L652" s="15">
        <v>339202.17816348688</v>
      </c>
      <c r="M652" s="15">
        <v>76756.221836513083</v>
      </c>
    </row>
    <row r="653" spans="1:13" x14ac:dyDescent="0.25">
      <c r="A653" s="12">
        <v>45578</v>
      </c>
      <c r="B653" s="12" t="s">
        <v>16</v>
      </c>
      <c r="C653" s="12" t="s">
        <v>20</v>
      </c>
      <c r="D653" s="12" t="s">
        <v>25</v>
      </c>
      <c r="E653" s="13">
        <v>62413</v>
      </c>
      <c r="F653" s="14">
        <v>35</v>
      </c>
      <c r="G653" s="15">
        <v>22034</v>
      </c>
      <c r="H653" s="16">
        <v>0</v>
      </c>
      <c r="I653" s="13">
        <v>4</v>
      </c>
      <c r="J653" s="15">
        <v>0</v>
      </c>
      <c r="K653" s="15">
        <v>771190</v>
      </c>
      <c r="L653" s="15">
        <v>488417.11694698181</v>
      </c>
      <c r="M653" s="15">
        <v>282772.88305301819</v>
      </c>
    </row>
    <row r="654" spans="1:13" x14ac:dyDescent="0.25">
      <c r="A654" s="12">
        <v>45579</v>
      </c>
      <c r="B654" s="12" t="s">
        <v>13</v>
      </c>
      <c r="C654" s="12" t="s">
        <v>17</v>
      </c>
      <c r="D654" s="12" t="s">
        <v>26</v>
      </c>
      <c r="E654" s="13">
        <v>75066</v>
      </c>
      <c r="F654" s="14">
        <v>23</v>
      </c>
      <c r="G654" s="15">
        <v>26234</v>
      </c>
      <c r="H654" s="16">
        <v>0.2</v>
      </c>
      <c r="I654" s="13">
        <v>2</v>
      </c>
      <c r="J654" s="15">
        <v>120676.4</v>
      </c>
      <c r="K654" s="15">
        <v>482705.6</v>
      </c>
      <c r="L654" s="15">
        <v>324934.1096766566</v>
      </c>
      <c r="M654" s="15">
        <v>157771.4903233434</v>
      </c>
    </row>
    <row r="655" spans="1:13" x14ac:dyDescent="0.25">
      <c r="A655" s="12">
        <v>45580</v>
      </c>
      <c r="B655" s="12" t="s">
        <v>19</v>
      </c>
      <c r="C655" s="12" t="s">
        <v>20</v>
      </c>
      <c r="D655" s="12" t="s">
        <v>15</v>
      </c>
      <c r="E655" s="13">
        <v>69213</v>
      </c>
      <c r="F655" s="14">
        <v>9</v>
      </c>
      <c r="G655" s="15">
        <v>36397</v>
      </c>
      <c r="H655" s="16">
        <v>0.05</v>
      </c>
      <c r="I655" s="13">
        <v>5</v>
      </c>
      <c r="J655" s="15">
        <v>16378.65</v>
      </c>
      <c r="K655" s="15">
        <v>311194.34999999998</v>
      </c>
      <c r="L655" s="15">
        <v>214525.83941058599</v>
      </c>
      <c r="M655" s="15">
        <v>96668.510589413927</v>
      </c>
    </row>
    <row r="656" spans="1:13" x14ac:dyDescent="0.25">
      <c r="A656" s="12">
        <v>45581</v>
      </c>
      <c r="B656" s="12" t="s">
        <v>24</v>
      </c>
      <c r="C656" s="12" t="s">
        <v>14</v>
      </c>
      <c r="D656" s="12" t="s">
        <v>27</v>
      </c>
      <c r="E656" s="13">
        <v>60971</v>
      </c>
      <c r="F656" s="14">
        <v>2</v>
      </c>
      <c r="G656" s="15">
        <v>33372</v>
      </c>
      <c r="H656" s="16">
        <v>0.1</v>
      </c>
      <c r="I656" s="13">
        <v>5</v>
      </c>
      <c r="J656" s="15">
        <v>6674.4000000000005</v>
      </c>
      <c r="K656" s="15">
        <v>60069.599999999999</v>
      </c>
      <c r="L656" s="15">
        <v>46140.298213941489</v>
      </c>
      <c r="M656" s="15">
        <v>13929.30178605851</v>
      </c>
    </row>
    <row r="657" spans="1:13" x14ac:dyDescent="0.25">
      <c r="A657" s="12">
        <v>45582</v>
      </c>
      <c r="B657" s="12" t="s">
        <v>19</v>
      </c>
      <c r="C657" s="12" t="s">
        <v>21</v>
      </c>
      <c r="D657" s="12" t="s">
        <v>18</v>
      </c>
      <c r="E657" s="13">
        <v>37281</v>
      </c>
      <c r="F657" s="14">
        <v>41</v>
      </c>
      <c r="G657" s="15">
        <v>40701</v>
      </c>
      <c r="H657" s="16">
        <v>0.15</v>
      </c>
      <c r="I657" s="13">
        <v>4</v>
      </c>
      <c r="J657" s="15">
        <v>250311.15</v>
      </c>
      <c r="K657" s="15">
        <v>1418429.85</v>
      </c>
      <c r="L657" s="15">
        <v>1020400.254342314</v>
      </c>
      <c r="M657" s="15">
        <v>398029.59565768612</v>
      </c>
    </row>
    <row r="658" spans="1:13" x14ac:dyDescent="0.25">
      <c r="A658" s="12">
        <v>45583</v>
      </c>
      <c r="B658" s="12" t="s">
        <v>13</v>
      </c>
      <c r="C658" s="12" t="s">
        <v>14</v>
      </c>
      <c r="D658" s="12" t="s">
        <v>27</v>
      </c>
      <c r="E658" s="13">
        <v>38091</v>
      </c>
      <c r="F658" s="14">
        <v>44</v>
      </c>
      <c r="G658" s="15">
        <v>8189</v>
      </c>
      <c r="H658" s="16">
        <v>0.2</v>
      </c>
      <c r="I658" s="13">
        <v>5</v>
      </c>
      <c r="J658" s="15">
        <v>72063.199999999997</v>
      </c>
      <c r="K658" s="15">
        <v>288252.79999999999</v>
      </c>
      <c r="L658" s="15">
        <v>231294.68018635621</v>
      </c>
      <c r="M658" s="15">
        <v>56958.119813643767</v>
      </c>
    </row>
    <row r="659" spans="1:13" x14ac:dyDescent="0.25">
      <c r="A659" s="12">
        <v>45584</v>
      </c>
      <c r="B659" s="12" t="s">
        <v>13</v>
      </c>
      <c r="C659" s="12" t="s">
        <v>17</v>
      </c>
      <c r="D659" s="12" t="s">
        <v>25</v>
      </c>
      <c r="E659" s="13">
        <v>60494</v>
      </c>
      <c r="F659" s="14">
        <v>31</v>
      </c>
      <c r="G659" s="15">
        <v>4067</v>
      </c>
      <c r="H659" s="16">
        <v>0.2</v>
      </c>
      <c r="I659" s="13">
        <v>5</v>
      </c>
      <c r="J659" s="15">
        <v>25215.4</v>
      </c>
      <c r="K659" s="15">
        <v>100861.6</v>
      </c>
      <c r="L659" s="15">
        <v>62200.501260524368</v>
      </c>
      <c r="M659" s="15">
        <v>38661.098739475638</v>
      </c>
    </row>
    <row r="660" spans="1:13" x14ac:dyDescent="0.25">
      <c r="A660" s="12">
        <v>45585</v>
      </c>
      <c r="B660" s="12" t="s">
        <v>16</v>
      </c>
      <c r="C660" s="12" t="s">
        <v>17</v>
      </c>
      <c r="D660" s="12" t="s">
        <v>27</v>
      </c>
      <c r="E660" s="13">
        <v>28610</v>
      </c>
      <c r="F660" s="14">
        <v>44</v>
      </c>
      <c r="G660" s="15">
        <v>21232</v>
      </c>
      <c r="H660" s="16">
        <v>0.1</v>
      </c>
      <c r="I660" s="13">
        <v>4</v>
      </c>
      <c r="J660" s="15">
        <v>93420.800000000003</v>
      </c>
      <c r="K660" s="15">
        <v>840787.2</v>
      </c>
      <c r="L660" s="15">
        <v>535734.26643475611</v>
      </c>
      <c r="M660" s="15">
        <v>305052.93356524379</v>
      </c>
    </row>
    <row r="661" spans="1:13" x14ac:dyDescent="0.25">
      <c r="A661" s="12">
        <v>45586</v>
      </c>
      <c r="B661" s="12" t="s">
        <v>24</v>
      </c>
      <c r="C661" s="12" t="s">
        <v>14</v>
      </c>
      <c r="D661" s="12" t="s">
        <v>15</v>
      </c>
      <c r="E661" s="13">
        <v>11079</v>
      </c>
      <c r="F661" s="14">
        <v>47</v>
      </c>
      <c r="G661" s="15">
        <v>21274</v>
      </c>
      <c r="H661" s="16">
        <v>0.15</v>
      </c>
      <c r="I661" s="13">
        <v>4</v>
      </c>
      <c r="J661" s="15">
        <v>149981.70000000001</v>
      </c>
      <c r="K661" s="15">
        <v>849896.3</v>
      </c>
      <c r="L661" s="15">
        <v>637221.18293110805</v>
      </c>
      <c r="M661" s="15">
        <v>212675.117068892</v>
      </c>
    </row>
    <row r="662" spans="1:13" x14ac:dyDescent="0.25">
      <c r="A662" s="12">
        <v>45587</v>
      </c>
      <c r="B662" s="12" t="s">
        <v>16</v>
      </c>
      <c r="C662" s="12" t="s">
        <v>20</v>
      </c>
      <c r="D662" s="12" t="s">
        <v>18</v>
      </c>
      <c r="E662" s="13">
        <v>56751</v>
      </c>
      <c r="F662" s="14">
        <v>2</v>
      </c>
      <c r="G662" s="15">
        <v>23695</v>
      </c>
      <c r="H662" s="16">
        <v>0.2</v>
      </c>
      <c r="I662" s="13">
        <v>2</v>
      </c>
      <c r="J662" s="15">
        <v>9478</v>
      </c>
      <c r="K662" s="15">
        <v>37912</v>
      </c>
      <c r="L662" s="15">
        <v>26579.70271105471</v>
      </c>
      <c r="M662" s="15">
        <v>11332.29728894529</v>
      </c>
    </row>
    <row r="663" spans="1:13" x14ac:dyDescent="0.25">
      <c r="A663" s="12">
        <v>45588</v>
      </c>
      <c r="B663" s="12" t="s">
        <v>13</v>
      </c>
      <c r="C663" s="12" t="s">
        <v>20</v>
      </c>
      <c r="D663" s="12" t="s">
        <v>25</v>
      </c>
      <c r="E663" s="13">
        <v>96126</v>
      </c>
      <c r="F663" s="14">
        <v>32</v>
      </c>
      <c r="G663" s="15">
        <v>37912</v>
      </c>
      <c r="H663" s="16">
        <v>0.2</v>
      </c>
      <c r="I663" s="13">
        <v>3</v>
      </c>
      <c r="J663" s="15">
        <v>242636.79999999999</v>
      </c>
      <c r="K663" s="15">
        <v>970547.19999999995</v>
      </c>
      <c r="L663" s="15">
        <v>668458.56928227481</v>
      </c>
      <c r="M663" s="15">
        <v>302088.63071772509</v>
      </c>
    </row>
    <row r="664" spans="1:13" x14ac:dyDescent="0.25">
      <c r="A664" s="12">
        <v>45589</v>
      </c>
      <c r="B664" s="12" t="s">
        <v>19</v>
      </c>
      <c r="C664" s="12" t="s">
        <v>17</v>
      </c>
      <c r="D664" s="12" t="s">
        <v>18</v>
      </c>
      <c r="E664" s="13">
        <v>65432</v>
      </c>
      <c r="F664" s="14">
        <v>18</v>
      </c>
      <c r="G664" s="15">
        <v>48234</v>
      </c>
      <c r="H664" s="16">
        <v>0.05</v>
      </c>
      <c r="I664" s="13">
        <v>1</v>
      </c>
      <c r="J664" s="15">
        <v>43410.600000000013</v>
      </c>
      <c r="K664" s="15">
        <v>824801.4</v>
      </c>
      <c r="L664" s="15">
        <v>511466.29602883791</v>
      </c>
      <c r="M664" s="15">
        <v>313335.10397116223</v>
      </c>
    </row>
    <row r="665" spans="1:13" x14ac:dyDescent="0.25">
      <c r="A665" s="12">
        <v>45590</v>
      </c>
      <c r="B665" s="12" t="s">
        <v>24</v>
      </c>
      <c r="C665" s="12" t="s">
        <v>23</v>
      </c>
      <c r="D665" s="12" t="s">
        <v>26</v>
      </c>
      <c r="E665" s="13">
        <v>40951</v>
      </c>
      <c r="F665" s="14">
        <v>13</v>
      </c>
      <c r="G665" s="15">
        <v>44598</v>
      </c>
      <c r="H665" s="16">
        <v>0.05</v>
      </c>
      <c r="I665" s="13">
        <v>4</v>
      </c>
      <c r="J665" s="15">
        <v>28988.7</v>
      </c>
      <c r="K665" s="15">
        <v>550785.30000000005</v>
      </c>
      <c r="L665" s="15">
        <v>478475.86631379923</v>
      </c>
      <c r="M665" s="15">
        <v>72309.433686200879</v>
      </c>
    </row>
    <row r="666" spans="1:13" x14ac:dyDescent="0.25">
      <c r="A666" s="12">
        <v>45591</v>
      </c>
      <c r="B666" s="12" t="s">
        <v>19</v>
      </c>
      <c r="C666" s="12" t="s">
        <v>20</v>
      </c>
      <c r="D666" s="12" t="s">
        <v>27</v>
      </c>
      <c r="E666" s="13">
        <v>90863</v>
      </c>
      <c r="F666" s="14">
        <v>46</v>
      </c>
      <c r="G666" s="15">
        <v>22757</v>
      </c>
      <c r="H666" s="16">
        <v>0</v>
      </c>
      <c r="I666" s="13">
        <v>4</v>
      </c>
      <c r="J666" s="15">
        <v>0</v>
      </c>
      <c r="K666" s="15">
        <v>1046822</v>
      </c>
      <c r="L666" s="15">
        <v>845356.47478937928</v>
      </c>
      <c r="M666" s="15">
        <v>201465.52521062069</v>
      </c>
    </row>
    <row r="667" spans="1:13" x14ac:dyDescent="0.25">
      <c r="A667" s="12">
        <v>45592</v>
      </c>
      <c r="B667" s="12" t="s">
        <v>19</v>
      </c>
      <c r="C667" s="12" t="s">
        <v>14</v>
      </c>
      <c r="D667" s="12" t="s">
        <v>18</v>
      </c>
      <c r="E667" s="13">
        <v>88291</v>
      </c>
      <c r="F667" s="14">
        <v>5</v>
      </c>
      <c r="G667" s="15">
        <v>4894</v>
      </c>
      <c r="H667" s="16">
        <v>0.1</v>
      </c>
      <c r="I667" s="13">
        <v>5</v>
      </c>
      <c r="J667" s="15">
        <v>2447</v>
      </c>
      <c r="K667" s="15">
        <v>22023</v>
      </c>
      <c r="L667" s="15">
        <v>14017.31900029174</v>
      </c>
      <c r="M667" s="15">
        <v>8005.6809997082582</v>
      </c>
    </row>
    <row r="668" spans="1:13" x14ac:dyDescent="0.25">
      <c r="A668" s="12">
        <v>45593</v>
      </c>
      <c r="B668" s="12" t="s">
        <v>24</v>
      </c>
      <c r="C668" s="12" t="s">
        <v>20</v>
      </c>
      <c r="D668" s="12" t="s">
        <v>22</v>
      </c>
      <c r="E668" s="13">
        <v>69872</v>
      </c>
      <c r="F668" s="14">
        <v>42</v>
      </c>
      <c r="G668" s="15">
        <v>36802</v>
      </c>
      <c r="H668" s="16">
        <v>0.15</v>
      </c>
      <c r="I668" s="13">
        <v>2</v>
      </c>
      <c r="J668" s="15">
        <v>231852.6</v>
      </c>
      <c r="K668" s="15">
        <v>1313831.3999999999</v>
      </c>
      <c r="L668" s="15">
        <v>813936.66651543835</v>
      </c>
      <c r="M668" s="15">
        <v>499894.73348456161</v>
      </c>
    </row>
    <row r="669" spans="1:13" x14ac:dyDescent="0.25">
      <c r="A669" s="12">
        <v>45594</v>
      </c>
      <c r="B669" s="12" t="s">
        <v>16</v>
      </c>
      <c r="C669" s="12" t="s">
        <v>14</v>
      </c>
      <c r="D669" s="12" t="s">
        <v>27</v>
      </c>
      <c r="E669" s="13">
        <v>17235</v>
      </c>
      <c r="F669" s="14">
        <v>44</v>
      </c>
      <c r="G669" s="15">
        <v>22728</v>
      </c>
      <c r="H669" s="16">
        <v>0.2</v>
      </c>
      <c r="I669" s="13">
        <v>5</v>
      </c>
      <c r="J669" s="15">
        <v>200006.39999999999</v>
      </c>
      <c r="K669" s="15">
        <v>800025.59999999998</v>
      </c>
      <c r="L669" s="15">
        <v>713992.25504455506</v>
      </c>
      <c r="M669" s="15">
        <v>86033.344955444918</v>
      </c>
    </row>
    <row r="670" spans="1:13" x14ac:dyDescent="0.25">
      <c r="A670" s="12">
        <v>45595</v>
      </c>
      <c r="B670" s="12" t="s">
        <v>19</v>
      </c>
      <c r="C670" s="12" t="s">
        <v>17</v>
      </c>
      <c r="D670" s="12" t="s">
        <v>26</v>
      </c>
      <c r="E670" s="13">
        <v>92733</v>
      </c>
      <c r="F670" s="14">
        <v>10</v>
      </c>
      <c r="G670" s="15">
        <v>12888</v>
      </c>
      <c r="H670" s="16">
        <v>0.2</v>
      </c>
      <c r="I670" s="13">
        <v>4</v>
      </c>
      <c r="J670" s="15">
        <v>25776</v>
      </c>
      <c r="K670" s="15">
        <v>103104</v>
      </c>
      <c r="L670" s="15">
        <v>82931.884392154418</v>
      </c>
      <c r="M670" s="15">
        <v>20172.115607845579</v>
      </c>
    </row>
    <row r="671" spans="1:13" x14ac:dyDescent="0.25">
      <c r="A671" s="12">
        <v>45596</v>
      </c>
      <c r="B671" s="12" t="s">
        <v>13</v>
      </c>
      <c r="C671" s="12" t="s">
        <v>20</v>
      </c>
      <c r="D671" s="12" t="s">
        <v>18</v>
      </c>
      <c r="E671" s="13">
        <v>72712</v>
      </c>
      <c r="F671" s="14">
        <v>43</v>
      </c>
      <c r="G671" s="15">
        <v>11819</v>
      </c>
      <c r="H671" s="16">
        <v>0</v>
      </c>
      <c r="I671" s="13">
        <v>4</v>
      </c>
      <c r="J671" s="15">
        <v>0</v>
      </c>
      <c r="K671" s="15">
        <v>508217</v>
      </c>
      <c r="L671" s="15">
        <v>368577.6816249144</v>
      </c>
      <c r="M671" s="15">
        <v>139639.3183750856</v>
      </c>
    </row>
    <row r="672" spans="1:13" x14ac:dyDescent="0.25">
      <c r="A672" s="12">
        <v>45597</v>
      </c>
      <c r="B672" s="12" t="s">
        <v>19</v>
      </c>
      <c r="C672" s="12" t="s">
        <v>14</v>
      </c>
      <c r="D672" s="12" t="s">
        <v>25</v>
      </c>
      <c r="E672" s="13">
        <v>31473</v>
      </c>
      <c r="F672" s="14">
        <v>25</v>
      </c>
      <c r="G672" s="15">
        <v>6975</v>
      </c>
      <c r="H672" s="16">
        <v>0.2</v>
      </c>
      <c r="I672" s="13">
        <v>5</v>
      </c>
      <c r="J672" s="15">
        <v>34875</v>
      </c>
      <c r="K672" s="15">
        <v>139500</v>
      </c>
      <c r="L672" s="15">
        <v>113067.4440556296</v>
      </c>
      <c r="M672" s="15">
        <v>26432.555944370401</v>
      </c>
    </row>
    <row r="673" spans="1:13" x14ac:dyDescent="0.25">
      <c r="A673" s="12">
        <v>45598</v>
      </c>
      <c r="B673" s="12" t="s">
        <v>24</v>
      </c>
      <c r="C673" s="12" t="s">
        <v>17</v>
      </c>
      <c r="D673" s="12" t="s">
        <v>26</v>
      </c>
      <c r="E673" s="13">
        <v>77567</v>
      </c>
      <c r="F673" s="14">
        <v>34</v>
      </c>
      <c r="G673" s="15">
        <v>32055</v>
      </c>
      <c r="H673" s="16">
        <v>0.1</v>
      </c>
      <c r="I673" s="13">
        <v>4</v>
      </c>
      <c r="J673" s="15">
        <v>108987</v>
      </c>
      <c r="K673" s="15">
        <v>980883</v>
      </c>
      <c r="L673" s="15">
        <v>811091.69751540537</v>
      </c>
      <c r="M673" s="15">
        <v>169791.30248459461</v>
      </c>
    </row>
    <row r="674" spans="1:13" x14ac:dyDescent="0.25">
      <c r="A674" s="12">
        <v>45599</v>
      </c>
      <c r="B674" s="12" t="s">
        <v>24</v>
      </c>
      <c r="C674" s="12" t="s">
        <v>23</v>
      </c>
      <c r="D674" s="12" t="s">
        <v>22</v>
      </c>
      <c r="E674" s="13">
        <v>89823</v>
      </c>
      <c r="F674" s="14">
        <v>37</v>
      </c>
      <c r="G674" s="15">
        <v>18658</v>
      </c>
      <c r="H674" s="16">
        <v>0</v>
      </c>
      <c r="I674" s="13">
        <v>3</v>
      </c>
      <c r="J674" s="15">
        <v>0</v>
      </c>
      <c r="K674" s="15">
        <v>690346</v>
      </c>
      <c r="L674" s="15">
        <v>575740.73597108526</v>
      </c>
      <c r="M674" s="15">
        <v>114605.26402891469</v>
      </c>
    </row>
    <row r="675" spans="1:13" x14ac:dyDescent="0.25">
      <c r="A675" s="12">
        <v>45600</v>
      </c>
      <c r="B675" s="12" t="s">
        <v>24</v>
      </c>
      <c r="C675" s="12" t="s">
        <v>14</v>
      </c>
      <c r="D675" s="12" t="s">
        <v>18</v>
      </c>
      <c r="E675" s="13">
        <v>42230</v>
      </c>
      <c r="F675" s="14">
        <v>30</v>
      </c>
      <c r="G675" s="15">
        <v>15228</v>
      </c>
      <c r="H675" s="16">
        <v>0.1</v>
      </c>
      <c r="I675" s="13">
        <v>1</v>
      </c>
      <c r="J675" s="15">
        <v>45684</v>
      </c>
      <c r="K675" s="15">
        <v>411156</v>
      </c>
      <c r="L675" s="15">
        <v>305638.23644492659</v>
      </c>
      <c r="M675" s="15">
        <v>105517.7635550734</v>
      </c>
    </row>
    <row r="676" spans="1:13" x14ac:dyDescent="0.25">
      <c r="A676" s="12">
        <v>45601</v>
      </c>
      <c r="B676" s="12" t="s">
        <v>16</v>
      </c>
      <c r="C676" s="12" t="s">
        <v>23</v>
      </c>
      <c r="D676" s="12" t="s">
        <v>15</v>
      </c>
      <c r="E676" s="13">
        <v>94573</v>
      </c>
      <c r="F676" s="14">
        <v>7</v>
      </c>
      <c r="G676" s="15">
        <v>45274</v>
      </c>
      <c r="H676" s="16">
        <v>0</v>
      </c>
      <c r="I676" s="13">
        <v>1</v>
      </c>
      <c r="J676" s="15">
        <v>0</v>
      </c>
      <c r="K676" s="15">
        <v>316918</v>
      </c>
      <c r="L676" s="15">
        <v>231022.07518182319</v>
      </c>
      <c r="M676" s="15">
        <v>85895.924818176834</v>
      </c>
    </row>
    <row r="677" spans="1:13" x14ac:dyDescent="0.25">
      <c r="A677" s="12">
        <v>45602</v>
      </c>
      <c r="B677" s="12" t="s">
        <v>19</v>
      </c>
      <c r="C677" s="12" t="s">
        <v>23</v>
      </c>
      <c r="D677" s="12" t="s">
        <v>27</v>
      </c>
      <c r="E677" s="13">
        <v>78876</v>
      </c>
      <c r="F677" s="14">
        <v>6</v>
      </c>
      <c r="G677" s="15">
        <v>30045</v>
      </c>
      <c r="H677" s="16">
        <v>0.2</v>
      </c>
      <c r="I677" s="13">
        <v>1</v>
      </c>
      <c r="J677" s="15">
        <v>36054</v>
      </c>
      <c r="K677" s="15">
        <v>144216</v>
      </c>
      <c r="L677" s="15">
        <v>87006.727860277111</v>
      </c>
      <c r="M677" s="15">
        <v>57209.272139722889</v>
      </c>
    </row>
    <row r="678" spans="1:13" x14ac:dyDescent="0.25">
      <c r="A678" s="12">
        <v>45603</v>
      </c>
      <c r="B678" s="12" t="s">
        <v>16</v>
      </c>
      <c r="C678" s="12" t="s">
        <v>21</v>
      </c>
      <c r="D678" s="12" t="s">
        <v>25</v>
      </c>
      <c r="E678" s="13">
        <v>50644</v>
      </c>
      <c r="F678" s="14">
        <v>3</v>
      </c>
      <c r="G678" s="15">
        <v>31600</v>
      </c>
      <c r="H678" s="16">
        <v>0</v>
      </c>
      <c r="I678" s="13">
        <v>3</v>
      </c>
      <c r="J678" s="15">
        <v>0</v>
      </c>
      <c r="K678" s="15">
        <v>94800</v>
      </c>
      <c r="L678" s="15">
        <v>83231.284354633885</v>
      </c>
      <c r="M678" s="15">
        <v>11568.715645366119</v>
      </c>
    </row>
    <row r="679" spans="1:13" x14ac:dyDescent="0.25">
      <c r="A679" s="12">
        <v>45604</v>
      </c>
      <c r="B679" s="12" t="s">
        <v>16</v>
      </c>
      <c r="C679" s="12" t="s">
        <v>20</v>
      </c>
      <c r="D679" s="12" t="s">
        <v>15</v>
      </c>
      <c r="E679" s="13">
        <v>58664</v>
      </c>
      <c r="F679" s="14">
        <v>13</v>
      </c>
      <c r="G679" s="15">
        <v>16650</v>
      </c>
      <c r="H679" s="16">
        <v>0.05</v>
      </c>
      <c r="I679" s="13">
        <v>4</v>
      </c>
      <c r="J679" s="15">
        <v>10822.5</v>
      </c>
      <c r="K679" s="15">
        <v>205627.5</v>
      </c>
      <c r="L679" s="15">
        <v>160593.5072290267</v>
      </c>
      <c r="M679" s="15">
        <v>45033.992770973302</v>
      </c>
    </row>
    <row r="680" spans="1:13" x14ac:dyDescent="0.25">
      <c r="A680" s="12">
        <v>45605</v>
      </c>
      <c r="B680" s="12" t="s">
        <v>24</v>
      </c>
      <c r="C680" s="12" t="s">
        <v>14</v>
      </c>
      <c r="D680" s="12" t="s">
        <v>18</v>
      </c>
      <c r="E680" s="13">
        <v>55203</v>
      </c>
      <c r="F680" s="14">
        <v>3</v>
      </c>
      <c r="G680" s="15">
        <v>33714</v>
      </c>
      <c r="H680" s="16">
        <v>0.15</v>
      </c>
      <c r="I680" s="13">
        <v>5</v>
      </c>
      <c r="J680" s="15">
        <v>15171.3</v>
      </c>
      <c r="K680" s="15">
        <v>85970.7</v>
      </c>
      <c r="L680" s="15">
        <v>56822.005856393283</v>
      </c>
      <c r="M680" s="15">
        <v>29148.694143606721</v>
      </c>
    </row>
    <row r="681" spans="1:13" x14ac:dyDescent="0.25">
      <c r="A681" s="12">
        <v>45606</v>
      </c>
      <c r="B681" s="12" t="s">
        <v>24</v>
      </c>
      <c r="C681" s="12" t="s">
        <v>23</v>
      </c>
      <c r="D681" s="12" t="s">
        <v>18</v>
      </c>
      <c r="E681" s="13">
        <v>76677</v>
      </c>
      <c r="F681" s="14">
        <v>26</v>
      </c>
      <c r="G681" s="15">
        <v>33376</v>
      </c>
      <c r="H681" s="16">
        <v>0.2</v>
      </c>
      <c r="I681" s="13">
        <v>2</v>
      </c>
      <c r="J681" s="15">
        <v>173555.20000000001</v>
      </c>
      <c r="K681" s="15">
        <v>694220.80000000005</v>
      </c>
      <c r="L681" s="15">
        <v>608054.8264540456</v>
      </c>
      <c r="M681" s="15">
        <v>86165.973545954446</v>
      </c>
    </row>
    <row r="682" spans="1:13" x14ac:dyDescent="0.25">
      <c r="A682" s="12">
        <v>45607</v>
      </c>
      <c r="B682" s="12" t="s">
        <v>16</v>
      </c>
      <c r="C682" s="12" t="s">
        <v>21</v>
      </c>
      <c r="D682" s="12" t="s">
        <v>26</v>
      </c>
      <c r="E682" s="13">
        <v>35425</v>
      </c>
      <c r="F682" s="14">
        <v>24</v>
      </c>
      <c r="G682" s="15">
        <v>3739</v>
      </c>
      <c r="H682" s="16">
        <v>0.15</v>
      </c>
      <c r="I682" s="13">
        <v>4</v>
      </c>
      <c r="J682" s="15">
        <v>13460.4</v>
      </c>
      <c r="K682" s="15">
        <v>76275.600000000006</v>
      </c>
      <c r="L682" s="15">
        <v>66701.453930001138</v>
      </c>
      <c r="M682" s="15">
        <v>9574.1460699988675</v>
      </c>
    </row>
    <row r="683" spans="1:13" x14ac:dyDescent="0.25">
      <c r="A683" s="12">
        <v>45608</v>
      </c>
      <c r="B683" s="12" t="s">
        <v>19</v>
      </c>
      <c r="C683" s="12" t="s">
        <v>17</v>
      </c>
      <c r="D683" s="12" t="s">
        <v>18</v>
      </c>
      <c r="E683" s="13">
        <v>94817</v>
      </c>
      <c r="F683" s="14">
        <v>6</v>
      </c>
      <c r="G683" s="15">
        <v>39199</v>
      </c>
      <c r="H683" s="16">
        <v>0.2</v>
      </c>
      <c r="I683" s="13">
        <v>3</v>
      </c>
      <c r="J683" s="15">
        <v>47038.8</v>
      </c>
      <c r="K683" s="15">
        <v>188155.2</v>
      </c>
      <c r="L683" s="15">
        <v>168729.1632849407</v>
      </c>
      <c r="M683" s="15">
        <v>19426.036715059308</v>
      </c>
    </row>
    <row r="684" spans="1:13" x14ac:dyDescent="0.25">
      <c r="A684" s="12">
        <v>45609</v>
      </c>
      <c r="B684" s="12" t="s">
        <v>13</v>
      </c>
      <c r="C684" s="12" t="s">
        <v>14</v>
      </c>
      <c r="D684" s="12" t="s">
        <v>25</v>
      </c>
      <c r="E684" s="13">
        <v>95961</v>
      </c>
      <c r="F684" s="14">
        <v>43</v>
      </c>
      <c r="G684" s="15">
        <v>37321</v>
      </c>
      <c r="H684" s="16">
        <v>0.15</v>
      </c>
      <c r="I684" s="13">
        <v>3</v>
      </c>
      <c r="J684" s="15">
        <v>240720.45</v>
      </c>
      <c r="K684" s="15">
        <v>1364082.55</v>
      </c>
      <c r="L684" s="15">
        <v>1176135.121647256</v>
      </c>
      <c r="M684" s="15">
        <v>187947.42835274391</v>
      </c>
    </row>
    <row r="685" spans="1:13" x14ac:dyDescent="0.25">
      <c r="A685" s="12">
        <v>45610</v>
      </c>
      <c r="B685" s="12" t="s">
        <v>16</v>
      </c>
      <c r="C685" s="12" t="s">
        <v>23</v>
      </c>
      <c r="D685" s="12" t="s">
        <v>15</v>
      </c>
      <c r="E685" s="13">
        <v>79806</v>
      </c>
      <c r="F685" s="14">
        <v>49</v>
      </c>
      <c r="G685" s="15">
        <v>31115</v>
      </c>
      <c r="H685" s="16">
        <v>0.05</v>
      </c>
      <c r="I685" s="13">
        <v>1</v>
      </c>
      <c r="J685" s="15">
        <v>76231.75</v>
      </c>
      <c r="K685" s="15">
        <v>1448403.25</v>
      </c>
      <c r="L685" s="15">
        <v>1302600.1950353531</v>
      </c>
      <c r="M685" s="15">
        <v>145803.0549646474</v>
      </c>
    </row>
    <row r="686" spans="1:13" x14ac:dyDescent="0.25">
      <c r="A686" s="12">
        <v>45611</v>
      </c>
      <c r="B686" s="12" t="s">
        <v>19</v>
      </c>
      <c r="C686" s="12" t="s">
        <v>20</v>
      </c>
      <c r="D686" s="12" t="s">
        <v>25</v>
      </c>
      <c r="E686" s="13">
        <v>52814</v>
      </c>
      <c r="F686" s="14">
        <v>42</v>
      </c>
      <c r="G686" s="15">
        <v>14246</v>
      </c>
      <c r="H686" s="16">
        <v>0.15</v>
      </c>
      <c r="I686" s="13">
        <v>4</v>
      </c>
      <c r="J686" s="15">
        <v>89749.8</v>
      </c>
      <c r="K686" s="15">
        <v>508582.2</v>
      </c>
      <c r="L686" s="15">
        <v>342482.23195960443</v>
      </c>
      <c r="M686" s="15">
        <v>166099.96804039559</v>
      </c>
    </row>
    <row r="687" spans="1:13" x14ac:dyDescent="0.25">
      <c r="A687" s="12">
        <v>45612</v>
      </c>
      <c r="B687" s="12" t="s">
        <v>24</v>
      </c>
      <c r="C687" s="12" t="s">
        <v>21</v>
      </c>
      <c r="D687" s="12" t="s">
        <v>22</v>
      </c>
      <c r="E687" s="13">
        <v>80219</v>
      </c>
      <c r="F687" s="14">
        <v>12</v>
      </c>
      <c r="G687" s="15">
        <v>21421</v>
      </c>
      <c r="H687" s="16">
        <v>0</v>
      </c>
      <c r="I687" s="13">
        <v>1</v>
      </c>
      <c r="J687" s="15">
        <v>0</v>
      </c>
      <c r="K687" s="15">
        <v>257052</v>
      </c>
      <c r="L687" s="15">
        <v>219181.78211239001</v>
      </c>
      <c r="M687" s="15">
        <v>37870.217887609957</v>
      </c>
    </row>
    <row r="688" spans="1:13" x14ac:dyDescent="0.25">
      <c r="A688" s="12">
        <v>45613</v>
      </c>
      <c r="B688" s="12" t="s">
        <v>24</v>
      </c>
      <c r="C688" s="12" t="s">
        <v>23</v>
      </c>
      <c r="D688" s="12" t="s">
        <v>22</v>
      </c>
      <c r="E688" s="13">
        <v>59646</v>
      </c>
      <c r="F688" s="14">
        <v>49</v>
      </c>
      <c r="G688" s="15">
        <v>23245</v>
      </c>
      <c r="H688" s="16">
        <v>0.15</v>
      </c>
      <c r="I688" s="13">
        <v>2</v>
      </c>
      <c r="J688" s="15">
        <v>170850.75</v>
      </c>
      <c r="K688" s="15">
        <v>968154.25</v>
      </c>
      <c r="L688" s="15">
        <v>819938.05650927953</v>
      </c>
      <c r="M688" s="15">
        <v>148216.1934907205</v>
      </c>
    </row>
    <row r="689" spans="1:13" x14ac:dyDescent="0.25">
      <c r="A689" s="12">
        <v>45614</v>
      </c>
      <c r="B689" s="12" t="s">
        <v>19</v>
      </c>
      <c r="C689" s="12" t="s">
        <v>20</v>
      </c>
      <c r="D689" s="12" t="s">
        <v>27</v>
      </c>
      <c r="E689" s="13">
        <v>49884</v>
      </c>
      <c r="F689" s="14">
        <v>36</v>
      </c>
      <c r="G689" s="15">
        <v>1745</v>
      </c>
      <c r="H689" s="16">
        <v>0.2</v>
      </c>
      <c r="I689" s="13">
        <v>1</v>
      </c>
      <c r="J689" s="15">
        <v>12564</v>
      </c>
      <c r="K689" s="15">
        <v>50256</v>
      </c>
      <c r="L689" s="15">
        <v>33635.441607899164</v>
      </c>
      <c r="M689" s="15">
        <v>16620.55839210084</v>
      </c>
    </row>
    <row r="690" spans="1:13" x14ac:dyDescent="0.25">
      <c r="A690" s="12">
        <v>45615</v>
      </c>
      <c r="B690" s="12" t="s">
        <v>13</v>
      </c>
      <c r="C690" s="12" t="s">
        <v>23</v>
      </c>
      <c r="D690" s="12" t="s">
        <v>27</v>
      </c>
      <c r="E690" s="13">
        <v>79322</v>
      </c>
      <c r="F690" s="14">
        <v>2</v>
      </c>
      <c r="G690" s="15">
        <v>47107</v>
      </c>
      <c r="H690" s="16">
        <v>0.1</v>
      </c>
      <c r="I690" s="13">
        <v>2</v>
      </c>
      <c r="J690" s="15">
        <v>9421.4</v>
      </c>
      <c r="K690" s="15">
        <v>84792.6</v>
      </c>
      <c r="L690" s="15">
        <v>53379.592715226427</v>
      </c>
      <c r="M690" s="15">
        <v>31413.007284773579</v>
      </c>
    </row>
    <row r="691" spans="1:13" x14ac:dyDescent="0.25">
      <c r="A691" s="12">
        <v>45616</v>
      </c>
      <c r="B691" s="12" t="s">
        <v>24</v>
      </c>
      <c r="C691" s="12" t="s">
        <v>14</v>
      </c>
      <c r="D691" s="12" t="s">
        <v>22</v>
      </c>
      <c r="E691" s="13">
        <v>31650</v>
      </c>
      <c r="F691" s="14">
        <v>11</v>
      </c>
      <c r="G691" s="15">
        <v>25353</v>
      </c>
      <c r="H691" s="16">
        <v>0.15</v>
      </c>
      <c r="I691" s="13">
        <v>3</v>
      </c>
      <c r="J691" s="15">
        <v>41832.449999999997</v>
      </c>
      <c r="K691" s="15">
        <v>237050.55</v>
      </c>
      <c r="L691" s="15">
        <v>211881.98143456719</v>
      </c>
      <c r="M691" s="15">
        <v>25168.568565432739</v>
      </c>
    </row>
    <row r="692" spans="1:13" x14ac:dyDescent="0.25">
      <c r="A692" s="12">
        <v>45617</v>
      </c>
      <c r="B692" s="12" t="s">
        <v>24</v>
      </c>
      <c r="C692" s="12" t="s">
        <v>14</v>
      </c>
      <c r="D692" s="12" t="s">
        <v>18</v>
      </c>
      <c r="E692" s="13">
        <v>19190</v>
      </c>
      <c r="F692" s="14">
        <v>39</v>
      </c>
      <c r="G692" s="15">
        <v>28132</v>
      </c>
      <c r="H692" s="16">
        <v>0.15</v>
      </c>
      <c r="I692" s="13">
        <v>1</v>
      </c>
      <c r="J692" s="15">
        <v>164572.20000000001</v>
      </c>
      <c r="K692" s="15">
        <v>932575.8</v>
      </c>
      <c r="L692" s="15">
        <v>642365.07988619234</v>
      </c>
      <c r="M692" s="15">
        <v>290210.72011380771</v>
      </c>
    </row>
    <row r="693" spans="1:13" x14ac:dyDescent="0.25">
      <c r="A693" s="12">
        <v>45618</v>
      </c>
      <c r="B693" s="12" t="s">
        <v>24</v>
      </c>
      <c r="C693" s="12" t="s">
        <v>14</v>
      </c>
      <c r="D693" s="12" t="s">
        <v>25</v>
      </c>
      <c r="E693" s="13">
        <v>48196</v>
      </c>
      <c r="F693" s="14">
        <v>34</v>
      </c>
      <c r="G693" s="15">
        <v>13356</v>
      </c>
      <c r="H693" s="16">
        <v>0.15</v>
      </c>
      <c r="I693" s="13">
        <v>1</v>
      </c>
      <c r="J693" s="15">
        <v>68115.599999999991</v>
      </c>
      <c r="K693" s="15">
        <v>385988.4</v>
      </c>
      <c r="L693" s="15">
        <v>332439.27863274107</v>
      </c>
      <c r="M693" s="15">
        <v>53549.121367258893</v>
      </c>
    </row>
    <row r="694" spans="1:13" x14ac:dyDescent="0.25">
      <c r="A694" s="12">
        <v>45619</v>
      </c>
      <c r="B694" s="12" t="s">
        <v>19</v>
      </c>
      <c r="C694" s="12" t="s">
        <v>21</v>
      </c>
      <c r="D694" s="12" t="s">
        <v>22</v>
      </c>
      <c r="E694" s="13">
        <v>49449</v>
      </c>
      <c r="F694" s="14">
        <v>26</v>
      </c>
      <c r="G694" s="15">
        <v>5605</v>
      </c>
      <c r="H694" s="16">
        <v>0.2</v>
      </c>
      <c r="I694" s="13">
        <v>5</v>
      </c>
      <c r="J694" s="15">
        <v>29146</v>
      </c>
      <c r="K694" s="15">
        <v>116584</v>
      </c>
      <c r="L694" s="15">
        <v>70094.748060175203</v>
      </c>
      <c r="M694" s="15">
        <v>46489.251939824797</v>
      </c>
    </row>
    <row r="695" spans="1:13" x14ac:dyDescent="0.25">
      <c r="A695" s="12">
        <v>45620</v>
      </c>
      <c r="B695" s="12" t="s">
        <v>16</v>
      </c>
      <c r="C695" s="12" t="s">
        <v>14</v>
      </c>
      <c r="D695" s="12" t="s">
        <v>27</v>
      </c>
      <c r="E695" s="13">
        <v>49661</v>
      </c>
      <c r="F695" s="14">
        <v>18</v>
      </c>
      <c r="G695" s="15">
        <v>36190</v>
      </c>
      <c r="H695" s="16">
        <v>0.15</v>
      </c>
      <c r="I695" s="13">
        <v>3</v>
      </c>
      <c r="J695" s="15">
        <v>97713</v>
      </c>
      <c r="K695" s="15">
        <v>553707</v>
      </c>
      <c r="L695" s="15">
        <v>335716.67487934319</v>
      </c>
      <c r="M695" s="15">
        <v>217990.32512065681</v>
      </c>
    </row>
    <row r="696" spans="1:13" x14ac:dyDescent="0.25">
      <c r="A696" s="12">
        <v>45621</v>
      </c>
      <c r="B696" s="12" t="s">
        <v>24</v>
      </c>
      <c r="C696" s="12" t="s">
        <v>20</v>
      </c>
      <c r="D696" s="12" t="s">
        <v>22</v>
      </c>
      <c r="E696" s="13">
        <v>39709</v>
      </c>
      <c r="F696" s="14">
        <v>21</v>
      </c>
      <c r="G696" s="15">
        <v>3013</v>
      </c>
      <c r="H696" s="16">
        <v>0.2</v>
      </c>
      <c r="I696" s="13">
        <v>5</v>
      </c>
      <c r="J696" s="15">
        <v>12654.6</v>
      </c>
      <c r="K696" s="15">
        <v>50618.400000000001</v>
      </c>
      <c r="L696" s="15">
        <v>37445.538075634868</v>
      </c>
      <c r="M696" s="15">
        <v>13172.86192436513</v>
      </c>
    </row>
    <row r="697" spans="1:13" x14ac:dyDescent="0.25">
      <c r="A697" s="12">
        <v>45622</v>
      </c>
      <c r="B697" s="12" t="s">
        <v>16</v>
      </c>
      <c r="C697" s="12" t="s">
        <v>23</v>
      </c>
      <c r="D697" s="12" t="s">
        <v>18</v>
      </c>
      <c r="E697" s="13">
        <v>90428</v>
      </c>
      <c r="F697" s="14">
        <v>36</v>
      </c>
      <c r="G697" s="15">
        <v>3301</v>
      </c>
      <c r="H697" s="16">
        <v>0.2</v>
      </c>
      <c r="I697" s="13">
        <v>2</v>
      </c>
      <c r="J697" s="15">
        <v>23767.200000000001</v>
      </c>
      <c r="K697" s="15">
        <v>95068.800000000003</v>
      </c>
      <c r="L697" s="15">
        <v>63849.575563225742</v>
      </c>
      <c r="M697" s="15">
        <v>31219.224436774271</v>
      </c>
    </row>
    <row r="698" spans="1:13" x14ac:dyDescent="0.25">
      <c r="A698" s="12">
        <v>45623</v>
      </c>
      <c r="B698" s="12" t="s">
        <v>13</v>
      </c>
      <c r="C698" s="12" t="s">
        <v>17</v>
      </c>
      <c r="D698" s="12" t="s">
        <v>22</v>
      </c>
      <c r="E698" s="13">
        <v>85179</v>
      </c>
      <c r="F698" s="14">
        <v>40</v>
      </c>
      <c r="G698" s="15">
        <v>32845</v>
      </c>
      <c r="H698" s="16">
        <v>0.1</v>
      </c>
      <c r="I698" s="13">
        <v>2</v>
      </c>
      <c r="J698" s="15">
        <v>131380</v>
      </c>
      <c r="K698" s="15">
        <v>1182420</v>
      </c>
      <c r="L698" s="15">
        <v>954156.63910810591</v>
      </c>
      <c r="M698" s="15">
        <v>228263.36089189409</v>
      </c>
    </row>
    <row r="699" spans="1:13" x14ac:dyDescent="0.25">
      <c r="A699" s="12">
        <v>45624</v>
      </c>
      <c r="B699" s="12" t="s">
        <v>24</v>
      </c>
      <c r="C699" s="12" t="s">
        <v>20</v>
      </c>
      <c r="D699" s="12" t="s">
        <v>25</v>
      </c>
      <c r="E699" s="13">
        <v>19943</v>
      </c>
      <c r="F699" s="14">
        <v>46</v>
      </c>
      <c r="G699" s="15">
        <v>14395</v>
      </c>
      <c r="H699" s="16">
        <v>0</v>
      </c>
      <c r="I699" s="13">
        <v>3</v>
      </c>
      <c r="J699" s="15">
        <v>0</v>
      </c>
      <c r="K699" s="15">
        <v>662170</v>
      </c>
      <c r="L699" s="15">
        <v>509651.9188383997</v>
      </c>
      <c r="M699" s="15">
        <v>152518.0811616003</v>
      </c>
    </row>
    <row r="700" spans="1:13" x14ac:dyDescent="0.25">
      <c r="A700" s="12">
        <v>45625</v>
      </c>
      <c r="B700" s="12" t="s">
        <v>24</v>
      </c>
      <c r="C700" s="12" t="s">
        <v>20</v>
      </c>
      <c r="D700" s="12" t="s">
        <v>15</v>
      </c>
      <c r="E700" s="13">
        <v>53240</v>
      </c>
      <c r="F700" s="14">
        <v>44</v>
      </c>
      <c r="G700" s="15">
        <v>40249</v>
      </c>
      <c r="H700" s="16">
        <v>0.2</v>
      </c>
      <c r="I700" s="13">
        <v>2</v>
      </c>
      <c r="J700" s="15">
        <v>354191.2</v>
      </c>
      <c r="K700" s="15">
        <v>1416764.8</v>
      </c>
      <c r="L700" s="15">
        <v>882992.62509833579</v>
      </c>
      <c r="M700" s="15">
        <v>533772.17490166426</v>
      </c>
    </row>
    <row r="701" spans="1:13" x14ac:dyDescent="0.25">
      <c r="A701" s="12">
        <v>45626</v>
      </c>
      <c r="B701" s="12" t="s">
        <v>13</v>
      </c>
      <c r="C701" s="12" t="s">
        <v>14</v>
      </c>
      <c r="D701" s="12" t="s">
        <v>18</v>
      </c>
      <c r="E701" s="13">
        <v>55760</v>
      </c>
      <c r="F701" s="14">
        <v>22</v>
      </c>
      <c r="G701" s="15">
        <v>8721</v>
      </c>
      <c r="H701" s="16">
        <v>0.05</v>
      </c>
      <c r="I701" s="13">
        <v>3</v>
      </c>
      <c r="J701" s="15">
        <v>9593.1</v>
      </c>
      <c r="K701" s="15">
        <v>182268.9</v>
      </c>
      <c r="L701" s="15">
        <v>118253.96420350191</v>
      </c>
      <c r="M701" s="15">
        <v>64014.935796498059</v>
      </c>
    </row>
    <row r="702" spans="1:13" x14ac:dyDescent="0.25">
      <c r="A702" s="12">
        <v>45627</v>
      </c>
      <c r="B702" s="12" t="s">
        <v>24</v>
      </c>
      <c r="C702" s="12" t="s">
        <v>21</v>
      </c>
      <c r="D702" s="12" t="s">
        <v>27</v>
      </c>
      <c r="E702" s="13">
        <v>31042</v>
      </c>
      <c r="F702" s="14">
        <v>30</v>
      </c>
      <c r="G702" s="15">
        <v>6538</v>
      </c>
      <c r="H702" s="16">
        <v>0.15</v>
      </c>
      <c r="I702" s="13">
        <v>2</v>
      </c>
      <c r="J702" s="15">
        <v>29421</v>
      </c>
      <c r="K702" s="15">
        <v>166719</v>
      </c>
      <c r="L702" s="15">
        <v>119439.9558764606</v>
      </c>
      <c r="M702" s="15">
        <v>47279.044123539366</v>
      </c>
    </row>
    <row r="703" spans="1:13" x14ac:dyDescent="0.25">
      <c r="A703" s="12">
        <v>45628</v>
      </c>
      <c r="B703" s="12" t="s">
        <v>16</v>
      </c>
      <c r="C703" s="12" t="s">
        <v>23</v>
      </c>
      <c r="D703" s="12" t="s">
        <v>25</v>
      </c>
      <c r="E703" s="13">
        <v>53894</v>
      </c>
      <c r="F703" s="14">
        <v>43</v>
      </c>
      <c r="G703" s="15">
        <v>32531</v>
      </c>
      <c r="H703" s="16">
        <v>0.05</v>
      </c>
      <c r="I703" s="13">
        <v>4</v>
      </c>
      <c r="J703" s="15">
        <v>69941.650000000009</v>
      </c>
      <c r="K703" s="15">
        <v>1328891.3500000001</v>
      </c>
      <c r="L703" s="15">
        <v>871329.10053456656</v>
      </c>
      <c r="M703" s="15">
        <v>457562.24946543347</v>
      </c>
    </row>
    <row r="704" spans="1:13" x14ac:dyDescent="0.25">
      <c r="A704" s="12">
        <v>45629</v>
      </c>
      <c r="B704" s="12" t="s">
        <v>19</v>
      </c>
      <c r="C704" s="12" t="s">
        <v>21</v>
      </c>
      <c r="D704" s="12" t="s">
        <v>22</v>
      </c>
      <c r="E704" s="13">
        <v>16869</v>
      </c>
      <c r="F704" s="14">
        <v>30</v>
      </c>
      <c r="G704" s="15">
        <v>15582</v>
      </c>
      <c r="H704" s="16">
        <v>0.15</v>
      </c>
      <c r="I704" s="13">
        <v>1</v>
      </c>
      <c r="J704" s="15">
        <v>70119</v>
      </c>
      <c r="K704" s="15">
        <v>397341</v>
      </c>
      <c r="L704" s="15">
        <v>332839.32590287487</v>
      </c>
      <c r="M704" s="15">
        <v>64501.674097125069</v>
      </c>
    </row>
    <row r="705" spans="1:13" x14ac:dyDescent="0.25">
      <c r="A705" s="12">
        <v>45630</v>
      </c>
      <c r="B705" s="12" t="s">
        <v>16</v>
      </c>
      <c r="C705" s="12" t="s">
        <v>23</v>
      </c>
      <c r="D705" s="12" t="s">
        <v>22</v>
      </c>
      <c r="E705" s="13">
        <v>71078</v>
      </c>
      <c r="F705" s="14">
        <v>8</v>
      </c>
      <c r="G705" s="15">
        <v>15148</v>
      </c>
      <c r="H705" s="16">
        <v>0.1</v>
      </c>
      <c r="I705" s="13">
        <v>4</v>
      </c>
      <c r="J705" s="15">
        <v>12118.4</v>
      </c>
      <c r="K705" s="15">
        <v>109065.60000000001</v>
      </c>
      <c r="L705" s="15">
        <v>79053.044964827946</v>
      </c>
      <c r="M705" s="15">
        <v>30012.555035172059</v>
      </c>
    </row>
    <row r="706" spans="1:13" x14ac:dyDescent="0.25">
      <c r="A706" s="12">
        <v>45631</v>
      </c>
      <c r="B706" s="12" t="s">
        <v>19</v>
      </c>
      <c r="C706" s="12" t="s">
        <v>23</v>
      </c>
      <c r="D706" s="12" t="s">
        <v>15</v>
      </c>
      <c r="E706" s="13">
        <v>66759</v>
      </c>
      <c r="F706" s="14">
        <v>34</v>
      </c>
      <c r="G706" s="15">
        <v>864</v>
      </c>
      <c r="H706" s="16">
        <v>0.2</v>
      </c>
      <c r="I706" s="13">
        <v>3</v>
      </c>
      <c r="J706" s="15">
        <v>5875.2000000000007</v>
      </c>
      <c r="K706" s="15">
        <v>23500.799999999999</v>
      </c>
      <c r="L706" s="15">
        <v>14759.197084887661</v>
      </c>
      <c r="M706" s="15">
        <v>8741.6029151123366</v>
      </c>
    </row>
    <row r="707" spans="1:13" x14ac:dyDescent="0.25">
      <c r="A707" s="12">
        <v>45632</v>
      </c>
      <c r="B707" s="12" t="s">
        <v>19</v>
      </c>
      <c r="C707" s="12" t="s">
        <v>21</v>
      </c>
      <c r="D707" s="12" t="s">
        <v>27</v>
      </c>
      <c r="E707" s="13">
        <v>54306</v>
      </c>
      <c r="F707" s="14">
        <v>47</v>
      </c>
      <c r="G707" s="15">
        <v>35068</v>
      </c>
      <c r="H707" s="16">
        <v>0</v>
      </c>
      <c r="I707" s="13">
        <v>3</v>
      </c>
      <c r="J707" s="15">
        <v>0</v>
      </c>
      <c r="K707" s="15">
        <v>1648196</v>
      </c>
      <c r="L707" s="15">
        <v>1228405.2102459921</v>
      </c>
      <c r="M707" s="15">
        <v>419790.78975400788</v>
      </c>
    </row>
    <row r="708" spans="1:13" x14ac:dyDescent="0.25">
      <c r="A708" s="12">
        <v>45633</v>
      </c>
      <c r="B708" s="12" t="s">
        <v>16</v>
      </c>
      <c r="C708" s="12" t="s">
        <v>20</v>
      </c>
      <c r="D708" s="12" t="s">
        <v>27</v>
      </c>
      <c r="E708" s="13">
        <v>65371</v>
      </c>
      <c r="F708" s="14">
        <v>9</v>
      </c>
      <c r="G708" s="15">
        <v>14610</v>
      </c>
      <c r="H708" s="16">
        <v>0.2</v>
      </c>
      <c r="I708" s="13">
        <v>4</v>
      </c>
      <c r="J708" s="15">
        <v>26298</v>
      </c>
      <c r="K708" s="15">
        <v>105192</v>
      </c>
      <c r="L708" s="15">
        <v>65981.834982663684</v>
      </c>
      <c r="M708" s="15">
        <v>39210.165017336323</v>
      </c>
    </row>
    <row r="709" spans="1:13" x14ac:dyDescent="0.25">
      <c r="A709" s="12">
        <v>45634</v>
      </c>
      <c r="B709" s="12" t="s">
        <v>16</v>
      </c>
      <c r="C709" s="12" t="s">
        <v>23</v>
      </c>
      <c r="D709" s="12" t="s">
        <v>26</v>
      </c>
      <c r="E709" s="13">
        <v>30918</v>
      </c>
      <c r="F709" s="14">
        <v>20</v>
      </c>
      <c r="G709" s="15">
        <v>6458</v>
      </c>
      <c r="H709" s="16">
        <v>0.15</v>
      </c>
      <c r="I709" s="13">
        <v>1</v>
      </c>
      <c r="J709" s="15">
        <v>19374</v>
      </c>
      <c r="K709" s="15">
        <v>109786</v>
      </c>
      <c r="L709" s="15">
        <v>70118.25330384601</v>
      </c>
      <c r="M709" s="15">
        <v>39667.74669615399</v>
      </c>
    </row>
    <row r="710" spans="1:13" x14ac:dyDescent="0.25">
      <c r="A710" s="12">
        <v>45635</v>
      </c>
      <c r="B710" s="12" t="s">
        <v>16</v>
      </c>
      <c r="C710" s="12" t="s">
        <v>21</v>
      </c>
      <c r="D710" s="12" t="s">
        <v>27</v>
      </c>
      <c r="E710" s="13">
        <v>38379</v>
      </c>
      <c r="F710" s="14">
        <v>40</v>
      </c>
      <c r="G710" s="15">
        <v>9596</v>
      </c>
      <c r="H710" s="16">
        <v>0</v>
      </c>
      <c r="I710" s="13">
        <v>1</v>
      </c>
      <c r="J710" s="15">
        <v>0</v>
      </c>
      <c r="K710" s="15">
        <v>383840</v>
      </c>
      <c r="L710" s="15">
        <v>257895.5513777119</v>
      </c>
      <c r="M710" s="15">
        <v>125944.4486222881</v>
      </c>
    </row>
    <row r="711" spans="1:13" x14ac:dyDescent="0.25">
      <c r="A711" s="12">
        <v>45636</v>
      </c>
      <c r="B711" s="12" t="s">
        <v>16</v>
      </c>
      <c r="C711" s="12" t="s">
        <v>23</v>
      </c>
      <c r="D711" s="12" t="s">
        <v>15</v>
      </c>
      <c r="E711" s="13">
        <v>93232</v>
      </c>
      <c r="F711" s="14">
        <v>25</v>
      </c>
      <c r="G711" s="15">
        <v>7936</v>
      </c>
      <c r="H711" s="16">
        <v>0.2</v>
      </c>
      <c r="I711" s="13">
        <v>5</v>
      </c>
      <c r="J711" s="15">
        <v>39680</v>
      </c>
      <c r="K711" s="15">
        <v>158720</v>
      </c>
      <c r="L711" s="15">
        <v>136159.27121306449</v>
      </c>
      <c r="M711" s="15">
        <v>22560.728786935539</v>
      </c>
    </row>
    <row r="712" spans="1:13" x14ac:dyDescent="0.25">
      <c r="A712" s="12">
        <v>45637</v>
      </c>
      <c r="B712" s="12" t="s">
        <v>13</v>
      </c>
      <c r="C712" s="12" t="s">
        <v>17</v>
      </c>
      <c r="D712" s="12" t="s">
        <v>26</v>
      </c>
      <c r="E712" s="13">
        <v>12962</v>
      </c>
      <c r="F712" s="14">
        <v>19</v>
      </c>
      <c r="G712" s="15">
        <v>21677</v>
      </c>
      <c r="H712" s="16">
        <v>0</v>
      </c>
      <c r="I712" s="13">
        <v>2</v>
      </c>
      <c r="J712" s="15">
        <v>0</v>
      </c>
      <c r="K712" s="15">
        <v>411863</v>
      </c>
      <c r="L712" s="15">
        <v>361361.90742127638</v>
      </c>
      <c r="M712" s="15">
        <v>50501.092578723561</v>
      </c>
    </row>
    <row r="713" spans="1:13" x14ac:dyDescent="0.25">
      <c r="A713" s="12">
        <v>45638</v>
      </c>
      <c r="B713" s="12" t="s">
        <v>24</v>
      </c>
      <c r="C713" s="12" t="s">
        <v>20</v>
      </c>
      <c r="D713" s="12" t="s">
        <v>26</v>
      </c>
      <c r="E713" s="13">
        <v>23851</v>
      </c>
      <c r="F713" s="14">
        <v>5</v>
      </c>
      <c r="G713" s="15">
        <v>27254</v>
      </c>
      <c r="H713" s="16">
        <v>0.15</v>
      </c>
      <c r="I713" s="13">
        <v>5</v>
      </c>
      <c r="J713" s="15">
        <v>20440.5</v>
      </c>
      <c r="K713" s="15">
        <v>115829.5</v>
      </c>
      <c r="L713" s="15">
        <v>98209.205897900669</v>
      </c>
      <c r="M713" s="15">
        <v>17620.294102099331</v>
      </c>
    </row>
    <row r="714" spans="1:13" x14ac:dyDescent="0.25">
      <c r="A714" s="12">
        <v>45639</v>
      </c>
      <c r="B714" s="12" t="s">
        <v>19</v>
      </c>
      <c r="C714" s="12" t="s">
        <v>14</v>
      </c>
      <c r="D714" s="12" t="s">
        <v>22</v>
      </c>
      <c r="E714" s="13">
        <v>55747</v>
      </c>
      <c r="F714" s="14">
        <v>11</v>
      </c>
      <c r="G714" s="15">
        <v>25044</v>
      </c>
      <c r="H714" s="16">
        <v>0.1</v>
      </c>
      <c r="I714" s="13">
        <v>1</v>
      </c>
      <c r="J714" s="15">
        <v>27548.400000000001</v>
      </c>
      <c r="K714" s="15">
        <v>247935.6</v>
      </c>
      <c r="L714" s="15">
        <v>173610.25060404729</v>
      </c>
      <c r="M714" s="15">
        <v>74325.349395952682</v>
      </c>
    </row>
    <row r="715" spans="1:13" x14ac:dyDescent="0.25">
      <c r="A715" s="12">
        <v>45640</v>
      </c>
      <c r="B715" s="12" t="s">
        <v>16</v>
      </c>
      <c r="C715" s="12" t="s">
        <v>23</v>
      </c>
      <c r="D715" s="12" t="s">
        <v>22</v>
      </c>
      <c r="E715" s="13">
        <v>62349</v>
      </c>
      <c r="F715" s="14">
        <v>15</v>
      </c>
      <c r="G715" s="15">
        <v>13138</v>
      </c>
      <c r="H715" s="16">
        <v>0.1</v>
      </c>
      <c r="I715" s="13">
        <v>4</v>
      </c>
      <c r="J715" s="15">
        <v>19707</v>
      </c>
      <c r="K715" s="15">
        <v>177363</v>
      </c>
      <c r="L715" s="15">
        <v>120914.37544031571</v>
      </c>
      <c r="M715" s="15">
        <v>56448.624559684293</v>
      </c>
    </row>
    <row r="716" spans="1:13" x14ac:dyDescent="0.25">
      <c r="A716" s="12">
        <v>45641</v>
      </c>
      <c r="B716" s="12" t="s">
        <v>16</v>
      </c>
      <c r="C716" s="12" t="s">
        <v>17</v>
      </c>
      <c r="D716" s="12" t="s">
        <v>27</v>
      </c>
      <c r="E716" s="13">
        <v>80832</v>
      </c>
      <c r="F716" s="14">
        <v>8</v>
      </c>
      <c r="G716" s="15">
        <v>679</v>
      </c>
      <c r="H716" s="16">
        <v>0.2</v>
      </c>
      <c r="I716" s="13">
        <v>2</v>
      </c>
      <c r="J716" s="15">
        <v>1086.4000000000001</v>
      </c>
      <c r="K716" s="15">
        <v>4345.6000000000004</v>
      </c>
      <c r="L716" s="15">
        <v>3323.2832909694189</v>
      </c>
      <c r="M716" s="15">
        <v>1022.316709030581</v>
      </c>
    </row>
    <row r="717" spans="1:13" x14ac:dyDescent="0.25">
      <c r="A717" s="12">
        <v>45642</v>
      </c>
      <c r="B717" s="12" t="s">
        <v>16</v>
      </c>
      <c r="C717" s="12" t="s">
        <v>14</v>
      </c>
      <c r="D717" s="12" t="s">
        <v>26</v>
      </c>
      <c r="E717" s="13">
        <v>66356</v>
      </c>
      <c r="F717" s="14">
        <v>19</v>
      </c>
      <c r="G717" s="15">
        <v>4373</v>
      </c>
      <c r="H717" s="16">
        <v>0.05</v>
      </c>
      <c r="I717" s="13">
        <v>4</v>
      </c>
      <c r="J717" s="15">
        <v>4154.3500000000004</v>
      </c>
      <c r="K717" s="15">
        <v>78932.649999999994</v>
      </c>
      <c r="L717" s="15">
        <v>64452.924861526189</v>
      </c>
      <c r="M717" s="15">
        <v>14479.725138473799</v>
      </c>
    </row>
    <row r="718" spans="1:13" x14ac:dyDescent="0.25">
      <c r="A718" s="12">
        <v>45643</v>
      </c>
      <c r="B718" s="12" t="s">
        <v>13</v>
      </c>
      <c r="C718" s="12" t="s">
        <v>14</v>
      </c>
      <c r="D718" s="12" t="s">
        <v>22</v>
      </c>
      <c r="E718" s="13">
        <v>24745</v>
      </c>
      <c r="F718" s="14">
        <v>23</v>
      </c>
      <c r="G718" s="15">
        <v>18070</v>
      </c>
      <c r="H718" s="16">
        <v>0.15</v>
      </c>
      <c r="I718" s="13">
        <v>5</v>
      </c>
      <c r="J718" s="15">
        <v>62341.5</v>
      </c>
      <c r="K718" s="15">
        <v>353268.5</v>
      </c>
      <c r="L718" s="15">
        <v>317239.29444424878</v>
      </c>
      <c r="M718" s="15">
        <v>36029.205555751163</v>
      </c>
    </row>
    <row r="719" spans="1:13" x14ac:dyDescent="0.25">
      <c r="A719" s="12">
        <v>45644</v>
      </c>
      <c r="B719" s="12" t="s">
        <v>16</v>
      </c>
      <c r="C719" s="12" t="s">
        <v>23</v>
      </c>
      <c r="D719" s="12" t="s">
        <v>15</v>
      </c>
      <c r="E719" s="13">
        <v>15730</v>
      </c>
      <c r="F719" s="14">
        <v>27</v>
      </c>
      <c r="G719" s="15">
        <v>48723</v>
      </c>
      <c r="H719" s="16">
        <v>0.2</v>
      </c>
      <c r="I719" s="13">
        <v>3</v>
      </c>
      <c r="J719" s="15">
        <v>263104.2</v>
      </c>
      <c r="K719" s="15">
        <v>1052416.8</v>
      </c>
      <c r="L719" s="15">
        <v>672990.24827080243</v>
      </c>
      <c r="M719" s="15">
        <v>379426.55172919761</v>
      </c>
    </row>
    <row r="720" spans="1:13" x14ac:dyDescent="0.25">
      <c r="A720" s="12">
        <v>45645</v>
      </c>
      <c r="B720" s="12" t="s">
        <v>16</v>
      </c>
      <c r="C720" s="12" t="s">
        <v>21</v>
      </c>
      <c r="D720" s="12" t="s">
        <v>22</v>
      </c>
      <c r="E720" s="13">
        <v>23921</v>
      </c>
      <c r="F720" s="14">
        <v>40</v>
      </c>
      <c r="G720" s="15">
        <v>17657</v>
      </c>
      <c r="H720" s="16">
        <v>0.2</v>
      </c>
      <c r="I720" s="13">
        <v>4</v>
      </c>
      <c r="J720" s="15">
        <v>141256</v>
      </c>
      <c r="K720" s="15">
        <v>565024</v>
      </c>
      <c r="L720" s="15">
        <v>347369.74873692793</v>
      </c>
      <c r="M720" s="15">
        <v>217654.2512630721</v>
      </c>
    </row>
    <row r="721" spans="1:13" x14ac:dyDescent="0.25">
      <c r="A721" s="12">
        <v>45646</v>
      </c>
      <c r="B721" s="12" t="s">
        <v>16</v>
      </c>
      <c r="C721" s="12" t="s">
        <v>23</v>
      </c>
      <c r="D721" s="12" t="s">
        <v>18</v>
      </c>
      <c r="E721" s="13">
        <v>81138</v>
      </c>
      <c r="F721" s="14">
        <v>32</v>
      </c>
      <c r="G721" s="15">
        <v>46065</v>
      </c>
      <c r="H721" s="16">
        <v>0.1</v>
      </c>
      <c r="I721" s="13">
        <v>5</v>
      </c>
      <c r="J721" s="15">
        <v>147408</v>
      </c>
      <c r="K721" s="15">
        <v>1326672</v>
      </c>
      <c r="L721" s="15">
        <v>1072357.95478954</v>
      </c>
      <c r="M721" s="15">
        <v>254314.04521045971</v>
      </c>
    </row>
    <row r="722" spans="1:13" x14ac:dyDescent="0.25">
      <c r="A722" s="12">
        <v>45647</v>
      </c>
      <c r="B722" s="12" t="s">
        <v>24</v>
      </c>
      <c r="C722" s="12" t="s">
        <v>17</v>
      </c>
      <c r="D722" s="12" t="s">
        <v>18</v>
      </c>
      <c r="E722" s="13">
        <v>93111</v>
      </c>
      <c r="F722" s="14">
        <v>26</v>
      </c>
      <c r="G722" s="15">
        <v>4960</v>
      </c>
      <c r="H722" s="16">
        <v>0</v>
      </c>
      <c r="I722" s="13">
        <v>5</v>
      </c>
      <c r="J722" s="15">
        <v>0</v>
      </c>
      <c r="K722" s="15">
        <v>128960</v>
      </c>
      <c r="L722" s="15">
        <v>109573.15111219911</v>
      </c>
      <c r="M722" s="15">
        <v>19386.848887800908</v>
      </c>
    </row>
    <row r="723" spans="1:13" x14ac:dyDescent="0.25">
      <c r="A723" s="12">
        <v>45648</v>
      </c>
      <c r="B723" s="12" t="s">
        <v>13</v>
      </c>
      <c r="C723" s="12" t="s">
        <v>14</v>
      </c>
      <c r="D723" s="12" t="s">
        <v>22</v>
      </c>
      <c r="E723" s="13">
        <v>29023</v>
      </c>
      <c r="F723" s="14">
        <v>27</v>
      </c>
      <c r="G723" s="15">
        <v>48584</v>
      </c>
      <c r="H723" s="16">
        <v>0.15</v>
      </c>
      <c r="I723" s="13">
        <v>5</v>
      </c>
      <c r="J723" s="15">
        <v>196765.2</v>
      </c>
      <c r="K723" s="15">
        <v>1115002.8</v>
      </c>
      <c r="L723" s="15">
        <v>952106.05779829377</v>
      </c>
      <c r="M723" s="15">
        <v>162896.74220170631</v>
      </c>
    </row>
    <row r="724" spans="1:13" x14ac:dyDescent="0.25">
      <c r="A724" s="12">
        <v>45649</v>
      </c>
      <c r="B724" s="12" t="s">
        <v>16</v>
      </c>
      <c r="C724" s="12" t="s">
        <v>23</v>
      </c>
      <c r="D724" s="12" t="s">
        <v>26</v>
      </c>
      <c r="E724" s="13">
        <v>55349</v>
      </c>
      <c r="F724" s="14">
        <v>19</v>
      </c>
      <c r="G724" s="15">
        <v>852</v>
      </c>
      <c r="H724" s="16">
        <v>0</v>
      </c>
      <c r="I724" s="13">
        <v>3</v>
      </c>
      <c r="J724" s="15">
        <v>0</v>
      </c>
      <c r="K724" s="15">
        <v>16188</v>
      </c>
      <c r="L724" s="15">
        <v>13007.69037973832</v>
      </c>
      <c r="M724" s="15">
        <v>3180.309620261678</v>
      </c>
    </row>
    <row r="725" spans="1:13" x14ac:dyDescent="0.25">
      <c r="A725" s="12">
        <v>45650</v>
      </c>
      <c r="B725" s="12" t="s">
        <v>19</v>
      </c>
      <c r="C725" s="12" t="s">
        <v>21</v>
      </c>
      <c r="D725" s="12" t="s">
        <v>26</v>
      </c>
      <c r="E725" s="13">
        <v>91533</v>
      </c>
      <c r="F725" s="14">
        <v>42</v>
      </c>
      <c r="G725" s="15">
        <v>22086</v>
      </c>
      <c r="H725" s="16">
        <v>0.15</v>
      </c>
      <c r="I725" s="13">
        <v>3</v>
      </c>
      <c r="J725" s="15">
        <v>139141.79999999999</v>
      </c>
      <c r="K725" s="15">
        <v>788470.2</v>
      </c>
      <c r="L725" s="15">
        <v>698746.02956310485</v>
      </c>
      <c r="M725" s="15">
        <v>89724.170436895103</v>
      </c>
    </row>
    <row r="726" spans="1:13" x14ac:dyDescent="0.25">
      <c r="A726" s="12">
        <v>45651</v>
      </c>
      <c r="B726" s="12" t="s">
        <v>19</v>
      </c>
      <c r="C726" s="12" t="s">
        <v>23</v>
      </c>
      <c r="D726" s="12" t="s">
        <v>25</v>
      </c>
      <c r="E726" s="13">
        <v>93286</v>
      </c>
      <c r="F726" s="14">
        <v>29</v>
      </c>
      <c r="G726" s="15">
        <v>5844</v>
      </c>
      <c r="H726" s="16">
        <v>0.05</v>
      </c>
      <c r="I726" s="13">
        <v>3</v>
      </c>
      <c r="J726" s="15">
        <v>8473.8000000000011</v>
      </c>
      <c r="K726" s="15">
        <v>161002.20000000001</v>
      </c>
      <c r="L726" s="15">
        <v>121283.1873423475</v>
      </c>
      <c r="M726" s="15">
        <v>39719.012657652522</v>
      </c>
    </row>
    <row r="727" spans="1:13" x14ac:dyDescent="0.25">
      <c r="A727" s="12">
        <v>45652</v>
      </c>
      <c r="B727" s="12" t="s">
        <v>19</v>
      </c>
      <c r="C727" s="12" t="s">
        <v>20</v>
      </c>
      <c r="D727" s="12" t="s">
        <v>18</v>
      </c>
      <c r="E727" s="13">
        <v>51979</v>
      </c>
      <c r="F727" s="14">
        <v>39</v>
      </c>
      <c r="G727" s="15">
        <v>5007</v>
      </c>
      <c r="H727" s="16">
        <v>0.1</v>
      </c>
      <c r="I727" s="13">
        <v>2</v>
      </c>
      <c r="J727" s="15">
        <v>19527.3</v>
      </c>
      <c r="K727" s="15">
        <v>175745.7</v>
      </c>
      <c r="L727" s="15">
        <v>153627.12642118699</v>
      </c>
      <c r="M727" s="15">
        <v>22118.573578813059</v>
      </c>
    </row>
    <row r="728" spans="1:13" x14ac:dyDescent="0.25">
      <c r="A728" s="12">
        <v>45653</v>
      </c>
      <c r="B728" s="12" t="s">
        <v>13</v>
      </c>
      <c r="C728" s="12" t="s">
        <v>21</v>
      </c>
      <c r="D728" s="12" t="s">
        <v>15</v>
      </c>
      <c r="E728" s="13">
        <v>32837</v>
      </c>
      <c r="F728" s="14">
        <v>41</v>
      </c>
      <c r="G728" s="15">
        <v>38098</v>
      </c>
      <c r="H728" s="16">
        <v>0.05</v>
      </c>
      <c r="I728" s="13">
        <v>3</v>
      </c>
      <c r="J728" s="15">
        <v>78100.900000000009</v>
      </c>
      <c r="K728" s="15">
        <v>1483917.1</v>
      </c>
      <c r="L728" s="15">
        <v>1321196.1539007791</v>
      </c>
      <c r="M728" s="15">
        <v>162720.9460992208</v>
      </c>
    </row>
    <row r="729" spans="1:13" x14ac:dyDescent="0.25">
      <c r="A729" s="12">
        <v>45654</v>
      </c>
      <c r="B729" s="12" t="s">
        <v>13</v>
      </c>
      <c r="C729" s="12" t="s">
        <v>17</v>
      </c>
      <c r="D729" s="12" t="s">
        <v>26</v>
      </c>
      <c r="E729" s="13">
        <v>24997</v>
      </c>
      <c r="F729" s="14">
        <v>33</v>
      </c>
      <c r="G729" s="15">
        <v>44488</v>
      </c>
      <c r="H729" s="16">
        <v>0.2</v>
      </c>
      <c r="I729" s="13">
        <v>3</v>
      </c>
      <c r="J729" s="15">
        <v>293620.8</v>
      </c>
      <c r="K729" s="15">
        <v>1174483.2</v>
      </c>
      <c r="L729" s="15">
        <v>1003181.580301462</v>
      </c>
      <c r="M729" s="15">
        <v>171301.6196985383</v>
      </c>
    </row>
    <row r="730" spans="1:13" x14ac:dyDescent="0.25">
      <c r="A730" s="12">
        <v>45655</v>
      </c>
      <c r="B730" s="12" t="s">
        <v>19</v>
      </c>
      <c r="C730" s="12" t="s">
        <v>14</v>
      </c>
      <c r="D730" s="12" t="s">
        <v>27</v>
      </c>
      <c r="E730" s="13">
        <v>98603</v>
      </c>
      <c r="F730" s="14">
        <v>19</v>
      </c>
      <c r="G730" s="15">
        <v>33385</v>
      </c>
      <c r="H730" s="16">
        <v>0.1</v>
      </c>
      <c r="I730" s="13">
        <v>3</v>
      </c>
      <c r="J730" s="15">
        <v>63431.5</v>
      </c>
      <c r="K730" s="15">
        <v>570883.5</v>
      </c>
      <c r="L730" s="15">
        <v>395580.91582441592</v>
      </c>
      <c r="M730" s="15">
        <v>175302.58417558411</v>
      </c>
    </row>
    <row r="731" spans="1:13" x14ac:dyDescent="0.25">
      <c r="A731" s="12">
        <v>45656</v>
      </c>
      <c r="B731" s="12" t="s">
        <v>16</v>
      </c>
      <c r="C731" s="12" t="s">
        <v>23</v>
      </c>
      <c r="D731" s="12" t="s">
        <v>18</v>
      </c>
      <c r="E731" s="13">
        <v>55039</v>
      </c>
      <c r="F731" s="14">
        <v>37</v>
      </c>
      <c r="G731" s="15">
        <v>17365</v>
      </c>
      <c r="H731" s="16">
        <v>0.2</v>
      </c>
      <c r="I731" s="13">
        <v>4</v>
      </c>
      <c r="J731" s="15">
        <v>128501</v>
      </c>
      <c r="K731" s="15">
        <v>514004</v>
      </c>
      <c r="L731" s="15">
        <v>338659.08886924089</v>
      </c>
      <c r="M731" s="15">
        <v>175344.91113075911</v>
      </c>
    </row>
    <row r="732" spans="1:13" x14ac:dyDescent="0.25">
      <c r="A732" s="12">
        <v>45657</v>
      </c>
      <c r="B732" s="12" t="s">
        <v>13</v>
      </c>
      <c r="C732" s="12" t="s">
        <v>21</v>
      </c>
      <c r="D732" s="12" t="s">
        <v>15</v>
      </c>
      <c r="E732" s="13">
        <v>30923</v>
      </c>
      <c r="F732" s="14">
        <v>19</v>
      </c>
      <c r="G732" s="15">
        <v>37555</v>
      </c>
      <c r="H732" s="16">
        <v>0.05</v>
      </c>
      <c r="I732" s="13">
        <v>3</v>
      </c>
      <c r="J732" s="15">
        <v>35677.25</v>
      </c>
      <c r="K732" s="15">
        <v>677867.75</v>
      </c>
      <c r="L732" s="15">
        <v>518186.52455372369</v>
      </c>
      <c r="M732" s="15">
        <v>159681.22544627631</v>
      </c>
    </row>
    <row r="733" spans="1:13" x14ac:dyDescent="0.25">
      <c r="A733" s="12">
        <v>45658</v>
      </c>
      <c r="B733" s="12" t="s">
        <v>19</v>
      </c>
      <c r="C733" s="12" t="s">
        <v>20</v>
      </c>
      <c r="D733" s="12" t="s">
        <v>15</v>
      </c>
      <c r="E733" s="13">
        <v>18876</v>
      </c>
      <c r="F733" s="14">
        <v>33</v>
      </c>
      <c r="G733" s="15">
        <v>27713</v>
      </c>
      <c r="H733" s="16">
        <v>0.15</v>
      </c>
      <c r="I733" s="13">
        <v>2</v>
      </c>
      <c r="J733" s="15">
        <v>137179.35</v>
      </c>
      <c r="K733" s="15">
        <v>777349.65</v>
      </c>
      <c r="L733" s="15">
        <v>572055.04729586304</v>
      </c>
      <c r="M733" s="15">
        <v>205294.60270413701</v>
      </c>
    </row>
    <row r="734" spans="1:13" x14ac:dyDescent="0.25">
      <c r="A734" s="12">
        <v>45659</v>
      </c>
      <c r="B734" s="12" t="s">
        <v>19</v>
      </c>
      <c r="C734" s="12" t="s">
        <v>21</v>
      </c>
      <c r="D734" s="12" t="s">
        <v>26</v>
      </c>
      <c r="E734" s="13">
        <v>70973</v>
      </c>
      <c r="F734" s="14">
        <v>47</v>
      </c>
      <c r="G734" s="15">
        <v>4977</v>
      </c>
      <c r="H734" s="16">
        <v>0.2</v>
      </c>
      <c r="I734" s="13">
        <v>5</v>
      </c>
      <c r="J734" s="15">
        <v>46783.8</v>
      </c>
      <c r="K734" s="15">
        <v>187135.2</v>
      </c>
      <c r="L734" s="15">
        <v>161558.96487537169</v>
      </c>
      <c r="M734" s="15">
        <v>25576.235124628322</v>
      </c>
    </row>
    <row r="735" spans="1:13" x14ac:dyDescent="0.25">
      <c r="A735" s="12">
        <v>45660</v>
      </c>
      <c r="B735" s="12" t="s">
        <v>16</v>
      </c>
      <c r="C735" s="12" t="s">
        <v>20</v>
      </c>
      <c r="D735" s="12" t="s">
        <v>15</v>
      </c>
      <c r="E735" s="13">
        <v>12887</v>
      </c>
      <c r="F735" s="14">
        <v>16</v>
      </c>
      <c r="G735" s="15">
        <v>7033</v>
      </c>
      <c r="H735" s="16">
        <v>0</v>
      </c>
      <c r="I735" s="13">
        <v>4</v>
      </c>
      <c r="J735" s="15">
        <v>0</v>
      </c>
      <c r="K735" s="15">
        <v>112528</v>
      </c>
      <c r="L735" s="15">
        <v>70893.709164553395</v>
      </c>
      <c r="M735" s="15">
        <v>41634.290835446613</v>
      </c>
    </row>
    <row r="736" spans="1:13" x14ac:dyDescent="0.25">
      <c r="A736" s="12">
        <v>45661</v>
      </c>
      <c r="B736" s="12" t="s">
        <v>24</v>
      </c>
      <c r="C736" s="12" t="s">
        <v>17</v>
      </c>
      <c r="D736" s="12" t="s">
        <v>26</v>
      </c>
      <c r="E736" s="13">
        <v>73723</v>
      </c>
      <c r="F736" s="14">
        <v>23</v>
      </c>
      <c r="G736" s="15">
        <v>49895</v>
      </c>
      <c r="H736" s="16">
        <v>0.15</v>
      </c>
      <c r="I736" s="13">
        <v>1</v>
      </c>
      <c r="J736" s="15">
        <v>172137.75</v>
      </c>
      <c r="K736" s="15">
        <v>975447.25</v>
      </c>
      <c r="L736" s="15">
        <v>660691.90020634572</v>
      </c>
      <c r="M736" s="15">
        <v>314755.34979365428</v>
      </c>
    </row>
    <row r="737" spans="1:13" x14ac:dyDescent="0.25">
      <c r="A737" s="12">
        <v>45662</v>
      </c>
      <c r="B737" s="12" t="s">
        <v>13</v>
      </c>
      <c r="C737" s="12" t="s">
        <v>14</v>
      </c>
      <c r="D737" s="12" t="s">
        <v>22</v>
      </c>
      <c r="E737" s="13">
        <v>52422</v>
      </c>
      <c r="F737" s="14">
        <v>7</v>
      </c>
      <c r="G737" s="15">
        <v>23896</v>
      </c>
      <c r="H737" s="16">
        <v>0.15</v>
      </c>
      <c r="I737" s="13">
        <v>3</v>
      </c>
      <c r="J737" s="15">
        <v>25090.799999999999</v>
      </c>
      <c r="K737" s="15">
        <v>142181.20000000001</v>
      </c>
      <c r="L737" s="15">
        <v>117376.222827121</v>
      </c>
      <c r="M737" s="15">
        <v>24804.977172878978</v>
      </c>
    </row>
    <row r="738" spans="1:13" x14ac:dyDescent="0.25">
      <c r="A738" s="12">
        <v>45663</v>
      </c>
      <c r="B738" s="12" t="s">
        <v>16</v>
      </c>
      <c r="C738" s="12" t="s">
        <v>17</v>
      </c>
      <c r="D738" s="12" t="s">
        <v>18</v>
      </c>
      <c r="E738" s="13">
        <v>61413</v>
      </c>
      <c r="F738" s="14">
        <v>26</v>
      </c>
      <c r="G738" s="15">
        <v>13255</v>
      </c>
      <c r="H738" s="16">
        <v>0.05</v>
      </c>
      <c r="I738" s="13">
        <v>5</v>
      </c>
      <c r="J738" s="15">
        <v>17231.5</v>
      </c>
      <c r="K738" s="15">
        <v>327398.5</v>
      </c>
      <c r="L738" s="15">
        <v>205768.64552568129</v>
      </c>
      <c r="M738" s="15">
        <v>121629.85447431869</v>
      </c>
    </row>
    <row r="739" spans="1:13" x14ac:dyDescent="0.25">
      <c r="A739" s="12">
        <v>45664</v>
      </c>
      <c r="B739" s="12" t="s">
        <v>19</v>
      </c>
      <c r="C739" s="12" t="s">
        <v>23</v>
      </c>
      <c r="D739" s="12" t="s">
        <v>25</v>
      </c>
      <c r="E739" s="13">
        <v>12841</v>
      </c>
      <c r="F739" s="14">
        <v>32</v>
      </c>
      <c r="G739" s="15">
        <v>1365</v>
      </c>
      <c r="H739" s="16">
        <v>0.05</v>
      </c>
      <c r="I739" s="13">
        <v>5</v>
      </c>
      <c r="J739" s="15">
        <v>2184</v>
      </c>
      <c r="K739" s="15">
        <v>41496</v>
      </c>
      <c r="L739" s="15">
        <v>28890.732037273341</v>
      </c>
      <c r="M739" s="15">
        <v>12605.267962726661</v>
      </c>
    </row>
    <row r="740" spans="1:13" x14ac:dyDescent="0.25">
      <c r="A740" s="12">
        <v>45665</v>
      </c>
      <c r="B740" s="12" t="s">
        <v>19</v>
      </c>
      <c r="C740" s="12" t="s">
        <v>21</v>
      </c>
      <c r="D740" s="12" t="s">
        <v>22</v>
      </c>
      <c r="E740" s="13">
        <v>38756</v>
      </c>
      <c r="F740" s="14">
        <v>12</v>
      </c>
      <c r="G740" s="15">
        <v>11673</v>
      </c>
      <c r="H740" s="16">
        <v>0.1</v>
      </c>
      <c r="I740" s="13">
        <v>4</v>
      </c>
      <c r="J740" s="15">
        <v>14007.6</v>
      </c>
      <c r="K740" s="15">
        <v>126068.4</v>
      </c>
      <c r="L740" s="15">
        <v>90283.458323926548</v>
      </c>
      <c r="M740" s="15">
        <v>35784.941676073453</v>
      </c>
    </row>
    <row r="741" spans="1:13" x14ac:dyDescent="0.25">
      <c r="A741" s="12">
        <v>45666</v>
      </c>
      <c r="B741" s="12" t="s">
        <v>16</v>
      </c>
      <c r="C741" s="12" t="s">
        <v>20</v>
      </c>
      <c r="D741" s="12" t="s">
        <v>18</v>
      </c>
      <c r="E741" s="13">
        <v>81576</v>
      </c>
      <c r="F741" s="14">
        <v>8</v>
      </c>
      <c r="G741" s="15">
        <v>38597</v>
      </c>
      <c r="H741" s="16">
        <v>0.1</v>
      </c>
      <c r="I741" s="13">
        <v>1</v>
      </c>
      <c r="J741" s="15">
        <v>30877.599999999999</v>
      </c>
      <c r="K741" s="15">
        <v>277898.40000000002</v>
      </c>
      <c r="L741" s="15">
        <v>218644.38597440909</v>
      </c>
      <c r="M741" s="15">
        <v>59254.014025590877</v>
      </c>
    </row>
    <row r="742" spans="1:13" x14ac:dyDescent="0.25">
      <c r="A742" s="12">
        <v>45667</v>
      </c>
      <c r="B742" s="12" t="s">
        <v>13</v>
      </c>
      <c r="C742" s="12" t="s">
        <v>20</v>
      </c>
      <c r="D742" s="12" t="s">
        <v>26</v>
      </c>
      <c r="E742" s="13">
        <v>20304</v>
      </c>
      <c r="F742" s="14">
        <v>5</v>
      </c>
      <c r="G742" s="15">
        <v>33871</v>
      </c>
      <c r="H742" s="16">
        <v>0</v>
      </c>
      <c r="I742" s="13">
        <v>2</v>
      </c>
      <c r="J742" s="15">
        <v>0</v>
      </c>
      <c r="K742" s="15">
        <v>169355</v>
      </c>
      <c r="L742" s="15">
        <v>109647.1662647409</v>
      </c>
      <c r="M742" s="15">
        <v>59707.833735259097</v>
      </c>
    </row>
    <row r="743" spans="1:13" x14ac:dyDescent="0.25">
      <c r="A743" s="12">
        <v>45668</v>
      </c>
      <c r="B743" s="12" t="s">
        <v>24</v>
      </c>
      <c r="C743" s="12" t="s">
        <v>21</v>
      </c>
      <c r="D743" s="12" t="s">
        <v>18</v>
      </c>
      <c r="E743" s="13">
        <v>40341</v>
      </c>
      <c r="F743" s="14">
        <v>42</v>
      </c>
      <c r="G743" s="15">
        <v>39024</v>
      </c>
      <c r="H743" s="16">
        <v>0.15</v>
      </c>
      <c r="I743" s="13">
        <v>5</v>
      </c>
      <c r="J743" s="15">
        <v>245851.2</v>
      </c>
      <c r="K743" s="15">
        <v>1393156.8</v>
      </c>
      <c r="L743" s="15">
        <v>1195581.1793523701</v>
      </c>
      <c r="M743" s="15">
        <v>197575.62064763019</v>
      </c>
    </row>
    <row r="744" spans="1:13" x14ac:dyDescent="0.25">
      <c r="A744" s="12">
        <v>45669</v>
      </c>
      <c r="B744" s="12" t="s">
        <v>24</v>
      </c>
      <c r="C744" s="12" t="s">
        <v>21</v>
      </c>
      <c r="D744" s="12" t="s">
        <v>26</v>
      </c>
      <c r="E744" s="13">
        <v>14758</v>
      </c>
      <c r="F744" s="14">
        <v>28</v>
      </c>
      <c r="G744" s="15">
        <v>11754</v>
      </c>
      <c r="H744" s="16">
        <v>0</v>
      </c>
      <c r="I744" s="13">
        <v>5</v>
      </c>
      <c r="J744" s="15">
        <v>0</v>
      </c>
      <c r="K744" s="15">
        <v>329112</v>
      </c>
      <c r="L744" s="15">
        <v>241654.65605963289</v>
      </c>
      <c r="M744" s="15">
        <v>87457.343940367078</v>
      </c>
    </row>
    <row r="745" spans="1:13" x14ac:dyDescent="0.25">
      <c r="A745" s="12">
        <v>45670</v>
      </c>
      <c r="B745" s="12" t="s">
        <v>19</v>
      </c>
      <c r="C745" s="12" t="s">
        <v>23</v>
      </c>
      <c r="D745" s="12" t="s">
        <v>22</v>
      </c>
      <c r="E745" s="13">
        <v>27010</v>
      </c>
      <c r="F745" s="14">
        <v>5</v>
      </c>
      <c r="G745" s="15">
        <v>4518</v>
      </c>
      <c r="H745" s="16">
        <v>0</v>
      </c>
      <c r="I745" s="13">
        <v>5</v>
      </c>
      <c r="J745" s="15">
        <v>0</v>
      </c>
      <c r="K745" s="15">
        <v>22590</v>
      </c>
      <c r="L745" s="15">
        <v>19768.656141414529</v>
      </c>
      <c r="M745" s="15">
        <v>2821.343858585471</v>
      </c>
    </row>
    <row r="746" spans="1:13" x14ac:dyDescent="0.25">
      <c r="A746" s="12">
        <v>45671</v>
      </c>
      <c r="B746" s="12" t="s">
        <v>13</v>
      </c>
      <c r="C746" s="12" t="s">
        <v>17</v>
      </c>
      <c r="D746" s="12" t="s">
        <v>27</v>
      </c>
      <c r="E746" s="13">
        <v>70758</v>
      </c>
      <c r="F746" s="14">
        <v>49</v>
      </c>
      <c r="G746" s="15">
        <v>5692</v>
      </c>
      <c r="H746" s="16">
        <v>0.05</v>
      </c>
      <c r="I746" s="13">
        <v>5</v>
      </c>
      <c r="J746" s="15">
        <v>13945.4</v>
      </c>
      <c r="K746" s="15">
        <v>264962.59999999998</v>
      </c>
      <c r="L746" s="15">
        <v>196167.9686334666</v>
      </c>
      <c r="M746" s="15">
        <v>68794.631366533402</v>
      </c>
    </row>
    <row r="747" spans="1:13" x14ac:dyDescent="0.25">
      <c r="A747" s="12">
        <v>45672</v>
      </c>
      <c r="B747" s="12" t="s">
        <v>24</v>
      </c>
      <c r="C747" s="12" t="s">
        <v>20</v>
      </c>
      <c r="D747" s="12" t="s">
        <v>27</v>
      </c>
      <c r="E747" s="13">
        <v>41658</v>
      </c>
      <c r="F747" s="14">
        <v>26</v>
      </c>
      <c r="G747" s="15">
        <v>2515</v>
      </c>
      <c r="H747" s="16">
        <v>0</v>
      </c>
      <c r="I747" s="13">
        <v>4</v>
      </c>
      <c r="J747" s="15">
        <v>0</v>
      </c>
      <c r="K747" s="15">
        <v>65390</v>
      </c>
      <c r="L747" s="15">
        <v>44629.464759640367</v>
      </c>
      <c r="M747" s="15">
        <v>20760.53524035963</v>
      </c>
    </row>
    <row r="748" spans="1:13" x14ac:dyDescent="0.25">
      <c r="A748" s="12">
        <v>45673</v>
      </c>
      <c r="B748" s="12" t="s">
        <v>13</v>
      </c>
      <c r="C748" s="12" t="s">
        <v>23</v>
      </c>
      <c r="D748" s="12" t="s">
        <v>18</v>
      </c>
      <c r="E748" s="13">
        <v>59002</v>
      </c>
      <c r="F748" s="14">
        <v>5</v>
      </c>
      <c r="G748" s="15">
        <v>43118</v>
      </c>
      <c r="H748" s="16">
        <v>0</v>
      </c>
      <c r="I748" s="13">
        <v>1</v>
      </c>
      <c r="J748" s="15">
        <v>0</v>
      </c>
      <c r="K748" s="15">
        <v>215590</v>
      </c>
      <c r="L748" s="15">
        <v>138527.06315303271</v>
      </c>
      <c r="M748" s="15">
        <v>77062.936846967263</v>
      </c>
    </row>
    <row r="749" spans="1:13" x14ac:dyDescent="0.25">
      <c r="A749" s="12">
        <v>45674</v>
      </c>
      <c r="B749" s="12" t="s">
        <v>13</v>
      </c>
      <c r="C749" s="12" t="s">
        <v>17</v>
      </c>
      <c r="D749" s="12" t="s">
        <v>27</v>
      </c>
      <c r="E749" s="13">
        <v>11375</v>
      </c>
      <c r="F749" s="14">
        <v>22</v>
      </c>
      <c r="G749" s="15">
        <v>3880</v>
      </c>
      <c r="H749" s="16">
        <v>0.2</v>
      </c>
      <c r="I749" s="13">
        <v>5</v>
      </c>
      <c r="J749" s="15">
        <v>17072</v>
      </c>
      <c r="K749" s="15">
        <v>68288</v>
      </c>
      <c r="L749" s="15">
        <v>41049.523508293263</v>
      </c>
      <c r="M749" s="15">
        <v>27238.47649170674</v>
      </c>
    </row>
    <row r="750" spans="1:13" x14ac:dyDescent="0.25">
      <c r="A750" s="12">
        <v>45675</v>
      </c>
      <c r="B750" s="12" t="s">
        <v>19</v>
      </c>
      <c r="C750" s="12" t="s">
        <v>23</v>
      </c>
      <c r="D750" s="12" t="s">
        <v>26</v>
      </c>
      <c r="E750" s="13">
        <v>32092</v>
      </c>
      <c r="F750" s="14">
        <v>15</v>
      </c>
      <c r="G750" s="15">
        <v>28843</v>
      </c>
      <c r="H750" s="16">
        <v>0.1</v>
      </c>
      <c r="I750" s="13">
        <v>2</v>
      </c>
      <c r="J750" s="15">
        <v>43264.5</v>
      </c>
      <c r="K750" s="15">
        <v>389380.5</v>
      </c>
      <c r="L750" s="15">
        <v>295791.82427464129</v>
      </c>
      <c r="M750" s="15">
        <v>93588.675725358655</v>
      </c>
    </row>
    <row r="751" spans="1:13" x14ac:dyDescent="0.25">
      <c r="A751" s="12">
        <v>45676</v>
      </c>
      <c r="B751" s="12" t="s">
        <v>24</v>
      </c>
      <c r="C751" s="12" t="s">
        <v>20</v>
      </c>
      <c r="D751" s="12" t="s">
        <v>15</v>
      </c>
      <c r="E751" s="13">
        <v>10490</v>
      </c>
      <c r="F751" s="14">
        <v>13</v>
      </c>
      <c r="G751" s="15">
        <v>4270</v>
      </c>
      <c r="H751" s="16">
        <v>0.1</v>
      </c>
      <c r="I751" s="13">
        <v>2</v>
      </c>
      <c r="J751" s="15">
        <v>5551</v>
      </c>
      <c r="K751" s="15">
        <v>49959</v>
      </c>
      <c r="L751" s="15">
        <v>31581.43242653165</v>
      </c>
      <c r="M751" s="15">
        <v>18377.56757346835</v>
      </c>
    </row>
    <row r="752" spans="1:13" x14ac:dyDescent="0.25">
      <c r="A752" s="12">
        <v>45677</v>
      </c>
      <c r="B752" s="12" t="s">
        <v>16</v>
      </c>
      <c r="C752" s="12" t="s">
        <v>21</v>
      </c>
      <c r="D752" s="12" t="s">
        <v>26</v>
      </c>
      <c r="E752" s="13">
        <v>13729</v>
      </c>
      <c r="F752" s="14">
        <v>28</v>
      </c>
      <c r="G752" s="15">
        <v>6329</v>
      </c>
      <c r="H752" s="16">
        <v>0.15</v>
      </c>
      <c r="I752" s="13">
        <v>3</v>
      </c>
      <c r="J752" s="15">
        <v>26581.8</v>
      </c>
      <c r="K752" s="15">
        <v>150630.20000000001</v>
      </c>
      <c r="L752" s="15">
        <v>108079.9294143951</v>
      </c>
      <c r="M752" s="15">
        <v>42550.270585604892</v>
      </c>
    </row>
    <row r="753" spans="1:13" x14ac:dyDescent="0.25">
      <c r="A753" s="12">
        <v>45678</v>
      </c>
      <c r="B753" s="12" t="s">
        <v>19</v>
      </c>
      <c r="C753" s="12" t="s">
        <v>21</v>
      </c>
      <c r="D753" s="12" t="s">
        <v>15</v>
      </c>
      <c r="E753" s="13">
        <v>15974</v>
      </c>
      <c r="F753" s="14">
        <v>33</v>
      </c>
      <c r="G753" s="15">
        <v>34881</v>
      </c>
      <c r="H753" s="16">
        <v>0.1</v>
      </c>
      <c r="I753" s="13">
        <v>5</v>
      </c>
      <c r="J753" s="15">
        <v>115107.3</v>
      </c>
      <c r="K753" s="15">
        <v>1035965.7</v>
      </c>
      <c r="L753" s="15">
        <v>804719.01978606335</v>
      </c>
      <c r="M753" s="15">
        <v>231246.6802139366</v>
      </c>
    </row>
    <row r="754" spans="1:13" x14ac:dyDescent="0.25">
      <c r="A754" s="12">
        <v>45679</v>
      </c>
      <c r="B754" s="12" t="s">
        <v>24</v>
      </c>
      <c r="C754" s="12" t="s">
        <v>17</v>
      </c>
      <c r="D754" s="12" t="s">
        <v>22</v>
      </c>
      <c r="E754" s="13">
        <v>95216</v>
      </c>
      <c r="F754" s="14">
        <v>43</v>
      </c>
      <c r="G754" s="15">
        <v>46415</v>
      </c>
      <c r="H754" s="16">
        <v>0.15</v>
      </c>
      <c r="I754" s="13">
        <v>5</v>
      </c>
      <c r="J754" s="15">
        <v>299376.75</v>
      </c>
      <c r="K754" s="15">
        <v>1696468.25</v>
      </c>
      <c r="L754" s="15">
        <v>1158188.661320461</v>
      </c>
      <c r="M754" s="15">
        <v>538279.58867953881</v>
      </c>
    </row>
    <row r="755" spans="1:13" x14ac:dyDescent="0.25">
      <c r="A755" s="12">
        <v>45680</v>
      </c>
      <c r="B755" s="12" t="s">
        <v>24</v>
      </c>
      <c r="C755" s="12" t="s">
        <v>14</v>
      </c>
      <c r="D755" s="12" t="s">
        <v>25</v>
      </c>
      <c r="E755" s="13">
        <v>93860</v>
      </c>
      <c r="F755" s="14">
        <v>23</v>
      </c>
      <c r="G755" s="15">
        <v>16045</v>
      </c>
      <c r="H755" s="16">
        <v>0.2</v>
      </c>
      <c r="I755" s="13">
        <v>5</v>
      </c>
      <c r="J755" s="15">
        <v>73807</v>
      </c>
      <c r="K755" s="15">
        <v>295228</v>
      </c>
      <c r="L755" s="15">
        <v>192656.13521599901</v>
      </c>
      <c r="M755" s="15">
        <v>102571.86478400099</v>
      </c>
    </row>
    <row r="756" spans="1:13" x14ac:dyDescent="0.25">
      <c r="A756" s="12">
        <v>45681</v>
      </c>
      <c r="B756" s="12" t="s">
        <v>24</v>
      </c>
      <c r="C756" s="12" t="s">
        <v>17</v>
      </c>
      <c r="D756" s="12" t="s">
        <v>15</v>
      </c>
      <c r="E756" s="13">
        <v>31398</v>
      </c>
      <c r="F756" s="14">
        <v>33</v>
      </c>
      <c r="G756" s="15">
        <v>18763</v>
      </c>
      <c r="H756" s="16">
        <v>0.1</v>
      </c>
      <c r="I756" s="13">
        <v>5</v>
      </c>
      <c r="J756" s="15">
        <v>61917.9</v>
      </c>
      <c r="K756" s="15">
        <v>557261.1</v>
      </c>
      <c r="L756" s="15">
        <v>463873.32708272</v>
      </c>
      <c r="M756" s="15">
        <v>93387.772917279974</v>
      </c>
    </row>
    <row r="757" spans="1:13" x14ac:dyDescent="0.25">
      <c r="A757" s="12">
        <v>45682</v>
      </c>
      <c r="B757" s="12" t="s">
        <v>24</v>
      </c>
      <c r="C757" s="12" t="s">
        <v>14</v>
      </c>
      <c r="D757" s="12" t="s">
        <v>27</v>
      </c>
      <c r="E757" s="13">
        <v>44650</v>
      </c>
      <c r="F757" s="14">
        <v>43</v>
      </c>
      <c r="G757" s="15">
        <v>38640</v>
      </c>
      <c r="H757" s="16">
        <v>0.2</v>
      </c>
      <c r="I757" s="13">
        <v>5</v>
      </c>
      <c r="J757" s="15">
        <v>332304</v>
      </c>
      <c r="K757" s="15">
        <v>1329216</v>
      </c>
      <c r="L757" s="15">
        <v>1175076.592456646</v>
      </c>
      <c r="M757" s="15">
        <v>154139.407543354</v>
      </c>
    </row>
    <row r="758" spans="1:13" x14ac:dyDescent="0.25">
      <c r="A758" s="12">
        <v>45683</v>
      </c>
      <c r="B758" s="12" t="s">
        <v>24</v>
      </c>
      <c r="C758" s="12" t="s">
        <v>23</v>
      </c>
      <c r="D758" s="12" t="s">
        <v>26</v>
      </c>
      <c r="E758" s="13">
        <v>31292</v>
      </c>
      <c r="F758" s="14">
        <v>18</v>
      </c>
      <c r="G758" s="15">
        <v>43806</v>
      </c>
      <c r="H758" s="16">
        <v>0.1</v>
      </c>
      <c r="I758" s="13">
        <v>2</v>
      </c>
      <c r="J758" s="15">
        <v>78850.8</v>
      </c>
      <c r="K758" s="15">
        <v>709657.2</v>
      </c>
      <c r="L758" s="15">
        <v>447177.79971202579</v>
      </c>
      <c r="M758" s="15">
        <v>262479.40028797422</v>
      </c>
    </row>
    <row r="759" spans="1:13" x14ac:dyDescent="0.25">
      <c r="A759" s="12">
        <v>45684</v>
      </c>
      <c r="B759" s="12" t="s">
        <v>13</v>
      </c>
      <c r="C759" s="12" t="s">
        <v>23</v>
      </c>
      <c r="D759" s="12" t="s">
        <v>22</v>
      </c>
      <c r="E759" s="13">
        <v>13159</v>
      </c>
      <c r="F759" s="14">
        <v>30</v>
      </c>
      <c r="G759" s="15">
        <v>26175</v>
      </c>
      <c r="H759" s="16">
        <v>0.1</v>
      </c>
      <c r="I759" s="13">
        <v>1</v>
      </c>
      <c r="J759" s="15">
        <v>78525</v>
      </c>
      <c r="K759" s="15">
        <v>706725</v>
      </c>
      <c r="L759" s="15">
        <v>457022.87160029839</v>
      </c>
      <c r="M759" s="15">
        <v>249702.12839970161</v>
      </c>
    </row>
    <row r="760" spans="1:13" x14ac:dyDescent="0.25">
      <c r="A760" s="12">
        <v>45685</v>
      </c>
      <c r="B760" s="12" t="s">
        <v>19</v>
      </c>
      <c r="C760" s="12" t="s">
        <v>20</v>
      </c>
      <c r="D760" s="12" t="s">
        <v>27</v>
      </c>
      <c r="E760" s="13">
        <v>72766</v>
      </c>
      <c r="F760" s="14">
        <v>26</v>
      </c>
      <c r="G760" s="15">
        <v>25862</v>
      </c>
      <c r="H760" s="16">
        <v>0.2</v>
      </c>
      <c r="I760" s="13">
        <v>1</v>
      </c>
      <c r="J760" s="15">
        <v>134482.4</v>
      </c>
      <c r="K760" s="15">
        <v>537929.6</v>
      </c>
      <c r="L760" s="15">
        <v>477683.52741326758</v>
      </c>
      <c r="M760" s="15">
        <v>60246.072586732327</v>
      </c>
    </row>
    <row r="761" spans="1:13" x14ac:dyDescent="0.25">
      <c r="A761" s="12">
        <v>45686</v>
      </c>
      <c r="B761" s="12" t="s">
        <v>13</v>
      </c>
      <c r="C761" s="12" t="s">
        <v>14</v>
      </c>
      <c r="D761" s="12" t="s">
        <v>22</v>
      </c>
      <c r="E761" s="13">
        <v>27065</v>
      </c>
      <c r="F761" s="14">
        <v>16</v>
      </c>
      <c r="G761" s="15">
        <v>648</v>
      </c>
      <c r="H761" s="16">
        <v>0</v>
      </c>
      <c r="I761" s="13">
        <v>3</v>
      </c>
      <c r="J761" s="15">
        <v>0</v>
      </c>
      <c r="K761" s="15">
        <v>10368</v>
      </c>
      <c r="L761" s="15">
        <v>6338.3240435248108</v>
      </c>
      <c r="M761" s="15">
        <v>4029.6759564751892</v>
      </c>
    </row>
    <row r="762" spans="1:13" x14ac:dyDescent="0.25">
      <c r="A762" s="12">
        <v>45687</v>
      </c>
      <c r="B762" s="12" t="s">
        <v>16</v>
      </c>
      <c r="C762" s="12" t="s">
        <v>20</v>
      </c>
      <c r="D762" s="12" t="s">
        <v>25</v>
      </c>
      <c r="E762" s="13">
        <v>31638</v>
      </c>
      <c r="F762" s="14">
        <v>13</v>
      </c>
      <c r="G762" s="15">
        <v>2254</v>
      </c>
      <c r="H762" s="16">
        <v>0</v>
      </c>
      <c r="I762" s="13">
        <v>2</v>
      </c>
      <c r="J762" s="15">
        <v>0</v>
      </c>
      <c r="K762" s="15">
        <v>29302</v>
      </c>
      <c r="L762" s="15">
        <v>26175.174817680581</v>
      </c>
      <c r="M762" s="15">
        <v>3126.8251823194191</v>
      </c>
    </row>
    <row r="763" spans="1:13" x14ac:dyDescent="0.25">
      <c r="A763" s="12">
        <v>45688</v>
      </c>
      <c r="B763" s="12" t="s">
        <v>24</v>
      </c>
      <c r="C763" s="12" t="s">
        <v>21</v>
      </c>
      <c r="D763" s="12" t="s">
        <v>26</v>
      </c>
      <c r="E763" s="13">
        <v>11073</v>
      </c>
      <c r="F763" s="14">
        <v>39</v>
      </c>
      <c r="G763" s="15">
        <v>27245</v>
      </c>
      <c r="H763" s="16">
        <v>0</v>
      </c>
      <c r="I763" s="13">
        <v>5</v>
      </c>
      <c r="J763" s="15">
        <v>0</v>
      </c>
      <c r="K763" s="15">
        <v>1062555</v>
      </c>
      <c r="L763" s="15">
        <v>639013.50561731099</v>
      </c>
      <c r="M763" s="15">
        <v>423541.49438268901</v>
      </c>
    </row>
    <row r="764" spans="1:13" x14ac:dyDescent="0.25">
      <c r="A764" s="12">
        <v>45689</v>
      </c>
      <c r="B764" s="12" t="s">
        <v>19</v>
      </c>
      <c r="C764" s="12" t="s">
        <v>14</v>
      </c>
      <c r="D764" s="12" t="s">
        <v>18</v>
      </c>
      <c r="E764" s="13">
        <v>56511</v>
      </c>
      <c r="F764" s="14">
        <v>33</v>
      </c>
      <c r="G764" s="15">
        <v>7878</v>
      </c>
      <c r="H764" s="16">
        <v>0</v>
      </c>
      <c r="I764" s="13">
        <v>1</v>
      </c>
      <c r="J764" s="15">
        <v>0</v>
      </c>
      <c r="K764" s="15">
        <v>259974</v>
      </c>
      <c r="L764" s="15">
        <v>224123.74052528979</v>
      </c>
      <c r="M764" s="15">
        <v>35850.259474710241</v>
      </c>
    </row>
    <row r="765" spans="1:13" x14ac:dyDescent="0.25">
      <c r="A765" s="12">
        <v>45690</v>
      </c>
      <c r="B765" s="12" t="s">
        <v>24</v>
      </c>
      <c r="C765" s="12" t="s">
        <v>17</v>
      </c>
      <c r="D765" s="12" t="s">
        <v>26</v>
      </c>
      <c r="E765" s="13">
        <v>94307</v>
      </c>
      <c r="F765" s="14">
        <v>26</v>
      </c>
      <c r="G765" s="15">
        <v>46859</v>
      </c>
      <c r="H765" s="16">
        <v>0.1</v>
      </c>
      <c r="I765" s="13">
        <v>4</v>
      </c>
      <c r="J765" s="15">
        <v>121833.4</v>
      </c>
      <c r="K765" s="15">
        <v>1096500.6000000001</v>
      </c>
      <c r="L765" s="15">
        <v>758995.03360445274</v>
      </c>
      <c r="M765" s="15">
        <v>337505.56639554742</v>
      </c>
    </row>
    <row r="766" spans="1:13" x14ac:dyDescent="0.25">
      <c r="A766" s="12">
        <v>45691</v>
      </c>
      <c r="B766" s="12" t="s">
        <v>19</v>
      </c>
      <c r="C766" s="12" t="s">
        <v>21</v>
      </c>
      <c r="D766" s="12" t="s">
        <v>25</v>
      </c>
      <c r="E766" s="13">
        <v>39320</v>
      </c>
      <c r="F766" s="14">
        <v>48</v>
      </c>
      <c r="G766" s="15">
        <v>20640</v>
      </c>
      <c r="H766" s="16">
        <v>0.05</v>
      </c>
      <c r="I766" s="13">
        <v>4</v>
      </c>
      <c r="J766" s="15">
        <v>49536</v>
      </c>
      <c r="K766" s="15">
        <v>941184</v>
      </c>
      <c r="L766" s="15">
        <v>829725.84476842219</v>
      </c>
      <c r="M766" s="15">
        <v>111458.1552315778</v>
      </c>
    </row>
    <row r="767" spans="1:13" x14ac:dyDescent="0.25">
      <c r="A767" s="12">
        <v>45692</v>
      </c>
      <c r="B767" s="12" t="s">
        <v>13</v>
      </c>
      <c r="C767" s="12" t="s">
        <v>21</v>
      </c>
      <c r="D767" s="12" t="s">
        <v>26</v>
      </c>
      <c r="E767" s="13">
        <v>79876</v>
      </c>
      <c r="F767" s="14">
        <v>1</v>
      </c>
      <c r="G767" s="15">
        <v>9871</v>
      </c>
      <c r="H767" s="16">
        <v>0.2</v>
      </c>
      <c r="I767" s="13">
        <v>4</v>
      </c>
      <c r="J767" s="15">
        <v>1974.2</v>
      </c>
      <c r="K767" s="15">
        <v>7896.8</v>
      </c>
      <c r="L767" s="15">
        <v>5488.9360665892473</v>
      </c>
      <c r="M767" s="15">
        <v>2407.8639334107529</v>
      </c>
    </row>
    <row r="768" spans="1:13" x14ac:dyDescent="0.25">
      <c r="A768" s="12">
        <v>45693</v>
      </c>
      <c r="B768" s="12" t="s">
        <v>19</v>
      </c>
      <c r="C768" s="12" t="s">
        <v>17</v>
      </c>
      <c r="D768" s="12" t="s">
        <v>18</v>
      </c>
      <c r="E768" s="13">
        <v>44924</v>
      </c>
      <c r="F768" s="14">
        <v>49</v>
      </c>
      <c r="G768" s="15">
        <v>27499</v>
      </c>
      <c r="H768" s="16">
        <v>0.05</v>
      </c>
      <c r="I768" s="13">
        <v>5</v>
      </c>
      <c r="J768" s="15">
        <v>67372.55</v>
      </c>
      <c r="K768" s="15">
        <v>1280078.45</v>
      </c>
      <c r="L768" s="15">
        <v>1019316.096568355</v>
      </c>
      <c r="M768" s="15">
        <v>260762.3534316452</v>
      </c>
    </row>
    <row r="769" spans="1:13" x14ac:dyDescent="0.25">
      <c r="A769" s="12">
        <v>45694</v>
      </c>
      <c r="B769" s="12" t="s">
        <v>16</v>
      </c>
      <c r="C769" s="12" t="s">
        <v>21</v>
      </c>
      <c r="D769" s="12" t="s">
        <v>15</v>
      </c>
      <c r="E769" s="13">
        <v>91720</v>
      </c>
      <c r="F769" s="14">
        <v>38</v>
      </c>
      <c r="G769" s="15">
        <v>13279</v>
      </c>
      <c r="H769" s="16">
        <v>0.05</v>
      </c>
      <c r="I769" s="13">
        <v>5</v>
      </c>
      <c r="J769" s="15">
        <v>25230.1</v>
      </c>
      <c r="K769" s="15">
        <v>479371.9</v>
      </c>
      <c r="L769" s="15">
        <v>299132.74950917391</v>
      </c>
      <c r="M769" s="15">
        <v>180239.1504908262</v>
      </c>
    </row>
    <row r="770" spans="1:13" x14ac:dyDescent="0.25">
      <c r="A770" s="12">
        <v>45695</v>
      </c>
      <c r="B770" s="12" t="s">
        <v>16</v>
      </c>
      <c r="C770" s="12" t="s">
        <v>14</v>
      </c>
      <c r="D770" s="12" t="s">
        <v>22</v>
      </c>
      <c r="E770" s="13">
        <v>50734</v>
      </c>
      <c r="F770" s="14">
        <v>2</v>
      </c>
      <c r="G770" s="15">
        <v>31575</v>
      </c>
      <c r="H770" s="16">
        <v>0.15</v>
      </c>
      <c r="I770" s="13">
        <v>3</v>
      </c>
      <c r="J770" s="15">
        <v>9472.5</v>
      </c>
      <c r="K770" s="15">
        <v>53677.5</v>
      </c>
      <c r="L770" s="15">
        <v>36108.797536292419</v>
      </c>
      <c r="M770" s="15">
        <v>17568.702463707581</v>
      </c>
    </row>
    <row r="771" spans="1:13" x14ac:dyDescent="0.25">
      <c r="A771" s="12">
        <v>45696</v>
      </c>
      <c r="B771" s="12" t="s">
        <v>19</v>
      </c>
      <c r="C771" s="12" t="s">
        <v>20</v>
      </c>
      <c r="D771" s="12" t="s">
        <v>18</v>
      </c>
      <c r="E771" s="13">
        <v>78116</v>
      </c>
      <c r="F771" s="14">
        <v>49</v>
      </c>
      <c r="G771" s="15">
        <v>31197</v>
      </c>
      <c r="H771" s="16">
        <v>0</v>
      </c>
      <c r="I771" s="13">
        <v>3</v>
      </c>
      <c r="J771" s="15">
        <v>0</v>
      </c>
      <c r="K771" s="15">
        <v>1528653</v>
      </c>
      <c r="L771" s="15">
        <v>1271997.976210064</v>
      </c>
      <c r="M771" s="15">
        <v>256655.02378993621</v>
      </c>
    </row>
    <row r="772" spans="1:13" x14ac:dyDescent="0.25">
      <c r="A772" s="12">
        <v>45697</v>
      </c>
      <c r="B772" s="12" t="s">
        <v>19</v>
      </c>
      <c r="C772" s="12" t="s">
        <v>21</v>
      </c>
      <c r="D772" s="12" t="s">
        <v>27</v>
      </c>
      <c r="E772" s="13">
        <v>50025</v>
      </c>
      <c r="F772" s="14">
        <v>6</v>
      </c>
      <c r="G772" s="15">
        <v>10295</v>
      </c>
      <c r="H772" s="16">
        <v>0.1</v>
      </c>
      <c r="I772" s="13">
        <v>3</v>
      </c>
      <c r="J772" s="15">
        <v>6177</v>
      </c>
      <c r="K772" s="15">
        <v>55593</v>
      </c>
      <c r="L772" s="15">
        <v>42173.169799069983</v>
      </c>
      <c r="M772" s="15">
        <v>13419.830200930021</v>
      </c>
    </row>
    <row r="773" spans="1:13" x14ac:dyDescent="0.25">
      <c r="A773" s="12">
        <v>45698</v>
      </c>
      <c r="B773" s="12" t="s">
        <v>19</v>
      </c>
      <c r="C773" s="12" t="s">
        <v>14</v>
      </c>
      <c r="D773" s="12" t="s">
        <v>25</v>
      </c>
      <c r="E773" s="13">
        <v>12159</v>
      </c>
      <c r="F773" s="14">
        <v>46</v>
      </c>
      <c r="G773" s="15">
        <v>38960</v>
      </c>
      <c r="H773" s="16">
        <v>0</v>
      </c>
      <c r="I773" s="13">
        <v>4</v>
      </c>
      <c r="J773" s="15">
        <v>0</v>
      </c>
      <c r="K773" s="15">
        <v>1792160</v>
      </c>
      <c r="L773" s="15">
        <v>1574216.7101316811</v>
      </c>
      <c r="M773" s="15">
        <v>217943.28986831891</v>
      </c>
    </row>
    <row r="774" spans="1:13" x14ac:dyDescent="0.25">
      <c r="A774" s="12">
        <v>45699</v>
      </c>
      <c r="B774" s="12" t="s">
        <v>19</v>
      </c>
      <c r="C774" s="12" t="s">
        <v>23</v>
      </c>
      <c r="D774" s="12" t="s">
        <v>15</v>
      </c>
      <c r="E774" s="13">
        <v>58940</v>
      </c>
      <c r="F774" s="14">
        <v>38</v>
      </c>
      <c r="G774" s="15">
        <v>4718</v>
      </c>
      <c r="H774" s="16">
        <v>0</v>
      </c>
      <c r="I774" s="13">
        <v>5</v>
      </c>
      <c r="J774" s="15">
        <v>0</v>
      </c>
      <c r="K774" s="15">
        <v>179284</v>
      </c>
      <c r="L774" s="15">
        <v>130630.88024792141</v>
      </c>
      <c r="M774" s="15">
        <v>48653.119752078594</v>
      </c>
    </row>
    <row r="775" spans="1:13" x14ac:dyDescent="0.25">
      <c r="A775" s="12">
        <v>45700</v>
      </c>
      <c r="B775" s="12" t="s">
        <v>16</v>
      </c>
      <c r="C775" s="12" t="s">
        <v>14</v>
      </c>
      <c r="D775" s="12" t="s">
        <v>27</v>
      </c>
      <c r="E775" s="13">
        <v>89436</v>
      </c>
      <c r="F775" s="14">
        <v>42</v>
      </c>
      <c r="G775" s="15">
        <v>38071</v>
      </c>
      <c r="H775" s="16">
        <v>0.05</v>
      </c>
      <c r="I775" s="13">
        <v>4</v>
      </c>
      <c r="J775" s="15">
        <v>79949.100000000006</v>
      </c>
      <c r="K775" s="15">
        <v>1519032.9</v>
      </c>
      <c r="L775" s="15">
        <v>1307801.820149455</v>
      </c>
      <c r="M775" s="15">
        <v>211231.07985054451</v>
      </c>
    </row>
    <row r="776" spans="1:13" x14ac:dyDescent="0.25">
      <c r="A776" s="12">
        <v>45701</v>
      </c>
      <c r="B776" s="12" t="s">
        <v>24</v>
      </c>
      <c r="C776" s="12" t="s">
        <v>20</v>
      </c>
      <c r="D776" s="12" t="s">
        <v>27</v>
      </c>
      <c r="E776" s="13">
        <v>86976</v>
      </c>
      <c r="F776" s="14">
        <v>24</v>
      </c>
      <c r="G776" s="15">
        <v>12172</v>
      </c>
      <c r="H776" s="16">
        <v>0.15</v>
      </c>
      <c r="I776" s="13">
        <v>3</v>
      </c>
      <c r="J776" s="15">
        <v>43819.199999999997</v>
      </c>
      <c r="K776" s="15">
        <v>248308.8</v>
      </c>
      <c r="L776" s="15">
        <v>182429.15578010879</v>
      </c>
      <c r="M776" s="15">
        <v>65879.644219891139</v>
      </c>
    </row>
    <row r="777" spans="1:13" x14ac:dyDescent="0.25">
      <c r="A777" s="12">
        <v>45702</v>
      </c>
      <c r="B777" s="12" t="s">
        <v>19</v>
      </c>
      <c r="C777" s="12" t="s">
        <v>14</v>
      </c>
      <c r="D777" s="12" t="s">
        <v>25</v>
      </c>
      <c r="E777" s="13">
        <v>24678</v>
      </c>
      <c r="F777" s="14">
        <v>18</v>
      </c>
      <c r="G777" s="15">
        <v>31542</v>
      </c>
      <c r="H777" s="16">
        <v>0</v>
      </c>
      <c r="I777" s="13">
        <v>5</v>
      </c>
      <c r="J777" s="15">
        <v>0</v>
      </c>
      <c r="K777" s="15">
        <v>567756</v>
      </c>
      <c r="L777" s="15">
        <v>507445.82571681729</v>
      </c>
      <c r="M777" s="15">
        <v>60310.174283182663</v>
      </c>
    </row>
    <row r="778" spans="1:13" x14ac:dyDescent="0.25">
      <c r="A778" s="12">
        <v>45703</v>
      </c>
      <c r="B778" s="12" t="s">
        <v>19</v>
      </c>
      <c r="C778" s="12" t="s">
        <v>17</v>
      </c>
      <c r="D778" s="12" t="s">
        <v>15</v>
      </c>
      <c r="E778" s="13">
        <v>71075</v>
      </c>
      <c r="F778" s="14">
        <v>27</v>
      </c>
      <c r="G778" s="15">
        <v>36450</v>
      </c>
      <c r="H778" s="16">
        <v>0.2</v>
      </c>
      <c r="I778" s="13">
        <v>2</v>
      </c>
      <c r="J778" s="15">
        <v>196830</v>
      </c>
      <c r="K778" s="15">
        <v>787320</v>
      </c>
      <c r="L778" s="15">
        <v>699101.04154888901</v>
      </c>
      <c r="M778" s="15">
        <v>88218.958451110986</v>
      </c>
    </row>
    <row r="779" spans="1:13" x14ac:dyDescent="0.25">
      <c r="A779" s="12">
        <v>45704</v>
      </c>
      <c r="B779" s="12" t="s">
        <v>16</v>
      </c>
      <c r="C779" s="12" t="s">
        <v>20</v>
      </c>
      <c r="D779" s="12" t="s">
        <v>27</v>
      </c>
      <c r="E779" s="13">
        <v>57204</v>
      </c>
      <c r="F779" s="14">
        <v>41</v>
      </c>
      <c r="G779" s="15">
        <v>11509</v>
      </c>
      <c r="H779" s="16">
        <v>0.2</v>
      </c>
      <c r="I779" s="13">
        <v>1</v>
      </c>
      <c r="J779" s="15">
        <v>94373.8</v>
      </c>
      <c r="K779" s="15">
        <v>377495.2</v>
      </c>
      <c r="L779" s="15">
        <v>263771.37794737011</v>
      </c>
      <c r="M779" s="15">
        <v>113723.8220526299</v>
      </c>
    </row>
    <row r="780" spans="1:13" x14ac:dyDescent="0.25">
      <c r="A780" s="12">
        <v>45705</v>
      </c>
      <c r="B780" s="12" t="s">
        <v>16</v>
      </c>
      <c r="C780" s="12" t="s">
        <v>23</v>
      </c>
      <c r="D780" s="12" t="s">
        <v>27</v>
      </c>
      <c r="E780" s="13">
        <v>22021</v>
      </c>
      <c r="F780" s="14">
        <v>8</v>
      </c>
      <c r="G780" s="15">
        <v>47596</v>
      </c>
      <c r="H780" s="16">
        <v>0</v>
      </c>
      <c r="I780" s="13">
        <v>1</v>
      </c>
      <c r="J780" s="15">
        <v>0</v>
      </c>
      <c r="K780" s="15">
        <v>380768</v>
      </c>
      <c r="L780" s="15">
        <v>329660.21524117963</v>
      </c>
      <c r="M780" s="15">
        <v>51107.784758820373</v>
      </c>
    </row>
    <row r="781" spans="1:13" x14ac:dyDescent="0.25">
      <c r="A781" s="12">
        <v>45706</v>
      </c>
      <c r="B781" s="12" t="s">
        <v>13</v>
      </c>
      <c r="C781" s="12" t="s">
        <v>17</v>
      </c>
      <c r="D781" s="12" t="s">
        <v>15</v>
      </c>
      <c r="E781" s="13">
        <v>16772</v>
      </c>
      <c r="F781" s="14">
        <v>28</v>
      </c>
      <c r="G781" s="15">
        <v>20044</v>
      </c>
      <c r="H781" s="16">
        <v>0.05</v>
      </c>
      <c r="I781" s="13">
        <v>3</v>
      </c>
      <c r="J781" s="15">
        <v>28061.599999999999</v>
      </c>
      <c r="K781" s="15">
        <v>533170.4</v>
      </c>
      <c r="L781" s="15">
        <v>455478.62863053218</v>
      </c>
      <c r="M781" s="15">
        <v>77691.77136946778</v>
      </c>
    </row>
    <row r="782" spans="1:13" x14ac:dyDescent="0.25">
      <c r="A782" s="12">
        <v>45707</v>
      </c>
      <c r="B782" s="12" t="s">
        <v>19</v>
      </c>
      <c r="C782" s="12" t="s">
        <v>14</v>
      </c>
      <c r="D782" s="12" t="s">
        <v>26</v>
      </c>
      <c r="E782" s="13">
        <v>77163</v>
      </c>
      <c r="F782" s="14">
        <v>10</v>
      </c>
      <c r="G782" s="15">
        <v>29881</v>
      </c>
      <c r="H782" s="16">
        <v>0.05</v>
      </c>
      <c r="I782" s="13">
        <v>4</v>
      </c>
      <c r="J782" s="15">
        <v>14940.5</v>
      </c>
      <c r="K782" s="15">
        <v>283869.5</v>
      </c>
      <c r="L782" s="15">
        <v>188263.421714753</v>
      </c>
      <c r="M782" s="15">
        <v>95606.078285247029</v>
      </c>
    </row>
    <row r="783" spans="1:13" x14ac:dyDescent="0.25">
      <c r="A783" s="12">
        <v>45708</v>
      </c>
      <c r="B783" s="12" t="s">
        <v>13</v>
      </c>
      <c r="C783" s="12" t="s">
        <v>20</v>
      </c>
      <c r="D783" s="12" t="s">
        <v>27</v>
      </c>
      <c r="E783" s="13">
        <v>83755</v>
      </c>
      <c r="F783" s="14">
        <v>17</v>
      </c>
      <c r="G783" s="15">
        <v>25787</v>
      </c>
      <c r="H783" s="16">
        <v>0.1</v>
      </c>
      <c r="I783" s="13">
        <v>2</v>
      </c>
      <c r="J783" s="15">
        <v>43837.9</v>
      </c>
      <c r="K783" s="15">
        <v>394541.1</v>
      </c>
      <c r="L783" s="15">
        <v>310617.12643334159</v>
      </c>
      <c r="M783" s="15">
        <v>83923.973566658387</v>
      </c>
    </row>
    <row r="784" spans="1:13" x14ac:dyDescent="0.25">
      <c r="A784" s="12">
        <v>45709</v>
      </c>
      <c r="B784" s="12" t="s">
        <v>16</v>
      </c>
      <c r="C784" s="12" t="s">
        <v>23</v>
      </c>
      <c r="D784" s="12" t="s">
        <v>22</v>
      </c>
      <c r="E784" s="13">
        <v>33464</v>
      </c>
      <c r="F784" s="14">
        <v>29</v>
      </c>
      <c r="G784" s="15">
        <v>3086</v>
      </c>
      <c r="H784" s="16">
        <v>0.15</v>
      </c>
      <c r="I784" s="13">
        <v>5</v>
      </c>
      <c r="J784" s="15">
        <v>13424.1</v>
      </c>
      <c r="K784" s="15">
        <v>76069.899999999994</v>
      </c>
      <c r="L784" s="15">
        <v>47300.620943605689</v>
      </c>
      <c r="M784" s="15">
        <v>28769.279056394309</v>
      </c>
    </row>
    <row r="785" spans="1:13" x14ac:dyDescent="0.25">
      <c r="A785" s="12">
        <v>45710</v>
      </c>
      <c r="B785" s="12" t="s">
        <v>16</v>
      </c>
      <c r="C785" s="12" t="s">
        <v>17</v>
      </c>
      <c r="D785" s="12" t="s">
        <v>15</v>
      </c>
      <c r="E785" s="13">
        <v>61137</v>
      </c>
      <c r="F785" s="14">
        <v>6</v>
      </c>
      <c r="G785" s="15">
        <v>3148</v>
      </c>
      <c r="H785" s="16">
        <v>0.05</v>
      </c>
      <c r="I785" s="13">
        <v>4</v>
      </c>
      <c r="J785" s="15">
        <v>944.40000000000009</v>
      </c>
      <c r="K785" s="15">
        <v>17943.599999999999</v>
      </c>
      <c r="L785" s="15">
        <v>15270.24074575842</v>
      </c>
      <c r="M785" s="15">
        <v>2673.3592542415772</v>
      </c>
    </row>
    <row r="786" spans="1:13" x14ac:dyDescent="0.25">
      <c r="A786" s="12">
        <v>45711</v>
      </c>
      <c r="B786" s="12" t="s">
        <v>24</v>
      </c>
      <c r="C786" s="12" t="s">
        <v>23</v>
      </c>
      <c r="D786" s="12" t="s">
        <v>27</v>
      </c>
      <c r="E786" s="13">
        <v>40232</v>
      </c>
      <c r="F786" s="14">
        <v>14</v>
      </c>
      <c r="G786" s="15">
        <v>40581</v>
      </c>
      <c r="H786" s="16">
        <v>0.1</v>
      </c>
      <c r="I786" s="13">
        <v>3</v>
      </c>
      <c r="J786" s="15">
        <v>56813.4</v>
      </c>
      <c r="K786" s="15">
        <v>511320.6</v>
      </c>
      <c r="L786" s="15">
        <v>333567.03176416142</v>
      </c>
      <c r="M786" s="15">
        <v>177753.56823583861</v>
      </c>
    </row>
    <row r="787" spans="1:13" x14ac:dyDescent="0.25">
      <c r="A787" s="12">
        <v>45712</v>
      </c>
      <c r="B787" s="12" t="s">
        <v>19</v>
      </c>
      <c r="C787" s="12" t="s">
        <v>14</v>
      </c>
      <c r="D787" s="12" t="s">
        <v>25</v>
      </c>
      <c r="E787" s="13">
        <v>71497</v>
      </c>
      <c r="F787" s="14">
        <v>22</v>
      </c>
      <c r="G787" s="15">
        <v>18601</v>
      </c>
      <c r="H787" s="16">
        <v>0.2</v>
      </c>
      <c r="I787" s="13">
        <v>4</v>
      </c>
      <c r="J787" s="15">
        <v>81844.400000000009</v>
      </c>
      <c r="K787" s="15">
        <v>327377.59999999998</v>
      </c>
      <c r="L787" s="15">
        <v>203381.50409531649</v>
      </c>
      <c r="M787" s="15">
        <v>123996.09590468351</v>
      </c>
    </row>
    <row r="788" spans="1:13" x14ac:dyDescent="0.25">
      <c r="A788" s="12">
        <v>45713</v>
      </c>
      <c r="B788" s="12" t="s">
        <v>13</v>
      </c>
      <c r="C788" s="12" t="s">
        <v>23</v>
      </c>
      <c r="D788" s="12" t="s">
        <v>18</v>
      </c>
      <c r="E788" s="13">
        <v>84024</v>
      </c>
      <c r="F788" s="14">
        <v>6</v>
      </c>
      <c r="G788" s="15">
        <v>45812</v>
      </c>
      <c r="H788" s="16">
        <v>0.2</v>
      </c>
      <c r="I788" s="13">
        <v>3</v>
      </c>
      <c r="J788" s="15">
        <v>54974.400000000001</v>
      </c>
      <c r="K788" s="15">
        <v>219897.60000000001</v>
      </c>
      <c r="L788" s="15">
        <v>158340.72557494661</v>
      </c>
      <c r="M788" s="15">
        <v>61556.874425053422</v>
      </c>
    </row>
    <row r="789" spans="1:13" x14ac:dyDescent="0.25">
      <c r="A789" s="12">
        <v>45714</v>
      </c>
      <c r="B789" s="12" t="s">
        <v>16</v>
      </c>
      <c r="C789" s="12" t="s">
        <v>21</v>
      </c>
      <c r="D789" s="12" t="s">
        <v>22</v>
      </c>
      <c r="E789" s="13">
        <v>61448</v>
      </c>
      <c r="F789" s="14">
        <v>26</v>
      </c>
      <c r="G789" s="15">
        <v>22192</v>
      </c>
      <c r="H789" s="16">
        <v>0.2</v>
      </c>
      <c r="I789" s="13">
        <v>1</v>
      </c>
      <c r="J789" s="15">
        <v>115398.39999999999</v>
      </c>
      <c r="K789" s="15">
        <v>461593.59999999998</v>
      </c>
      <c r="L789" s="15">
        <v>356847.23006277252</v>
      </c>
      <c r="M789" s="15">
        <v>104746.3699372275</v>
      </c>
    </row>
    <row r="790" spans="1:13" x14ac:dyDescent="0.25">
      <c r="A790" s="12">
        <v>45715</v>
      </c>
      <c r="B790" s="12" t="s">
        <v>16</v>
      </c>
      <c r="C790" s="12" t="s">
        <v>17</v>
      </c>
      <c r="D790" s="12" t="s">
        <v>18</v>
      </c>
      <c r="E790" s="13">
        <v>94517</v>
      </c>
      <c r="F790" s="14">
        <v>39</v>
      </c>
      <c r="G790" s="15">
        <v>7907</v>
      </c>
      <c r="H790" s="16">
        <v>0</v>
      </c>
      <c r="I790" s="13">
        <v>1</v>
      </c>
      <c r="J790" s="15">
        <v>0</v>
      </c>
      <c r="K790" s="15">
        <v>308373</v>
      </c>
      <c r="L790" s="15">
        <v>264113.79217858572</v>
      </c>
      <c r="M790" s="15">
        <v>44259.207821414282</v>
      </c>
    </row>
    <row r="791" spans="1:13" x14ac:dyDescent="0.25">
      <c r="A791" s="12">
        <v>45716</v>
      </c>
      <c r="B791" s="12" t="s">
        <v>13</v>
      </c>
      <c r="C791" s="12" t="s">
        <v>23</v>
      </c>
      <c r="D791" s="12" t="s">
        <v>18</v>
      </c>
      <c r="E791" s="13">
        <v>10901</v>
      </c>
      <c r="F791" s="14">
        <v>12</v>
      </c>
      <c r="G791" s="15">
        <v>17754</v>
      </c>
      <c r="H791" s="16">
        <v>0.15</v>
      </c>
      <c r="I791" s="13">
        <v>4</v>
      </c>
      <c r="J791" s="15">
        <v>31957.200000000001</v>
      </c>
      <c r="K791" s="15">
        <v>181090.8</v>
      </c>
      <c r="L791" s="15">
        <v>161582.38750222549</v>
      </c>
      <c r="M791" s="15">
        <v>19508.41249777449</v>
      </c>
    </row>
    <row r="792" spans="1:13" x14ac:dyDescent="0.25">
      <c r="A792" s="12">
        <v>45717</v>
      </c>
      <c r="B792" s="12" t="s">
        <v>24</v>
      </c>
      <c r="C792" s="12" t="s">
        <v>14</v>
      </c>
      <c r="D792" s="12" t="s">
        <v>27</v>
      </c>
      <c r="E792" s="13">
        <v>97980</v>
      </c>
      <c r="F792" s="14">
        <v>35</v>
      </c>
      <c r="G792" s="15">
        <v>15734</v>
      </c>
      <c r="H792" s="16">
        <v>0.1</v>
      </c>
      <c r="I792" s="13">
        <v>2</v>
      </c>
      <c r="J792" s="15">
        <v>55069</v>
      </c>
      <c r="K792" s="15">
        <v>495621</v>
      </c>
      <c r="L792" s="15">
        <v>362719.11557171651</v>
      </c>
      <c r="M792" s="15">
        <v>132901.88442828349</v>
      </c>
    </row>
    <row r="793" spans="1:13" x14ac:dyDescent="0.25">
      <c r="A793" s="12">
        <v>45718</v>
      </c>
      <c r="B793" s="12" t="s">
        <v>16</v>
      </c>
      <c r="C793" s="12" t="s">
        <v>14</v>
      </c>
      <c r="D793" s="12" t="s">
        <v>22</v>
      </c>
      <c r="E793" s="13">
        <v>93597</v>
      </c>
      <c r="F793" s="14">
        <v>14</v>
      </c>
      <c r="G793" s="15">
        <v>22711</v>
      </c>
      <c r="H793" s="16">
        <v>0.15</v>
      </c>
      <c r="I793" s="13">
        <v>5</v>
      </c>
      <c r="J793" s="15">
        <v>47693.1</v>
      </c>
      <c r="K793" s="15">
        <v>270260.90000000002</v>
      </c>
      <c r="L793" s="15">
        <v>167057.47194246901</v>
      </c>
      <c r="M793" s="15">
        <v>103203.4280575311</v>
      </c>
    </row>
    <row r="794" spans="1:13" x14ac:dyDescent="0.25">
      <c r="A794" s="12">
        <v>45719</v>
      </c>
      <c r="B794" s="12" t="s">
        <v>19</v>
      </c>
      <c r="C794" s="12" t="s">
        <v>23</v>
      </c>
      <c r="D794" s="12" t="s">
        <v>22</v>
      </c>
      <c r="E794" s="13">
        <v>12881</v>
      </c>
      <c r="F794" s="14">
        <v>22</v>
      </c>
      <c r="G794" s="15">
        <v>29980</v>
      </c>
      <c r="H794" s="16">
        <v>0</v>
      </c>
      <c r="I794" s="13">
        <v>3</v>
      </c>
      <c r="J794" s="15">
        <v>0</v>
      </c>
      <c r="K794" s="15">
        <v>659560</v>
      </c>
      <c r="L794" s="15">
        <v>543962.00139069103</v>
      </c>
      <c r="M794" s="15">
        <v>115597.998609309</v>
      </c>
    </row>
    <row r="795" spans="1:13" x14ac:dyDescent="0.25">
      <c r="A795" s="12">
        <v>45720</v>
      </c>
      <c r="B795" s="12" t="s">
        <v>16</v>
      </c>
      <c r="C795" s="12" t="s">
        <v>14</v>
      </c>
      <c r="D795" s="12" t="s">
        <v>26</v>
      </c>
      <c r="E795" s="13">
        <v>39863</v>
      </c>
      <c r="F795" s="14">
        <v>23</v>
      </c>
      <c r="G795" s="15">
        <v>48280</v>
      </c>
      <c r="H795" s="16">
        <v>0.1</v>
      </c>
      <c r="I795" s="13">
        <v>5</v>
      </c>
      <c r="J795" s="15">
        <v>111044</v>
      </c>
      <c r="K795" s="15">
        <v>999396</v>
      </c>
      <c r="L795" s="15">
        <v>769087.16747315344</v>
      </c>
      <c r="M795" s="15">
        <v>230308.83252684661</v>
      </c>
    </row>
    <row r="796" spans="1:13" x14ac:dyDescent="0.25">
      <c r="A796" s="12">
        <v>45721</v>
      </c>
      <c r="B796" s="12" t="s">
        <v>19</v>
      </c>
      <c r="C796" s="12" t="s">
        <v>20</v>
      </c>
      <c r="D796" s="12" t="s">
        <v>18</v>
      </c>
      <c r="E796" s="13">
        <v>15622</v>
      </c>
      <c r="F796" s="14">
        <v>48</v>
      </c>
      <c r="G796" s="15">
        <v>25346</v>
      </c>
      <c r="H796" s="16">
        <v>0.1</v>
      </c>
      <c r="I796" s="13">
        <v>1</v>
      </c>
      <c r="J796" s="15">
        <v>121660.8</v>
      </c>
      <c r="K796" s="15">
        <v>1094947.2</v>
      </c>
      <c r="L796" s="15">
        <v>804093.53218250372</v>
      </c>
      <c r="M796" s="15">
        <v>290853.66781749623</v>
      </c>
    </row>
    <row r="797" spans="1:13" x14ac:dyDescent="0.25">
      <c r="A797" s="12">
        <v>45722</v>
      </c>
      <c r="B797" s="12" t="s">
        <v>13</v>
      </c>
      <c r="C797" s="12" t="s">
        <v>20</v>
      </c>
      <c r="D797" s="12" t="s">
        <v>22</v>
      </c>
      <c r="E797" s="13">
        <v>11378</v>
      </c>
      <c r="F797" s="14">
        <v>7</v>
      </c>
      <c r="G797" s="15">
        <v>43003</v>
      </c>
      <c r="H797" s="16">
        <v>0.05</v>
      </c>
      <c r="I797" s="13">
        <v>2</v>
      </c>
      <c r="J797" s="15">
        <v>15051.05</v>
      </c>
      <c r="K797" s="15">
        <v>285969.95</v>
      </c>
      <c r="L797" s="15">
        <v>198114.45174142759</v>
      </c>
      <c r="M797" s="15">
        <v>87855.49825857245</v>
      </c>
    </row>
    <row r="798" spans="1:13" x14ac:dyDescent="0.25">
      <c r="A798" s="12">
        <v>45723</v>
      </c>
      <c r="B798" s="12" t="s">
        <v>19</v>
      </c>
      <c r="C798" s="12" t="s">
        <v>20</v>
      </c>
      <c r="D798" s="12" t="s">
        <v>26</v>
      </c>
      <c r="E798" s="13">
        <v>93168</v>
      </c>
      <c r="F798" s="14">
        <v>40</v>
      </c>
      <c r="G798" s="15">
        <v>46693</v>
      </c>
      <c r="H798" s="16">
        <v>0.15</v>
      </c>
      <c r="I798" s="13">
        <v>2</v>
      </c>
      <c r="J798" s="15">
        <v>280158</v>
      </c>
      <c r="K798" s="15">
        <v>1587562</v>
      </c>
      <c r="L798" s="15">
        <v>1191813.8434981019</v>
      </c>
      <c r="M798" s="15">
        <v>395748.15650189831</v>
      </c>
    </row>
    <row r="799" spans="1:13" x14ac:dyDescent="0.25">
      <c r="A799" s="12">
        <v>45724</v>
      </c>
      <c r="B799" s="12" t="s">
        <v>13</v>
      </c>
      <c r="C799" s="12" t="s">
        <v>21</v>
      </c>
      <c r="D799" s="12" t="s">
        <v>15</v>
      </c>
      <c r="E799" s="13">
        <v>81186</v>
      </c>
      <c r="F799" s="14">
        <v>25</v>
      </c>
      <c r="G799" s="15">
        <v>48966</v>
      </c>
      <c r="H799" s="16">
        <v>0.15</v>
      </c>
      <c r="I799" s="13">
        <v>5</v>
      </c>
      <c r="J799" s="15">
        <v>183622.5</v>
      </c>
      <c r="K799" s="15">
        <v>1040527.5</v>
      </c>
      <c r="L799" s="15">
        <v>730038.13263799902</v>
      </c>
      <c r="M799" s="15">
        <v>310489.36736200098</v>
      </c>
    </row>
    <row r="800" spans="1:13" x14ac:dyDescent="0.25">
      <c r="A800" s="12">
        <v>45725</v>
      </c>
      <c r="B800" s="12" t="s">
        <v>19</v>
      </c>
      <c r="C800" s="12" t="s">
        <v>23</v>
      </c>
      <c r="D800" s="12" t="s">
        <v>26</v>
      </c>
      <c r="E800" s="13">
        <v>55201</v>
      </c>
      <c r="F800" s="14">
        <v>13</v>
      </c>
      <c r="G800" s="15">
        <v>15821</v>
      </c>
      <c r="H800" s="16">
        <v>0.05</v>
      </c>
      <c r="I800" s="13">
        <v>1</v>
      </c>
      <c r="J800" s="15">
        <v>10283.65</v>
      </c>
      <c r="K800" s="15">
        <v>195389.35</v>
      </c>
      <c r="L800" s="15">
        <v>161607.22703443281</v>
      </c>
      <c r="M800" s="15">
        <v>33782.122965567192</v>
      </c>
    </row>
    <row r="801" spans="1:13" x14ac:dyDescent="0.25">
      <c r="A801" s="12">
        <v>45726</v>
      </c>
      <c r="B801" s="12" t="s">
        <v>13</v>
      </c>
      <c r="C801" s="12" t="s">
        <v>21</v>
      </c>
      <c r="D801" s="12" t="s">
        <v>25</v>
      </c>
      <c r="E801" s="13">
        <v>69251</v>
      </c>
      <c r="F801" s="14">
        <v>21</v>
      </c>
      <c r="G801" s="15">
        <v>13146</v>
      </c>
      <c r="H801" s="16">
        <v>0.2</v>
      </c>
      <c r="I801" s="13">
        <v>5</v>
      </c>
      <c r="J801" s="15">
        <v>55213.2</v>
      </c>
      <c r="K801" s="15">
        <v>220852.8</v>
      </c>
      <c r="L801" s="15">
        <v>168547.81373182501</v>
      </c>
      <c r="M801" s="15">
        <v>52304.986268175009</v>
      </c>
    </row>
    <row r="802" spans="1:13" x14ac:dyDescent="0.25">
      <c r="A802" s="12">
        <v>45727</v>
      </c>
      <c r="B802" s="12" t="s">
        <v>19</v>
      </c>
      <c r="C802" s="12" t="s">
        <v>14</v>
      </c>
      <c r="D802" s="12" t="s">
        <v>27</v>
      </c>
      <c r="E802" s="13">
        <v>82572</v>
      </c>
      <c r="F802" s="14">
        <v>41</v>
      </c>
      <c r="G802" s="15">
        <v>22617</v>
      </c>
      <c r="H802" s="16">
        <v>0</v>
      </c>
      <c r="I802" s="13">
        <v>4</v>
      </c>
      <c r="J802" s="15">
        <v>0</v>
      </c>
      <c r="K802" s="15">
        <v>927297</v>
      </c>
      <c r="L802" s="15">
        <v>800307.69312893564</v>
      </c>
      <c r="M802" s="15">
        <v>126989.3068710644</v>
      </c>
    </row>
    <row r="803" spans="1:13" x14ac:dyDescent="0.25">
      <c r="A803" s="12">
        <v>45728</v>
      </c>
      <c r="B803" s="12" t="s">
        <v>24</v>
      </c>
      <c r="C803" s="12" t="s">
        <v>21</v>
      </c>
      <c r="D803" s="12" t="s">
        <v>15</v>
      </c>
      <c r="E803" s="13">
        <v>49255</v>
      </c>
      <c r="F803" s="14">
        <v>10</v>
      </c>
      <c r="G803" s="15">
        <v>5393</v>
      </c>
      <c r="H803" s="16">
        <v>0.15</v>
      </c>
      <c r="I803" s="13">
        <v>2</v>
      </c>
      <c r="J803" s="15">
        <v>8089.5</v>
      </c>
      <c r="K803" s="15">
        <v>45840.5</v>
      </c>
      <c r="L803" s="15">
        <v>34979.197445846323</v>
      </c>
      <c r="M803" s="15">
        <v>10861.302554153681</v>
      </c>
    </row>
    <row r="804" spans="1:13" x14ac:dyDescent="0.25">
      <c r="A804" s="12">
        <v>45729</v>
      </c>
      <c r="B804" s="12" t="s">
        <v>19</v>
      </c>
      <c r="C804" s="12" t="s">
        <v>14</v>
      </c>
      <c r="D804" s="12" t="s">
        <v>15</v>
      </c>
      <c r="E804" s="13">
        <v>73212</v>
      </c>
      <c r="F804" s="14">
        <v>9</v>
      </c>
      <c r="G804" s="15">
        <v>9976</v>
      </c>
      <c r="H804" s="16">
        <v>0.05</v>
      </c>
      <c r="I804" s="13">
        <v>2</v>
      </c>
      <c r="J804" s="15">
        <v>4489.2</v>
      </c>
      <c r="K804" s="15">
        <v>85294.8</v>
      </c>
      <c r="L804" s="15">
        <v>57273.643468003997</v>
      </c>
      <c r="M804" s="15">
        <v>28021.156531995999</v>
      </c>
    </row>
    <row r="805" spans="1:13" x14ac:dyDescent="0.25">
      <c r="A805" s="12">
        <v>45730</v>
      </c>
      <c r="B805" s="12" t="s">
        <v>19</v>
      </c>
      <c r="C805" s="12" t="s">
        <v>14</v>
      </c>
      <c r="D805" s="12" t="s">
        <v>25</v>
      </c>
      <c r="E805" s="13">
        <v>60210</v>
      </c>
      <c r="F805" s="14">
        <v>15</v>
      </c>
      <c r="G805" s="15">
        <v>17770</v>
      </c>
      <c r="H805" s="16">
        <v>0.1</v>
      </c>
      <c r="I805" s="13">
        <v>4</v>
      </c>
      <c r="J805" s="15">
        <v>26655</v>
      </c>
      <c r="K805" s="15">
        <v>239895</v>
      </c>
      <c r="L805" s="15">
        <v>205188.80612642411</v>
      </c>
      <c r="M805" s="15">
        <v>34706.193873575889</v>
      </c>
    </row>
    <row r="806" spans="1:13" x14ac:dyDescent="0.25">
      <c r="A806" s="12">
        <v>45731</v>
      </c>
      <c r="B806" s="12" t="s">
        <v>24</v>
      </c>
      <c r="C806" s="12" t="s">
        <v>17</v>
      </c>
      <c r="D806" s="12" t="s">
        <v>26</v>
      </c>
      <c r="E806" s="13">
        <v>32499</v>
      </c>
      <c r="F806" s="14">
        <v>2</v>
      </c>
      <c r="G806" s="15">
        <v>22202</v>
      </c>
      <c r="H806" s="16">
        <v>0.05</v>
      </c>
      <c r="I806" s="13">
        <v>1</v>
      </c>
      <c r="J806" s="15">
        <v>2220.1999999999998</v>
      </c>
      <c r="K806" s="15">
        <v>42183.8</v>
      </c>
      <c r="L806" s="15">
        <v>32361.965024255998</v>
      </c>
      <c r="M806" s="15">
        <v>9821.8349757440046</v>
      </c>
    </row>
    <row r="807" spans="1:13" x14ac:dyDescent="0.25">
      <c r="A807" s="12">
        <v>45732</v>
      </c>
      <c r="B807" s="12" t="s">
        <v>16</v>
      </c>
      <c r="C807" s="12" t="s">
        <v>20</v>
      </c>
      <c r="D807" s="12" t="s">
        <v>27</v>
      </c>
      <c r="E807" s="13">
        <v>61628</v>
      </c>
      <c r="F807" s="14">
        <v>25</v>
      </c>
      <c r="G807" s="15">
        <v>4882</v>
      </c>
      <c r="H807" s="16">
        <v>0.2</v>
      </c>
      <c r="I807" s="13">
        <v>2</v>
      </c>
      <c r="J807" s="15">
        <v>24410</v>
      </c>
      <c r="K807" s="15">
        <v>97640</v>
      </c>
      <c r="L807" s="15">
        <v>64642.787689301193</v>
      </c>
      <c r="M807" s="15">
        <v>32997.212310698807</v>
      </c>
    </row>
    <row r="808" spans="1:13" x14ac:dyDescent="0.25">
      <c r="A808" s="12">
        <v>45733</v>
      </c>
      <c r="B808" s="12" t="s">
        <v>16</v>
      </c>
      <c r="C808" s="12" t="s">
        <v>14</v>
      </c>
      <c r="D808" s="12" t="s">
        <v>26</v>
      </c>
      <c r="E808" s="13">
        <v>71360</v>
      </c>
      <c r="F808" s="14">
        <v>13</v>
      </c>
      <c r="G808" s="15">
        <v>2285</v>
      </c>
      <c r="H808" s="16">
        <v>0</v>
      </c>
      <c r="I808" s="13">
        <v>3</v>
      </c>
      <c r="J808" s="15">
        <v>0</v>
      </c>
      <c r="K808" s="15">
        <v>29705</v>
      </c>
      <c r="L808" s="15">
        <v>23379.389848424871</v>
      </c>
      <c r="M808" s="15">
        <v>6325.6101515751252</v>
      </c>
    </row>
    <row r="809" spans="1:13" x14ac:dyDescent="0.25">
      <c r="A809" s="12">
        <v>45734</v>
      </c>
      <c r="B809" s="12" t="s">
        <v>19</v>
      </c>
      <c r="C809" s="12" t="s">
        <v>17</v>
      </c>
      <c r="D809" s="12" t="s">
        <v>22</v>
      </c>
      <c r="E809" s="13">
        <v>14603</v>
      </c>
      <c r="F809" s="14">
        <v>34</v>
      </c>
      <c r="G809" s="15">
        <v>46298</v>
      </c>
      <c r="H809" s="16">
        <v>0.2</v>
      </c>
      <c r="I809" s="13">
        <v>3</v>
      </c>
      <c r="J809" s="15">
        <v>314826.40000000002</v>
      </c>
      <c r="K809" s="15">
        <v>1259305.6000000001</v>
      </c>
      <c r="L809" s="15">
        <v>890725.77759176493</v>
      </c>
      <c r="M809" s="15">
        <v>368579.82240823522</v>
      </c>
    </row>
    <row r="810" spans="1:13" x14ac:dyDescent="0.25">
      <c r="A810" s="12">
        <v>45735</v>
      </c>
      <c r="B810" s="12" t="s">
        <v>24</v>
      </c>
      <c r="C810" s="12" t="s">
        <v>20</v>
      </c>
      <c r="D810" s="12" t="s">
        <v>26</v>
      </c>
      <c r="E810" s="13">
        <v>95473</v>
      </c>
      <c r="F810" s="14">
        <v>34</v>
      </c>
      <c r="G810" s="15">
        <v>12235</v>
      </c>
      <c r="H810" s="16">
        <v>0.1</v>
      </c>
      <c r="I810" s="13">
        <v>1</v>
      </c>
      <c r="J810" s="15">
        <v>41599</v>
      </c>
      <c r="K810" s="15">
        <v>374391</v>
      </c>
      <c r="L810" s="15">
        <v>319475.95847749157</v>
      </c>
      <c r="M810" s="15">
        <v>54915.041522508371</v>
      </c>
    </row>
    <row r="811" spans="1:13" x14ac:dyDescent="0.25">
      <c r="A811" s="12">
        <v>45736</v>
      </c>
      <c r="B811" s="12" t="s">
        <v>19</v>
      </c>
      <c r="C811" s="12" t="s">
        <v>14</v>
      </c>
      <c r="D811" s="12" t="s">
        <v>15</v>
      </c>
      <c r="E811" s="13">
        <v>22632</v>
      </c>
      <c r="F811" s="14">
        <v>35</v>
      </c>
      <c r="G811" s="15">
        <v>30677</v>
      </c>
      <c r="H811" s="16">
        <v>0.1</v>
      </c>
      <c r="I811" s="13">
        <v>4</v>
      </c>
      <c r="J811" s="15">
        <v>107369.5</v>
      </c>
      <c r="K811" s="15">
        <v>966325.5</v>
      </c>
      <c r="L811" s="15">
        <v>711205.8289792469</v>
      </c>
      <c r="M811" s="15">
        <v>255119.6710207531</v>
      </c>
    </row>
    <row r="812" spans="1:13" x14ac:dyDescent="0.25">
      <c r="A812" s="12">
        <v>45737</v>
      </c>
      <c r="B812" s="12" t="s">
        <v>13</v>
      </c>
      <c r="C812" s="12" t="s">
        <v>14</v>
      </c>
      <c r="D812" s="12" t="s">
        <v>27</v>
      </c>
      <c r="E812" s="13">
        <v>40607</v>
      </c>
      <c r="F812" s="14">
        <v>38</v>
      </c>
      <c r="G812" s="15">
        <v>31212</v>
      </c>
      <c r="H812" s="16">
        <v>0.1</v>
      </c>
      <c r="I812" s="13">
        <v>5</v>
      </c>
      <c r="J812" s="15">
        <v>118605.6</v>
      </c>
      <c r="K812" s="15">
        <v>1067450.3999999999</v>
      </c>
      <c r="L812" s="15">
        <v>873102.2754864915</v>
      </c>
      <c r="M812" s="15">
        <v>194348.1245135084</v>
      </c>
    </row>
    <row r="813" spans="1:13" x14ac:dyDescent="0.25">
      <c r="A813" s="12">
        <v>45738</v>
      </c>
      <c r="B813" s="12" t="s">
        <v>13</v>
      </c>
      <c r="C813" s="12" t="s">
        <v>21</v>
      </c>
      <c r="D813" s="12" t="s">
        <v>26</v>
      </c>
      <c r="E813" s="13">
        <v>75756</v>
      </c>
      <c r="F813" s="14">
        <v>3</v>
      </c>
      <c r="G813" s="15">
        <v>17179</v>
      </c>
      <c r="H813" s="16">
        <v>0.1</v>
      </c>
      <c r="I813" s="13">
        <v>1</v>
      </c>
      <c r="J813" s="15">
        <v>5153.7000000000007</v>
      </c>
      <c r="K813" s="15">
        <v>46383.3</v>
      </c>
      <c r="L813" s="15">
        <v>29159.365373896169</v>
      </c>
      <c r="M813" s="15">
        <v>17223.934626103841</v>
      </c>
    </row>
    <row r="814" spans="1:13" x14ac:dyDescent="0.25">
      <c r="A814" s="12">
        <v>45739</v>
      </c>
      <c r="B814" s="12" t="s">
        <v>19</v>
      </c>
      <c r="C814" s="12" t="s">
        <v>21</v>
      </c>
      <c r="D814" s="12" t="s">
        <v>27</v>
      </c>
      <c r="E814" s="13">
        <v>56994</v>
      </c>
      <c r="F814" s="14">
        <v>42</v>
      </c>
      <c r="G814" s="15">
        <v>43513</v>
      </c>
      <c r="H814" s="16">
        <v>0.05</v>
      </c>
      <c r="I814" s="13">
        <v>5</v>
      </c>
      <c r="J814" s="15">
        <v>91377.3</v>
      </c>
      <c r="K814" s="15">
        <v>1736168.7</v>
      </c>
      <c r="L814" s="15">
        <v>1247970.7423464281</v>
      </c>
      <c r="M814" s="15">
        <v>488197.95765357162</v>
      </c>
    </row>
    <row r="815" spans="1:13" x14ac:dyDescent="0.25">
      <c r="A815" s="12">
        <v>45740</v>
      </c>
      <c r="B815" s="12" t="s">
        <v>16</v>
      </c>
      <c r="C815" s="12" t="s">
        <v>20</v>
      </c>
      <c r="D815" s="12" t="s">
        <v>27</v>
      </c>
      <c r="E815" s="13">
        <v>73382</v>
      </c>
      <c r="F815" s="14">
        <v>6</v>
      </c>
      <c r="G815" s="15">
        <v>35865</v>
      </c>
      <c r="H815" s="16">
        <v>0.1</v>
      </c>
      <c r="I815" s="13">
        <v>1</v>
      </c>
      <c r="J815" s="15">
        <v>21519</v>
      </c>
      <c r="K815" s="15">
        <v>193671</v>
      </c>
      <c r="L815" s="15">
        <v>173330.20567291381</v>
      </c>
      <c r="M815" s="15">
        <v>20340.79432708622</v>
      </c>
    </row>
    <row r="816" spans="1:13" x14ac:dyDescent="0.25">
      <c r="A816" s="12">
        <v>45741</v>
      </c>
      <c r="B816" s="12" t="s">
        <v>16</v>
      </c>
      <c r="C816" s="12" t="s">
        <v>14</v>
      </c>
      <c r="D816" s="12" t="s">
        <v>22</v>
      </c>
      <c r="E816" s="13">
        <v>80354</v>
      </c>
      <c r="F816" s="14">
        <v>48</v>
      </c>
      <c r="G816" s="15">
        <v>17564</v>
      </c>
      <c r="H816" s="16">
        <v>0.1</v>
      </c>
      <c r="I816" s="13">
        <v>3</v>
      </c>
      <c r="J816" s="15">
        <v>84307.200000000012</v>
      </c>
      <c r="K816" s="15">
        <v>758764.8</v>
      </c>
      <c r="L816" s="15">
        <v>639288.24295592122</v>
      </c>
      <c r="M816" s="15">
        <v>119476.5570440788</v>
      </c>
    </row>
    <row r="817" spans="1:13" x14ac:dyDescent="0.25">
      <c r="A817" s="12">
        <v>45742</v>
      </c>
      <c r="B817" s="12" t="s">
        <v>19</v>
      </c>
      <c r="C817" s="12" t="s">
        <v>23</v>
      </c>
      <c r="D817" s="12" t="s">
        <v>22</v>
      </c>
      <c r="E817" s="13">
        <v>66344</v>
      </c>
      <c r="F817" s="14">
        <v>49</v>
      </c>
      <c r="G817" s="15">
        <v>31063</v>
      </c>
      <c r="H817" s="16">
        <v>0.05</v>
      </c>
      <c r="I817" s="13">
        <v>4</v>
      </c>
      <c r="J817" s="15">
        <v>76104.350000000006</v>
      </c>
      <c r="K817" s="15">
        <v>1445982.65</v>
      </c>
      <c r="L817" s="15">
        <v>936971.07757489732</v>
      </c>
      <c r="M817" s="15">
        <v>509011.57242510258</v>
      </c>
    </row>
    <row r="818" spans="1:13" x14ac:dyDescent="0.25">
      <c r="A818" s="12">
        <v>45743</v>
      </c>
      <c r="B818" s="12" t="s">
        <v>19</v>
      </c>
      <c r="C818" s="12" t="s">
        <v>21</v>
      </c>
      <c r="D818" s="12" t="s">
        <v>15</v>
      </c>
      <c r="E818" s="13">
        <v>63775</v>
      </c>
      <c r="F818" s="14">
        <v>19</v>
      </c>
      <c r="G818" s="15">
        <v>33592</v>
      </c>
      <c r="H818" s="16">
        <v>0.1</v>
      </c>
      <c r="I818" s="13">
        <v>3</v>
      </c>
      <c r="J818" s="15">
        <v>63824.800000000003</v>
      </c>
      <c r="K818" s="15">
        <v>574423.19999999995</v>
      </c>
      <c r="L818" s="15">
        <v>392520.15424370492</v>
      </c>
      <c r="M818" s="15">
        <v>181903.045756295</v>
      </c>
    </row>
    <row r="819" spans="1:13" x14ac:dyDescent="0.25">
      <c r="A819" s="12">
        <v>45744</v>
      </c>
      <c r="B819" s="12" t="s">
        <v>13</v>
      </c>
      <c r="C819" s="12" t="s">
        <v>20</v>
      </c>
      <c r="D819" s="12" t="s">
        <v>25</v>
      </c>
      <c r="E819" s="13">
        <v>17349</v>
      </c>
      <c r="F819" s="14">
        <v>3</v>
      </c>
      <c r="G819" s="15">
        <v>48428</v>
      </c>
      <c r="H819" s="16">
        <v>0.2</v>
      </c>
      <c r="I819" s="13">
        <v>4</v>
      </c>
      <c r="J819" s="15">
        <v>29056.799999999999</v>
      </c>
      <c r="K819" s="15">
        <v>116227.2</v>
      </c>
      <c r="L819" s="15">
        <v>81236.390393733018</v>
      </c>
      <c r="M819" s="15">
        <v>34990.809606266979</v>
      </c>
    </row>
    <row r="820" spans="1:13" x14ac:dyDescent="0.25">
      <c r="A820" s="12">
        <v>45745</v>
      </c>
      <c r="B820" s="12" t="s">
        <v>16</v>
      </c>
      <c r="C820" s="12" t="s">
        <v>14</v>
      </c>
      <c r="D820" s="12" t="s">
        <v>27</v>
      </c>
      <c r="E820" s="13">
        <v>81154</v>
      </c>
      <c r="F820" s="14">
        <v>18</v>
      </c>
      <c r="G820" s="15">
        <v>27367</v>
      </c>
      <c r="H820" s="16">
        <v>0.2</v>
      </c>
      <c r="I820" s="13">
        <v>5</v>
      </c>
      <c r="J820" s="15">
        <v>98521.200000000012</v>
      </c>
      <c r="K820" s="15">
        <v>394084.8</v>
      </c>
      <c r="L820" s="15">
        <v>313340.63455042068</v>
      </c>
      <c r="M820" s="15">
        <v>80744.165449579305</v>
      </c>
    </row>
    <row r="821" spans="1:13" x14ac:dyDescent="0.25">
      <c r="A821" s="12">
        <v>45746</v>
      </c>
      <c r="B821" s="12" t="s">
        <v>19</v>
      </c>
      <c r="C821" s="12" t="s">
        <v>14</v>
      </c>
      <c r="D821" s="12" t="s">
        <v>25</v>
      </c>
      <c r="E821" s="13">
        <v>37464</v>
      </c>
      <c r="F821" s="14">
        <v>39</v>
      </c>
      <c r="G821" s="15">
        <v>45882</v>
      </c>
      <c r="H821" s="16">
        <v>0.15</v>
      </c>
      <c r="I821" s="13">
        <v>1</v>
      </c>
      <c r="J821" s="15">
        <v>268409.7</v>
      </c>
      <c r="K821" s="15">
        <v>1520988.3</v>
      </c>
      <c r="L821" s="15">
        <v>1258007.0317035241</v>
      </c>
      <c r="M821" s="15">
        <v>262981.26829647599</v>
      </c>
    </row>
    <row r="822" spans="1:13" x14ac:dyDescent="0.25">
      <c r="A822" s="12">
        <v>45747</v>
      </c>
      <c r="B822" s="12" t="s">
        <v>13</v>
      </c>
      <c r="C822" s="12" t="s">
        <v>23</v>
      </c>
      <c r="D822" s="12" t="s">
        <v>15</v>
      </c>
      <c r="E822" s="13">
        <v>52624</v>
      </c>
      <c r="F822" s="14">
        <v>9</v>
      </c>
      <c r="G822" s="15">
        <v>34254</v>
      </c>
      <c r="H822" s="16">
        <v>0.2</v>
      </c>
      <c r="I822" s="13">
        <v>2</v>
      </c>
      <c r="J822" s="15">
        <v>61657.2</v>
      </c>
      <c r="K822" s="15">
        <v>246628.8</v>
      </c>
      <c r="L822" s="15">
        <v>203433.73442950929</v>
      </c>
      <c r="M822" s="15">
        <v>43195.065570490733</v>
      </c>
    </row>
    <row r="823" spans="1:13" x14ac:dyDescent="0.25">
      <c r="A823" s="12">
        <v>45748</v>
      </c>
      <c r="B823" s="12" t="s">
        <v>16</v>
      </c>
      <c r="C823" s="12" t="s">
        <v>20</v>
      </c>
      <c r="D823" s="12" t="s">
        <v>27</v>
      </c>
      <c r="E823" s="13">
        <v>47344</v>
      </c>
      <c r="F823" s="14">
        <v>12</v>
      </c>
      <c r="G823" s="15">
        <v>20002</v>
      </c>
      <c r="H823" s="16">
        <v>0</v>
      </c>
      <c r="I823" s="13">
        <v>2</v>
      </c>
      <c r="J823" s="15">
        <v>0</v>
      </c>
      <c r="K823" s="15">
        <v>240024</v>
      </c>
      <c r="L823" s="15">
        <v>180729.0031472664</v>
      </c>
      <c r="M823" s="15">
        <v>59294.996852733602</v>
      </c>
    </row>
    <row r="824" spans="1:13" x14ac:dyDescent="0.25">
      <c r="A824" s="12">
        <v>45749</v>
      </c>
      <c r="B824" s="12" t="s">
        <v>24</v>
      </c>
      <c r="C824" s="12" t="s">
        <v>14</v>
      </c>
      <c r="D824" s="12" t="s">
        <v>27</v>
      </c>
      <c r="E824" s="13">
        <v>93791</v>
      </c>
      <c r="F824" s="14">
        <v>5</v>
      </c>
      <c r="G824" s="15">
        <v>1260</v>
      </c>
      <c r="H824" s="16">
        <v>0</v>
      </c>
      <c r="I824" s="13">
        <v>4</v>
      </c>
      <c r="J824" s="15">
        <v>0</v>
      </c>
      <c r="K824" s="15">
        <v>6300</v>
      </c>
      <c r="L824" s="15">
        <v>5312.450816514106</v>
      </c>
      <c r="M824" s="15">
        <v>987.54918348589399</v>
      </c>
    </row>
    <row r="825" spans="1:13" x14ac:dyDescent="0.25">
      <c r="A825" s="12">
        <v>45750</v>
      </c>
      <c r="B825" s="12" t="s">
        <v>13</v>
      </c>
      <c r="C825" s="12" t="s">
        <v>21</v>
      </c>
      <c r="D825" s="12" t="s">
        <v>18</v>
      </c>
      <c r="E825" s="13">
        <v>34299</v>
      </c>
      <c r="F825" s="14">
        <v>3</v>
      </c>
      <c r="G825" s="15">
        <v>24642</v>
      </c>
      <c r="H825" s="16">
        <v>0</v>
      </c>
      <c r="I825" s="13">
        <v>4</v>
      </c>
      <c r="J825" s="15">
        <v>0</v>
      </c>
      <c r="K825" s="15">
        <v>73926</v>
      </c>
      <c r="L825" s="15">
        <v>54049.030303778723</v>
      </c>
      <c r="M825" s="15">
        <v>19876.96969622128</v>
      </c>
    </row>
    <row r="826" spans="1:13" x14ac:dyDescent="0.25">
      <c r="A826" s="12">
        <v>45751</v>
      </c>
      <c r="B826" s="12" t="s">
        <v>16</v>
      </c>
      <c r="C826" s="12" t="s">
        <v>23</v>
      </c>
      <c r="D826" s="12" t="s">
        <v>25</v>
      </c>
      <c r="E826" s="13">
        <v>57975</v>
      </c>
      <c r="F826" s="14">
        <v>11</v>
      </c>
      <c r="G826" s="15">
        <v>45153</v>
      </c>
      <c r="H826" s="16">
        <v>0.05</v>
      </c>
      <c r="I826" s="13">
        <v>3</v>
      </c>
      <c r="J826" s="15">
        <v>24834.15</v>
      </c>
      <c r="K826" s="15">
        <v>471848.85</v>
      </c>
      <c r="L826" s="15">
        <v>300645.18068161822</v>
      </c>
      <c r="M826" s="15">
        <v>171203.66931838181</v>
      </c>
    </row>
    <row r="827" spans="1:13" x14ac:dyDescent="0.25">
      <c r="A827" s="12">
        <v>45752</v>
      </c>
      <c r="B827" s="12" t="s">
        <v>16</v>
      </c>
      <c r="C827" s="12" t="s">
        <v>20</v>
      </c>
      <c r="D827" s="12" t="s">
        <v>26</v>
      </c>
      <c r="E827" s="13">
        <v>11462</v>
      </c>
      <c r="F827" s="14">
        <v>30</v>
      </c>
      <c r="G827" s="15">
        <v>42496</v>
      </c>
      <c r="H827" s="16">
        <v>0.2</v>
      </c>
      <c r="I827" s="13">
        <v>2</v>
      </c>
      <c r="J827" s="15">
        <v>254976</v>
      </c>
      <c r="K827" s="15">
        <v>1019904</v>
      </c>
      <c r="L827" s="15">
        <v>784645.34762102726</v>
      </c>
      <c r="M827" s="15">
        <v>235258.65237897271</v>
      </c>
    </row>
    <row r="828" spans="1:13" x14ac:dyDescent="0.25">
      <c r="A828" s="12">
        <v>45753</v>
      </c>
      <c r="B828" s="12" t="s">
        <v>13</v>
      </c>
      <c r="C828" s="12" t="s">
        <v>23</v>
      </c>
      <c r="D828" s="12" t="s">
        <v>22</v>
      </c>
      <c r="E828" s="13">
        <v>91441</v>
      </c>
      <c r="F828" s="14">
        <v>4</v>
      </c>
      <c r="G828" s="15">
        <v>17790</v>
      </c>
      <c r="H828" s="16">
        <v>0</v>
      </c>
      <c r="I828" s="13">
        <v>3</v>
      </c>
      <c r="J828" s="15">
        <v>0</v>
      </c>
      <c r="K828" s="15">
        <v>71160</v>
      </c>
      <c r="L828" s="15">
        <v>63025.729958464428</v>
      </c>
      <c r="M828" s="15">
        <v>8134.2700415355721</v>
      </c>
    </row>
    <row r="829" spans="1:13" x14ac:dyDescent="0.25">
      <c r="A829" s="12">
        <v>45754</v>
      </c>
      <c r="B829" s="12" t="s">
        <v>24</v>
      </c>
      <c r="C829" s="12" t="s">
        <v>21</v>
      </c>
      <c r="D829" s="12" t="s">
        <v>26</v>
      </c>
      <c r="E829" s="13">
        <v>91788</v>
      </c>
      <c r="F829" s="14">
        <v>5</v>
      </c>
      <c r="G829" s="15">
        <v>5999</v>
      </c>
      <c r="H829" s="16">
        <v>0.15</v>
      </c>
      <c r="I829" s="13">
        <v>5</v>
      </c>
      <c r="J829" s="15">
        <v>4499.25</v>
      </c>
      <c r="K829" s="15">
        <v>25495.75</v>
      </c>
      <c r="L829" s="15">
        <v>21362.84036624719</v>
      </c>
      <c r="M829" s="15">
        <v>4132.9096337528144</v>
      </c>
    </row>
    <row r="830" spans="1:13" x14ac:dyDescent="0.25">
      <c r="A830" s="12">
        <v>45755</v>
      </c>
      <c r="B830" s="12" t="s">
        <v>13</v>
      </c>
      <c r="C830" s="12" t="s">
        <v>20</v>
      </c>
      <c r="D830" s="12" t="s">
        <v>25</v>
      </c>
      <c r="E830" s="13">
        <v>50581</v>
      </c>
      <c r="F830" s="14">
        <v>1</v>
      </c>
      <c r="G830" s="15">
        <v>864</v>
      </c>
      <c r="H830" s="16">
        <v>0.05</v>
      </c>
      <c r="I830" s="13">
        <v>2</v>
      </c>
      <c r="J830" s="15">
        <v>43.2</v>
      </c>
      <c r="K830" s="15">
        <v>820.8</v>
      </c>
      <c r="L830" s="15">
        <v>634.97924748773778</v>
      </c>
      <c r="M830" s="15">
        <v>185.8207525122622</v>
      </c>
    </row>
    <row r="831" spans="1:13" x14ac:dyDescent="0.25">
      <c r="A831" s="12">
        <v>45756</v>
      </c>
      <c r="B831" s="12" t="s">
        <v>16</v>
      </c>
      <c r="C831" s="12" t="s">
        <v>23</v>
      </c>
      <c r="D831" s="12" t="s">
        <v>22</v>
      </c>
      <c r="E831" s="13">
        <v>81289</v>
      </c>
      <c r="F831" s="14">
        <v>27</v>
      </c>
      <c r="G831" s="15">
        <v>20297</v>
      </c>
      <c r="H831" s="16">
        <v>0.15</v>
      </c>
      <c r="I831" s="13">
        <v>5</v>
      </c>
      <c r="J831" s="15">
        <v>82202.849999999991</v>
      </c>
      <c r="K831" s="15">
        <v>465816.15</v>
      </c>
      <c r="L831" s="15">
        <v>369877.44675060723</v>
      </c>
      <c r="M831" s="15">
        <v>95938.703249392798</v>
      </c>
    </row>
    <row r="832" spans="1:13" x14ac:dyDescent="0.25">
      <c r="A832" s="12">
        <v>45757</v>
      </c>
      <c r="B832" s="12" t="s">
        <v>19</v>
      </c>
      <c r="C832" s="12" t="s">
        <v>17</v>
      </c>
      <c r="D832" s="12" t="s">
        <v>26</v>
      </c>
      <c r="E832" s="13">
        <v>24175</v>
      </c>
      <c r="F832" s="14">
        <v>28</v>
      </c>
      <c r="G832" s="15">
        <v>41295</v>
      </c>
      <c r="H832" s="16">
        <v>0.2</v>
      </c>
      <c r="I832" s="13">
        <v>1</v>
      </c>
      <c r="J832" s="15">
        <v>231252</v>
      </c>
      <c r="K832" s="15">
        <v>925008</v>
      </c>
      <c r="L832" s="15">
        <v>813237.99585123628</v>
      </c>
      <c r="M832" s="15">
        <v>111770.00414876371</v>
      </c>
    </row>
    <row r="833" spans="1:13" x14ac:dyDescent="0.25">
      <c r="A833" s="12">
        <v>45758</v>
      </c>
      <c r="B833" s="12" t="s">
        <v>19</v>
      </c>
      <c r="C833" s="12" t="s">
        <v>21</v>
      </c>
      <c r="D833" s="12" t="s">
        <v>18</v>
      </c>
      <c r="E833" s="13">
        <v>16191</v>
      </c>
      <c r="F833" s="14">
        <v>29</v>
      </c>
      <c r="G833" s="15">
        <v>33035</v>
      </c>
      <c r="H833" s="16">
        <v>0.1</v>
      </c>
      <c r="I833" s="13">
        <v>3</v>
      </c>
      <c r="J833" s="15">
        <v>95801.5</v>
      </c>
      <c r="K833" s="15">
        <v>862213.5</v>
      </c>
      <c r="L833" s="15">
        <v>628124.98199686431</v>
      </c>
      <c r="M833" s="15">
        <v>234088.51800313569</v>
      </c>
    </row>
    <row r="834" spans="1:13" x14ac:dyDescent="0.25">
      <c r="A834" s="12">
        <v>45759</v>
      </c>
      <c r="B834" s="12" t="s">
        <v>13</v>
      </c>
      <c r="C834" s="12" t="s">
        <v>21</v>
      </c>
      <c r="D834" s="12" t="s">
        <v>22</v>
      </c>
      <c r="E834" s="13">
        <v>93434</v>
      </c>
      <c r="F834" s="14">
        <v>18</v>
      </c>
      <c r="G834" s="15">
        <v>46800</v>
      </c>
      <c r="H834" s="16">
        <v>0.15</v>
      </c>
      <c r="I834" s="13">
        <v>4</v>
      </c>
      <c r="J834" s="15">
        <v>126360</v>
      </c>
      <c r="K834" s="15">
        <v>716040</v>
      </c>
      <c r="L834" s="15">
        <v>500811.4377745458</v>
      </c>
      <c r="M834" s="15">
        <v>215228.5622254542</v>
      </c>
    </row>
    <row r="835" spans="1:13" x14ac:dyDescent="0.25">
      <c r="A835" s="12">
        <v>45760</v>
      </c>
      <c r="B835" s="12" t="s">
        <v>16</v>
      </c>
      <c r="C835" s="12" t="s">
        <v>21</v>
      </c>
      <c r="D835" s="12" t="s">
        <v>27</v>
      </c>
      <c r="E835" s="13">
        <v>94518</v>
      </c>
      <c r="F835" s="14">
        <v>12</v>
      </c>
      <c r="G835" s="15">
        <v>47676</v>
      </c>
      <c r="H835" s="16">
        <v>0.1</v>
      </c>
      <c r="I835" s="13">
        <v>2</v>
      </c>
      <c r="J835" s="15">
        <v>57211.199999999997</v>
      </c>
      <c r="K835" s="15">
        <v>514900.8</v>
      </c>
      <c r="L835" s="15">
        <v>459895.21908359497</v>
      </c>
      <c r="M835" s="15">
        <v>55005.580916405022</v>
      </c>
    </row>
    <row r="836" spans="1:13" x14ac:dyDescent="0.25">
      <c r="A836" s="12">
        <v>45761</v>
      </c>
      <c r="B836" s="12" t="s">
        <v>19</v>
      </c>
      <c r="C836" s="12" t="s">
        <v>17</v>
      </c>
      <c r="D836" s="12" t="s">
        <v>26</v>
      </c>
      <c r="E836" s="13">
        <v>90158</v>
      </c>
      <c r="F836" s="14">
        <v>13</v>
      </c>
      <c r="G836" s="15">
        <v>16605</v>
      </c>
      <c r="H836" s="16">
        <v>0.05</v>
      </c>
      <c r="I836" s="13">
        <v>3</v>
      </c>
      <c r="J836" s="15">
        <v>10793.25</v>
      </c>
      <c r="K836" s="15">
        <v>205071.75</v>
      </c>
      <c r="L836" s="15">
        <v>176163.38832433429</v>
      </c>
      <c r="M836" s="15">
        <v>28908.361675665681</v>
      </c>
    </row>
    <row r="837" spans="1:13" x14ac:dyDescent="0.25">
      <c r="A837" s="12">
        <v>45762</v>
      </c>
      <c r="B837" s="12" t="s">
        <v>16</v>
      </c>
      <c r="C837" s="12" t="s">
        <v>17</v>
      </c>
      <c r="D837" s="12" t="s">
        <v>22</v>
      </c>
      <c r="E837" s="13">
        <v>76537</v>
      </c>
      <c r="F837" s="14">
        <v>41</v>
      </c>
      <c r="G837" s="15">
        <v>8439</v>
      </c>
      <c r="H837" s="16">
        <v>0.15</v>
      </c>
      <c r="I837" s="13">
        <v>4</v>
      </c>
      <c r="J837" s="15">
        <v>51899.85</v>
      </c>
      <c r="K837" s="15">
        <v>294099.15000000002</v>
      </c>
      <c r="L837" s="15">
        <v>204961.54309478519</v>
      </c>
      <c r="M837" s="15">
        <v>89137.606905214809</v>
      </c>
    </row>
    <row r="838" spans="1:13" x14ac:dyDescent="0.25">
      <c r="A838" s="12">
        <v>45763</v>
      </c>
      <c r="B838" s="12" t="s">
        <v>13</v>
      </c>
      <c r="C838" s="12" t="s">
        <v>14</v>
      </c>
      <c r="D838" s="12" t="s">
        <v>18</v>
      </c>
      <c r="E838" s="13">
        <v>57645</v>
      </c>
      <c r="F838" s="14">
        <v>2</v>
      </c>
      <c r="G838" s="15">
        <v>14436</v>
      </c>
      <c r="H838" s="16">
        <v>0.15</v>
      </c>
      <c r="I838" s="13">
        <v>1</v>
      </c>
      <c r="J838" s="15">
        <v>4330.8</v>
      </c>
      <c r="K838" s="15">
        <v>24541.200000000001</v>
      </c>
      <c r="L838" s="15">
        <v>18139.239718786161</v>
      </c>
      <c r="M838" s="15">
        <v>6401.9602812138364</v>
      </c>
    </row>
    <row r="839" spans="1:13" x14ac:dyDescent="0.25">
      <c r="A839" s="12">
        <v>45764</v>
      </c>
      <c r="B839" s="12" t="s">
        <v>19</v>
      </c>
      <c r="C839" s="12" t="s">
        <v>23</v>
      </c>
      <c r="D839" s="12" t="s">
        <v>22</v>
      </c>
      <c r="E839" s="13">
        <v>33283</v>
      </c>
      <c r="F839" s="14">
        <v>37</v>
      </c>
      <c r="G839" s="15">
        <v>42529</v>
      </c>
      <c r="H839" s="16">
        <v>0.05</v>
      </c>
      <c r="I839" s="13">
        <v>2</v>
      </c>
      <c r="J839" s="15">
        <v>78678.650000000009</v>
      </c>
      <c r="K839" s="15">
        <v>1494894.35</v>
      </c>
      <c r="L839" s="15">
        <v>1083085.994958699</v>
      </c>
      <c r="M839" s="15">
        <v>411808.35504130111</v>
      </c>
    </row>
    <row r="840" spans="1:13" x14ac:dyDescent="0.25">
      <c r="A840" s="12">
        <v>45765</v>
      </c>
      <c r="B840" s="12" t="s">
        <v>16</v>
      </c>
      <c r="C840" s="12" t="s">
        <v>14</v>
      </c>
      <c r="D840" s="12" t="s">
        <v>22</v>
      </c>
      <c r="E840" s="13">
        <v>96971</v>
      </c>
      <c r="F840" s="14">
        <v>45</v>
      </c>
      <c r="G840" s="15">
        <v>16363</v>
      </c>
      <c r="H840" s="16">
        <v>0.05</v>
      </c>
      <c r="I840" s="13">
        <v>5</v>
      </c>
      <c r="J840" s="15">
        <v>36816.75</v>
      </c>
      <c r="K840" s="15">
        <v>699518.25</v>
      </c>
      <c r="L840" s="15">
        <v>450999.49446804117</v>
      </c>
      <c r="M840" s="15">
        <v>248518.7555319588</v>
      </c>
    </row>
    <row r="841" spans="1:13" x14ac:dyDescent="0.25">
      <c r="A841" s="12">
        <v>45766</v>
      </c>
      <c r="B841" s="12" t="s">
        <v>19</v>
      </c>
      <c r="C841" s="12" t="s">
        <v>23</v>
      </c>
      <c r="D841" s="12" t="s">
        <v>18</v>
      </c>
      <c r="E841" s="13">
        <v>69123</v>
      </c>
      <c r="F841" s="14">
        <v>16</v>
      </c>
      <c r="G841" s="15">
        <v>13061</v>
      </c>
      <c r="H841" s="16">
        <v>0</v>
      </c>
      <c r="I841" s="13">
        <v>1</v>
      </c>
      <c r="J841" s="15">
        <v>0</v>
      </c>
      <c r="K841" s="15">
        <v>208976</v>
      </c>
      <c r="L841" s="15">
        <v>185433.97530395989</v>
      </c>
      <c r="M841" s="15">
        <v>23542.024696040109</v>
      </c>
    </row>
    <row r="842" spans="1:13" x14ac:dyDescent="0.25">
      <c r="A842" s="12">
        <v>45767</v>
      </c>
      <c r="B842" s="12" t="s">
        <v>13</v>
      </c>
      <c r="C842" s="12" t="s">
        <v>17</v>
      </c>
      <c r="D842" s="12" t="s">
        <v>26</v>
      </c>
      <c r="E842" s="13">
        <v>40024</v>
      </c>
      <c r="F842" s="14">
        <v>48</v>
      </c>
      <c r="G842" s="15">
        <v>10947</v>
      </c>
      <c r="H842" s="16">
        <v>0.2</v>
      </c>
      <c r="I842" s="13">
        <v>4</v>
      </c>
      <c r="J842" s="15">
        <v>105091.2</v>
      </c>
      <c r="K842" s="15">
        <v>420364.79999999999</v>
      </c>
      <c r="L842" s="15">
        <v>303206.49428616231</v>
      </c>
      <c r="M842" s="15">
        <v>117158.3057138377</v>
      </c>
    </row>
    <row r="843" spans="1:13" x14ac:dyDescent="0.25">
      <c r="A843" s="12">
        <v>45768</v>
      </c>
      <c r="B843" s="12" t="s">
        <v>16</v>
      </c>
      <c r="C843" s="12" t="s">
        <v>17</v>
      </c>
      <c r="D843" s="12" t="s">
        <v>15</v>
      </c>
      <c r="E843" s="13">
        <v>59630</v>
      </c>
      <c r="F843" s="14">
        <v>24</v>
      </c>
      <c r="G843" s="15">
        <v>31124</v>
      </c>
      <c r="H843" s="16">
        <v>0.15</v>
      </c>
      <c r="I843" s="13">
        <v>2</v>
      </c>
      <c r="J843" s="15">
        <v>112046.39999999999</v>
      </c>
      <c r="K843" s="15">
        <v>634929.6</v>
      </c>
      <c r="L843" s="15">
        <v>547689.46329229616</v>
      </c>
      <c r="M843" s="15">
        <v>87240.136707703816</v>
      </c>
    </row>
    <row r="844" spans="1:13" x14ac:dyDescent="0.25">
      <c r="A844" s="12">
        <v>45769</v>
      </c>
      <c r="B844" s="12" t="s">
        <v>19</v>
      </c>
      <c r="C844" s="12" t="s">
        <v>14</v>
      </c>
      <c r="D844" s="12" t="s">
        <v>26</v>
      </c>
      <c r="E844" s="13">
        <v>40734</v>
      </c>
      <c r="F844" s="14">
        <v>35</v>
      </c>
      <c r="G844" s="15">
        <v>47440</v>
      </c>
      <c r="H844" s="16">
        <v>0.15</v>
      </c>
      <c r="I844" s="13">
        <v>2</v>
      </c>
      <c r="J844" s="15">
        <v>249060</v>
      </c>
      <c r="K844" s="15">
        <v>1411340</v>
      </c>
      <c r="L844" s="15">
        <v>926977.80551244901</v>
      </c>
      <c r="M844" s="15">
        <v>484362.19448755099</v>
      </c>
    </row>
    <row r="845" spans="1:13" x14ac:dyDescent="0.25">
      <c r="A845" s="12">
        <v>45770</v>
      </c>
      <c r="B845" s="12" t="s">
        <v>13</v>
      </c>
      <c r="C845" s="12" t="s">
        <v>20</v>
      </c>
      <c r="D845" s="12" t="s">
        <v>25</v>
      </c>
      <c r="E845" s="13">
        <v>10515</v>
      </c>
      <c r="F845" s="14">
        <v>22</v>
      </c>
      <c r="G845" s="15">
        <v>45146</v>
      </c>
      <c r="H845" s="16">
        <v>0.05</v>
      </c>
      <c r="I845" s="13">
        <v>1</v>
      </c>
      <c r="J845" s="15">
        <v>49660.600000000013</v>
      </c>
      <c r="K845" s="15">
        <v>943551.4</v>
      </c>
      <c r="L845" s="15">
        <v>721214.12111876509</v>
      </c>
      <c r="M845" s="15">
        <v>222337.2788812349</v>
      </c>
    </row>
    <row r="846" spans="1:13" x14ac:dyDescent="0.25">
      <c r="A846" s="12">
        <v>45771</v>
      </c>
      <c r="B846" s="12" t="s">
        <v>19</v>
      </c>
      <c r="C846" s="12" t="s">
        <v>14</v>
      </c>
      <c r="D846" s="12" t="s">
        <v>18</v>
      </c>
      <c r="E846" s="13">
        <v>76727</v>
      </c>
      <c r="F846" s="14">
        <v>36</v>
      </c>
      <c r="G846" s="15">
        <v>12911</v>
      </c>
      <c r="H846" s="16">
        <v>0.05</v>
      </c>
      <c r="I846" s="13">
        <v>2</v>
      </c>
      <c r="J846" s="15">
        <v>23239.8</v>
      </c>
      <c r="K846" s="15">
        <v>441556.2</v>
      </c>
      <c r="L846" s="15">
        <v>268107.80944866268</v>
      </c>
      <c r="M846" s="15">
        <v>173448.3905513373</v>
      </c>
    </row>
    <row r="847" spans="1:13" x14ac:dyDescent="0.25">
      <c r="A847" s="12">
        <v>45772</v>
      </c>
      <c r="B847" s="12" t="s">
        <v>19</v>
      </c>
      <c r="C847" s="12" t="s">
        <v>23</v>
      </c>
      <c r="D847" s="12" t="s">
        <v>26</v>
      </c>
      <c r="E847" s="13">
        <v>56216</v>
      </c>
      <c r="F847" s="14">
        <v>11</v>
      </c>
      <c r="G847" s="15">
        <v>19965</v>
      </c>
      <c r="H847" s="16">
        <v>0.2</v>
      </c>
      <c r="I847" s="13">
        <v>4</v>
      </c>
      <c r="J847" s="15">
        <v>43923</v>
      </c>
      <c r="K847" s="15">
        <v>175692</v>
      </c>
      <c r="L847" s="15">
        <v>145695.42757416691</v>
      </c>
      <c r="M847" s="15">
        <v>29996.57242583315</v>
      </c>
    </row>
    <row r="848" spans="1:13" x14ac:dyDescent="0.25">
      <c r="A848" s="12">
        <v>45773</v>
      </c>
      <c r="B848" s="12" t="s">
        <v>24</v>
      </c>
      <c r="C848" s="12" t="s">
        <v>14</v>
      </c>
      <c r="D848" s="12" t="s">
        <v>22</v>
      </c>
      <c r="E848" s="13">
        <v>81833</v>
      </c>
      <c r="F848" s="14">
        <v>46</v>
      </c>
      <c r="G848" s="15">
        <v>38716</v>
      </c>
      <c r="H848" s="16">
        <v>0.05</v>
      </c>
      <c r="I848" s="13">
        <v>1</v>
      </c>
      <c r="J848" s="15">
        <v>89046.8</v>
      </c>
      <c r="K848" s="15">
        <v>1691889.2</v>
      </c>
      <c r="L848" s="15">
        <v>1309986.105171833</v>
      </c>
      <c r="M848" s="15">
        <v>381903.09482816682</v>
      </c>
    </row>
    <row r="849" spans="1:13" x14ac:dyDescent="0.25">
      <c r="A849" s="12">
        <v>45774</v>
      </c>
      <c r="B849" s="12" t="s">
        <v>24</v>
      </c>
      <c r="C849" s="12" t="s">
        <v>21</v>
      </c>
      <c r="D849" s="12" t="s">
        <v>18</v>
      </c>
      <c r="E849" s="13">
        <v>68755</v>
      </c>
      <c r="F849" s="14">
        <v>29</v>
      </c>
      <c r="G849" s="15">
        <v>20142</v>
      </c>
      <c r="H849" s="16">
        <v>0.1</v>
      </c>
      <c r="I849" s="13">
        <v>5</v>
      </c>
      <c r="J849" s="15">
        <v>58411.8</v>
      </c>
      <c r="K849" s="15">
        <v>525706.19999999995</v>
      </c>
      <c r="L849" s="15">
        <v>414086.61680563987</v>
      </c>
      <c r="M849" s="15">
        <v>111619.58319436009</v>
      </c>
    </row>
    <row r="850" spans="1:13" x14ac:dyDescent="0.25">
      <c r="A850" s="12">
        <v>45775</v>
      </c>
      <c r="B850" s="12" t="s">
        <v>13</v>
      </c>
      <c r="C850" s="12" t="s">
        <v>23</v>
      </c>
      <c r="D850" s="12" t="s">
        <v>27</v>
      </c>
      <c r="E850" s="13">
        <v>37856</v>
      </c>
      <c r="F850" s="14">
        <v>35</v>
      </c>
      <c r="G850" s="15">
        <v>31762</v>
      </c>
      <c r="H850" s="16">
        <v>0.1</v>
      </c>
      <c r="I850" s="13">
        <v>1</v>
      </c>
      <c r="J850" s="15">
        <v>111167</v>
      </c>
      <c r="K850" s="15">
        <v>1000503</v>
      </c>
      <c r="L850" s="15">
        <v>615825.86944757344</v>
      </c>
      <c r="M850" s="15">
        <v>384677.13055242662</v>
      </c>
    </row>
    <row r="851" spans="1:13" x14ac:dyDescent="0.25">
      <c r="A851" s="12">
        <v>45776</v>
      </c>
      <c r="B851" s="12" t="s">
        <v>24</v>
      </c>
      <c r="C851" s="12" t="s">
        <v>23</v>
      </c>
      <c r="D851" s="12" t="s">
        <v>26</v>
      </c>
      <c r="E851" s="13">
        <v>83870</v>
      </c>
      <c r="F851" s="14">
        <v>48</v>
      </c>
      <c r="G851" s="15">
        <v>30863</v>
      </c>
      <c r="H851" s="16">
        <v>0.1</v>
      </c>
      <c r="I851" s="13">
        <v>1</v>
      </c>
      <c r="J851" s="15">
        <v>148142.39999999999</v>
      </c>
      <c r="K851" s="15">
        <v>1333281.6000000001</v>
      </c>
      <c r="L851" s="15">
        <v>884381.01676856133</v>
      </c>
      <c r="M851" s="15">
        <v>448900.58323143882</v>
      </c>
    </row>
    <row r="852" spans="1:13" x14ac:dyDescent="0.25">
      <c r="A852" s="12">
        <v>45777</v>
      </c>
      <c r="B852" s="12" t="s">
        <v>13</v>
      </c>
      <c r="C852" s="12" t="s">
        <v>20</v>
      </c>
      <c r="D852" s="12" t="s">
        <v>18</v>
      </c>
      <c r="E852" s="13">
        <v>34162</v>
      </c>
      <c r="F852" s="14">
        <v>15</v>
      </c>
      <c r="G852" s="15">
        <v>2607</v>
      </c>
      <c r="H852" s="16">
        <v>0.1</v>
      </c>
      <c r="I852" s="13">
        <v>5</v>
      </c>
      <c r="J852" s="15">
        <v>3910.5</v>
      </c>
      <c r="K852" s="15">
        <v>35194.5</v>
      </c>
      <c r="L852" s="15">
        <v>21901.511366114421</v>
      </c>
      <c r="M852" s="15">
        <v>13292.988633885579</v>
      </c>
    </row>
    <row r="853" spans="1:13" x14ac:dyDescent="0.25">
      <c r="A853" s="12">
        <v>45778</v>
      </c>
      <c r="B853" s="12" t="s">
        <v>24</v>
      </c>
      <c r="C853" s="12" t="s">
        <v>17</v>
      </c>
      <c r="D853" s="12" t="s">
        <v>26</v>
      </c>
      <c r="E853" s="13">
        <v>16008</v>
      </c>
      <c r="F853" s="14">
        <v>31</v>
      </c>
      <c r="G853" s="15">
        <v>8428</v>
      </c>
      <c r="H853" s="16">
        <v>0.2</v>
      </c>
      <c r="I853" s="13">
        <v>4</v>
      </c>
      <c r="J853" s="15">
        <v>52253.600000000013</v>
      </c>
      <c r="K853" s="15">
        <v>209014.39999999999</v>
      </c>
      <c r="L853" s="15">
        <v>143524.81571074319</v>
      </c>
      <c r="M853" s="15">
        <v>65489.584289256753</v>
      </c>
    </row>
    <row r="854" spans="1:13" x14ac:dyDescent="0.25">
      <c r="A854" s="12">
        <v>45779</v>
      </c>
      <c r="B854" s="12" t="s">
        <v>19</v>
      </c>
      <c r="C854" s="12" t="s">
        <v>23</v>
      </c>
      <c r="D854" s="12" t="s">
        <v>18</v>
      </c>
      <c r="E854" s="13">
        <v>17987</v>
      </c>
      <c r="F854" s="14">
        <v>42</v>
      </c>
      <c r="G854" s="15">
        <v>48502</v>
      </c>
      <c r="H854" s="16">
        <v>0.15</v>
      </c>
      <c r="I854" s="13">
        <v>3</v>
      </c>
      <c r="J854" s="15">
        <v>305562.59999999998</v>
      </c>
      <c r="K854" s="15">
        <v>1731521.4</v>
      </c>
      <c r="L854" s="15">
        <v>1364840.060698923</v>
      </c>
      <c r="M854" s="15">
        <v>366681.33930107718</v>
      </c>
    </row>
    <row r="855" spans="1:13" x14ac:dyDescent="0.25">
      <c r="A855" s="12">
        <v>45780</v>
      </c>
      <c r="B855" s="12" t="s">
        <v>13</v>
      </c>
      <c r="C855" s="12" t="s">
        <v>17</v>
      </c>
      <c r="D855" s="12" t="s">
        <v>22</v>
      </c>
      <c r="E855" s="13">
        <v>72532</v>
      </c>
      <c r="F855" s="14">
        <v>41</v>
      </c>
      <c r="G855" s="15">
        <v>19817</v>
      </c>
      <c r="H855" s="16">
        <v>0.1</v>
      </c>
      <c r="I855" s="13">
        <v>3</v>
      </c>
      <c r="J855" s="15">
        <v>81249.700000000012</v>
      </c>
      <c r="K855" s="15">
        <v>731247.3</v>
      </c>
      <c r="L855" s="15">
        <v>562954.97169897694</v>
      </c>
      <c r="M855" s="15">
        <v>168292.32830102311</v>
      </c>
    </row>
    <row r="856" spans="1:13" x14ac:dyDescent="0.25">
      <c r="A856" s="12">
        <v>45781</v>
      </c>
      <c r="B856" s="12" t="s">
        <v>13</v>
      </c>
      <c r="C856" s="12" t="s">
        <v>14</v>
      </c>
      <c r="D856" s="12" t="s">
        <v>27</v>
      </c>
      <c r="E856" s="13">
        <v>13332</v>
      </c>
      <c r="F856" s="14">
        <v>43</v>
      </c>
      <c r="G856" s="15">
        <v>49578</v>
      </c>
      <c r="H856" s="16">
        <v>0.05</v>
      </c>
      <c r="I856" s="13">
        <v>5</v>
      </c>
      <c r="J856" s="15">
        <v>106592.7</v>
      </c>
      <c r="K856" s="15">
        <v>2025261.3</v>
      </c>
      <c r="L856" s="15">
        <v>1587085.783054651</v>
      </c>
      <c r="M856" s="15">
        <v>438175.51694534929</v>
      </c>
    </row>
    <row r="857" spans="1:13" x14ac:dyDescent="0.25">
      <c r="A857" s="12">
        <v>45782</v>
      </c>
      <c r="B857" s="12" t="s">
        <v>19</v>
      </c>
      <c r="C857" s="12" t="s">
        <v>21</v>
      </c>
      <c r="D857" s="12" t="s">
        <v>27</v>
      </c>
      <c r="E857" s="13">
        <v>76323</v>
      </c>
      <c r="F857" s="14">
        <v>16</v>
      </c>
      <c r="G857" s="15">
        <v>25517</v>
      </c>
      <c r="H857" s="16">
        <v>0.1</v>
      </c>
      <c r="I857" s="13">
        <v>4</v>
      </c>
      <c r="J857" s="15">
        <v>40827.199999999997</v>
      </c>
      <c r="K857" s="15">
        <v>367444.8</v>
      </c>
      <c r="L857" s="15">
        <v>281012.73706835881</v>
      </c>
      <c r="M857" s="15">
        <v>86432.06293164118</v>
      </c>
    </row>
    <row r="858" spans="1:13" x14ac:dyDescent="0.25">
      <c r="A858" s="12">
        <v>45783</v>
      </c>
      <c r="B858" s="12" t="s">
        <v>13</v>
      </c>
      <c r="C858" s="12" t="s">
        <v>20</v>
      </c>
      <c r="D858" s="12" t="s">
        <v>25</v>
      </c>
      <c r="E858" s="13">
        <v>48990</v>
      </c>
      <c r="F858" s="14">
        <v>10</v>
      </c>
      <c r="G858" s="15">
        <v>14028</v>
      </c>
      <c r="H858" s="16">
        <v>0.2</v>
      </c>
      <c r="I858" s="13">
        <v>2</v>
      </c>
      <c r="J858" s="15">
        <v>28056</v>
      </c>
      <c r="K858" s="15">
        <v>112224</v>
      </c>
      <c r="L858" s="15">
        <v>76526.515069778281</v>
      </c>
      <c r="M858" s="15">
        <v>35697.484930221719</v>
      </c>
    </row>
    <row r="859" spans="1:13" x14ac:dyDescent="0.25">
      <c r="A859" s="12">
        <v>45784</v>
      </c>
      <c r="B859" s="12" t="s">
        <v>13</v>
      </c>
      <c r="C859" s="12" t="s">
        <v>17</v>
      </c>
      <c r="D859" s="12" t="s">
        <v>18</v>
      </c>
      <c r="E859" s="13">
        <v>19873</v>
      </c>
      <c r="F859" s="14">
        <v>49</v>
      </c>
      <c r="G859" s="15">
        <v>13813</v>
      </c>
      <c r="H859" s="16">
        <v>0.05</v>
      </c>
      <c r="I859" s="13">
        <v>5</v>
      </c>
      <c r="J859" s="15">
        <v>33841.85</v>
      </c>
      <c r="K859" s="15">
        <v>642995.15</v>
      </c>
      <c r="L859" s="15">
        <v>432962.23047933099</v>
      </c>
      <c r="M859" s="15">
        <v>210032.91952066901</v>
      </c>
    </row>
    <row r="860" spans="1:13" x14ac:dyDescent="0.25">
      <c r="A860" s="12">
        <v>45785</v>
      </c>
      <c r="B860" s="12" t="s">
        <v>24</v>
      </c>
      <c r="C860" s="12" t="s">
        <v>23</v>
      </c>
      <c r="D860" s="12" t="s">
        <v>26</v>
      </c>
      <c r="E860" s="13">
        <v>92542</v>
      </c>
      <c r="F860" s="14">
        <v>32</v>
      </c>
      <c r="G860" s="15">
        <v>2059</v>
      </c>
      <c r="H860" s="16">
        <v>0.1</v>
      </c>
      <c r="I860" s="13">
        <v>3</v>
      </c>
      <c r="J860" s="15">
        <v>6588.8</v>
      </c>
      <c r="K860" s="15">
        <v>59299.199999999997</v>
      </c>
      <c r="L860" s="15">
        <v>38017.77887579173</v>
      </c>
      <c r="M860" s="15">
        <v>21281.421124208271</v>
      </c>
    </row>
    <row r="861" spans="1:13" x14ac:dyDescent="0.25">
      <c r="A861" s="12">
        <v>45786</v>
      </c>
      <c r="B861" s="12" t="s">
        <v>13</v>
      </c>
      <c r="C861" s="12" t="s">
        <v>17</v>
      </c>
      <c r="D861" s="12" t="s">
        <v>27</v>
      </c>
      <c r="E861" s="13">
        <v>95761</v>
      </c>
      <c r="F861" s="14">
        <v>2</v>
      </c>
      <c r="G861" s="15">
        <v>15667</v>
      </c>
      <c r="H861" s="16">
        <v>0.15</v>
      </c>
      <c r="I861" s="13">
        <v>4</v>
      </c>
      <c r="J861" s="15">
        <v>4700.0999999999995</v>
      </c>
      <c r="K861" s="15">
        <v>26633.9</v>
      </c>
      <c r="L861" s="15">
        <v>22764.560632527631</v>
      </c>
      <c r="M861" s="15">
        <v>3869.339367472367</v>
      </c>
    </row>
    <row r="862" spans="1:13" x14ac:dyDescent="0.25">
      <c r="A862" s="12">
        <v>45787</v>
      </c>
      <c r="B862" s="12" t="s">
        <v>16</v>
      </c>
      <c r="C862" s="12" t="s">
        <v>23</v>
      </c>
      <c r="D862" s="12" t="s">
        <v>27</v>
      </c>
      <c r="E862" s="13">
        <v>46444</v>
      </c>
      <c r="F862" s="14">
        <v>24</v>
      </c>
      <c r="G862" s="15">
        <v>15843</v>
      </c>
      <c r="H862" s="16">
        <v>0.05</v>
      </c>
      <c r="I862" s="13">
        <v>1</v>
      </c>
      <c r="J862" s="15">
        <v>19011.599999999999</v>
      </c>
      <c r="K862" s="15">
        <v>361220.4</v>
      </c>
      <c r="L862" s="15">
        <v>283537.71614520362</v>
      </c>
      <c r="M862" s="15">
        <v>77682.683854796458</v>
      </c>
    </row>
    <row r="863" spans="1:13" x14ac:dyDescent="0.25">
      <c r="A863" s="12">
        <v>45788</v>
      </c>
      <c r="B863" s="12" t="s">
        <v>19</v>
      </c>
      <c r="C863" s="12" t="s">
        <v>17</v>
      </c>
      <c r="D863" s="12" t="s">
        <v>15</v>
      </c>
      <c r="E863" s="13">
        <v>45340</v>
      </c>
      <c r="F863" s="14">
        <v>23</v>
      </c>
      <c r="G863" s="15">
        <v>39098</v>
      </c>
      <c r="H863" s="16">
        <v>0.05</v>
      </c>
      <c r="I863" s="13">
        <v>4</v>
      </c>
      <c r="J863" s="15">
        <v>44962.7</v>
      </c>
      <c r="K863" s="15">
        <v>854291.3</v>
      </c>
      <c r="L863" s="15">
        <v>560375.20060092292</v>
      </c>
      <c r="M863" s="15">
        <v>293916.09939907712</v>
      </c>
    </row>
    <row r="864" spans="1:13" x14ac:dyDescent="0.25">
      <c r="A864" s="12">
        <v>45789</v>
      </c>
      <c r="B864" s="12" t="s">
        <v>24</v>
      </c>
      <c r="C864" s="12" t="s">
        <v>23</v>
      </c>
      <c r="D864" s="12" t="s">
        <v>15</v>
      </c>
      <c r="E864" s="13">
        <v>15033</v>
      </c>
      <c r="F864" s="14">
        <v>2</v>
      </c>
      <c r="G864" s="15">
        <v>8023</v>
      </c>
      <c r="H864" s="16">
        <v>0.15</v>
      </c>
      <c r="I864" s="13">
        <v>4</v>
      </c>
      <c r="J864" s="15">
        <v>2406.9</v>
      </c>
      <c r="K864" s="15">
        <v>13639.1</v>
      </c>
      <c r="L864" s="15">
        <v>8908.5529356959614</v>
      </c>
      <c r="M864" s="15">
        <v>4730.5470643040389</v>
      </c>
    </row>
    <row r="865" spans="1:13" x14ac:dyDescent="0.25">
      <c r="A865" s="12">
        <v>45790</v>
      </c>
      <c r="B865" s="12" t="s">
        <v>24</v>
      </c>
      <c r="C865" s="12" t="s">
        <v>14</v>
      </c>
      <c r="D865" s="12" t="s">
        <v>27</v>
      </c>
      <c r="E865" s="13">
        <v>83324</v>
      </c>
      <c r="F865" s="14">
        <v>38</v>
      </c>
      <c r="G865" s="15">
        <v>28939</v>
      </c>
      <c r="H865" s="16">
        <v>0.05</v>
      </c>
      <c r="I865" s="13">
        <v>3</v>
      </c>
      <c r="J865" s="15">
        <v>54984.100000000013</v>
      </c>
      <c r="K865" s="15">
        <v>1044697.9</v>
      </c>
      <c r="L865" s="15">
        <v>900436.27786187758</v>
      </c>
      <c r="M865" s="15">
        <v>144261.62213812239</v>
      </c>
    </row>
    <row r="866" spans="1:13" x14ac:dyDescent="0.25">
      <c r="A866" s="12">
        <v>45791</v>
      </c>
      <c r="B866" s="12" t="s">
        <v>16</v>
      </c>
      <c r="C866" s="12" t="s">
        <v>23</v>
      </c>
      <c r="D866" s="12" t="s">
        <v>18</v>
      </c>
      <c r="E866" s="13">
        <v>25689</v>
      </c>
      <c r="F866" s="14">
        <v>31</v>
      </c>
      <c r="G866" s="15">
        <v>16024</v>
      </c>
      <c r="H866" s="16">
        <v>0.1</v>
      </c>
      <c r="I866" s="13">
        <v>3</v>
      </c>
      <c r="J866" s="15">
        <v>49674.400000000001</v>
      </c>
      <c r="K866" s="15">
        <v>447069.6</v>
      </c>
      <c r="L866" s="15">
        <v>367857.4770510965</v>
      </c>
      <c r="M866" s="15">
        <v>79212.122948903474</v>
      </c>
    </row>
    <row r="867" spans="1:13" x14ac:dyDescent="0.25">
      <c r="A867" s="12">
        <v>45792</v>
      </c>
      <c r="B867" s="12" t="s">
        <v>19</v>
      </c>
      <c r="C867" s="12" t="s">
        <v>23</v>
      </c>
      <c r="D867" s="12" t="s">
        <v>25</v>
      </c>
      <c r="E867" s="13">
        <v>97134</v>
      </c>
      <c r="F867" s="14">
        <v>40</v>
      </c>
      <c r="G867" s="15">
        <v>13785</v>
      </c>
      <c r="H867" s="16">
        <v>0.05</v>
      </c>
      <c r="I867" s="13">
        <v>2</v>
      </c>
      <c r="J867" s="15">
        <v>27570</v>
      </c>
      <c r="K867" s="15">
        <v>523830</v>
      </c>
      <c r="L867" s="15">
        <v>417921.90600804921</v>
      </c>
      <c r="M867" s="15">
        <v>105908.09399195079</v>
      </c>
    </row>
    <row r="868" spans="1:13" x14ac:dyDescent="0.25">
      <c r="A868" s="12">
        <v>45793</v>
      </c>
      <c r="B868" s="12" t="s">
        <v>19</v>
      </c>
      <c r="C868" s="12" t="s">
        <v>21</v>
      </c>
      <c r="D868" s="12" t="s">
        <v>27</v>
      </c>
      <c r="E868" s="13">
        <v>10066</v>
      </c>
      <c r="F868" s="14">
        <v>26</v>
      </c>
      <c r="G868" s="15">
        <v>11473</v>
      </c>
      <c r="H868" s="16">
        <v>0.1</v>
      </c>
      <c r="I868" s="13">
        <v>2</v>
      </c>
      <c r="J868" s="15">
        <v>29829.8</v>
      </c>
      <c r="K868" s="15">
        <v>268468.2</v>
      </c>
      <c r="L868" s="15">
        <v>193849.9423787047</v>
      </c>
      <c r="M868" s="15">
        <v>74618.257621295343</v>
      </c>
    </row>
    <row r="869" spans="1:13" x14ac:dyDescent="0.25">
      <c r="A869" s="12">
        <v>45794</v>
      </c>
      <c r="B869" s="12" t="s">
        <v>24</v>
      </c>
      <c r="C869" s="12" t="s">
        <v>23</v>
      </c>
      <c r="D869" s="12" t="s">
        <v>22</v>
      </c>
      <c r="E869" s="13">
        <v>55246</v>
      </c>
      <c r="F869" s="14">
        <v>29</v>
      </c>
      <c r="G869" s="15">
        <v>23194</v>
      </c>
      <c r="H869" s="16">
        <v>0.15</v>
      </c>
      <c r="I869" s="13">
        <v>5</v>
      </c>
      <c r="J869" s="15">
        <v>100893.9</v>
      </c>
      <c r="K869" s="15">
        <v>571732.1</v>
      </c>
      <c r="L869" s="15">
        <v>387973.21185409249</v>
      </c>
      <c r="M869" s="15">
        <v>183758.88814590749</v>
      </c>
    </row>
    <row r="870" spans="1:13" x14ac:dyDescent="0.25">
      <c r="A870" s="12">
        <v>45795</v>
      </c>
      <c r="B870" s="12" t="s">
        <v>13</v>
      </c>
      <c r="C870" s="12" t="s">
        <v>21</v>
      </c>
      <c r="D870" s="12" t="s">
        <v>26</v>
      </c>
      <c r="E870" s="13">
        <v>17533</v>
      </c>
      <c r="F870" s="14">
        <v>3</v>
      </c>
      <c r="G870" s="15">
        <v>36274</v>
      </c>
      <c r="H870" s="16">
        <v>0</v>
      </c>
      <c r="I870" s="13">
        <v>1</v>
      </c>
      <c r="J870" s="15">
        <v>0</v>
      </c>
      <c r="K870" s="15">
        <v>108822</v>
      </c>
      <c r="L870" s="15">
        <v>97268.937283039108</v>
      </c>
      <c r="M870" s="15">
        <v>11553.062716960891</v>
      </c>
    </row>
    <row r="871" spans="1:13" x14ac:dyDescent="0.25">
      <c r="A871" s="12">
        <v>45796</v>
      </c>
      <c r="B871" s="12" t="s">
        <v>24</v>
      </c>
      <c r="C871" s="12" t="s">
        <v>20</v>
      </c>
      <c r="D871" s="12" t="s">
        <v>25</v>
      </c>
      <c r="E871" s="13">
        <v>90639</v>
      </c>
      <c r="F871" s="14">
        <v>14</v>
      </c>
      <c r="G871" s="15">
        <v>4802</v>
      </c>
      <c r="H871" s="16">
        <v>0.15</v>
      </c>
      <c r="I871" s="13">
        <v>2</v>
      </c>
      <c r="J871" s="15">
        <v>10084.200000000001</v>
      </c>
      <c r="K871" s="15">
        <v>57143.8</v>
      </c>
      <c r="L871" s="15">
        <v>47953.469648156373</v>
      </c>
      <c r="M871" s="15">
        <v>9190.3303518436369</v>
      </c>
    </row>
    <row r="872" spans="1:13" x14ac:dyDescent="0.25">
      <c r="A872" s="12">
        <v>45797</v>
      </c>
      <c r="B872" s="12" t="s">
        <v>19</v>
      </c>
      <c r="C872" s="12" t="s">
        <v>21</v>
      </c>
      <c r="D872" s="12" t="s">
        <v>22</v>
      </c>
      <c r="E872" s="13">
        <v>80152</v>
      </c>
      <c r="F872" s="14">
        <v>25</v>
      </c>
      <c r="G872" s="15">
        <v>22891</v>
      </c>
      <c r="H872" s="16">
        <v>0.1</v>
      </c>
      <c r="I872" s="13">
        <v>3</v>
      </c>
      <c r="J872" s="15">
        <v>57227.5</v>
      </c>
      <c r="K872" s="15">
        <v>515047.5</v>
      </c>
      <c r="L872" s="15">
        <v>355657.6903284844</v>
      </c>
      <c r="M872" s="15">
        <v>159389.8096715156</v>
      </c>
    </row>
    <row r="873" spans="1:13" x14ac:dyDescent="0.25">
      <c r="A873" s="12">
        <v>45798</v>
      </c>
      <c r="B873" s="12" t="s">
        <v>16</v>
      </c>
      <c r="C873" s="12" t="s">
        <v>14</v>
      </c>
      <c r="D873" s="12" t="s">
        <v>25</v>
      </c>
      <c r="E873" s="13">
        <v>69658</v>
      </c>
      <c r="F873" s="14">
        <v>48</v>
      </c>
      <c r="G873" s="15">
        <v>5111</v>
      </c>
      <c r="H873" s="16">
        <v>0.2</v>
      </c>
      <c r="I873" s="13">
        <v>4</v>
      </c>
      <c r="J873" s="15">
        <v>49065.600000000013</v>
      </c>
      <c r="K873" s="15">
        <v>196262.39999999999</v>
      </c>
      <c r="L873" s="15">
        <v>167660.97032193851</v>
      </c>
      <c r="M873" s="15">
        <v>28601.429678061479</v>
      </c>
    </row>
    <row r="874" spans="1:13" x14ac:dyDescent="0.25">
      <c r="A874" s="12">
        <v>45799</v>
      </c>
      <c r="B874" s="12" t="s">
        <v>24</v>
      </c>
      <c r="C874" s="12" t="s">
        <v>21</v>
      </c>
      <c r="D874" s="12" t="s">
        <v>22</v>
      </c>
      <c r="E874" s="13">
        <v>48498</v>
      </c>
      <c r="F874" s="14">
        <v>1</v>
      </c>
      <c r="G874" s="15">
        <v>9872</v>
      </c>
      <c r="H874" s="16">
        <v>0.15</v>
      </c>
      <c r="I874" s="13">
        <v>5</v>
      </c>
      <c r="J874" s="15">
        <v>1480.8</v>
      </c>
      <c r="K874" s="15">
        <v>8391.2000000000007</v>
      </c>
      <c r="L874" s="15">
        <v>6945.2249301646552</v>
      </c>
      <c r="M874" s="15">
        <v>1445.975069835345</v>
      </c>
    </row>
    <row r="875" spans="1:13" x14ac:dyDescent="0.25">
      <c r="A875" s="12">
        <v>45800</v>
      </c>
      <c r="B875" s="12" t="s">
        <v>19</v>
      </c>
      <c r="C875" s="12" t="s">
        <v>20</v>
      </c>
      <c r="D875" s="12" t="s">
        <v>26</v>
      </c>
      <c r="E875" s="13">
        <v>21772</v>
      </c>
      <c r="F875" s="14">
        <v>3</v>
      </c>
      <c r="G875" s="15">
        <v>24812</v>
      </c>
      <c r="H875" s="16">
        <v>0.2</v>
      </c>
      <c r="I875" s="13">
        <v>2</v>
      </c>
      <c r="J875" s="15">
        <v>14887.2</v>
      </c>
      <c r="K875" s="15">
        <v>59548.800000000003</v>
      </c>
      <c r="L875" s="15">
        <v>41036.517074572483</v>
      </c>
      <c r="M875" s="15">
        <v>18512.28292542752</v>
      </c>
    </row>
    <row r="876" spans="1:13" x14ac:dyDescent="0.25">
      <c r="A876" s="12">
        <v>45801</v>
      </c>
      <c r="B876" s="12" t="s">
        <v>24</v>
      </c>
      <c r="C876" s="12" t="s">
        <v>14</v>
      </c>
      <c r="D876" s="12" t="s">
        <v>26</v>
      </c>
      <c r="E876" s="13">
        <v>99385</v>
      </c>
      <c r="F876" s="14">
        <v>26</v>
      </c>
      <c r="G876" s="15">
        <v>14580</v>
      </c>
      <c r="H876" s="16">
        <v>0.2</v>
      </c>
      <c r="I876" s="13">
        <v>4</v>
      </c>
      <c r="J876" s="15">
        <v>75816</v>
      </c>
      <c r="K876" s="15">
        <v>303264</v>
      </c>
      <c r="L876" s="15">
        <v>220765.83743662099</v>
      </c>
      <c r="M876" s="15">
        <v>82498.16256337901</v>
      </c>
    </row>
    <row r="877" spans="1:13" x14ac:dyDescent="0.25">
      <c r="A877" s="12">
        <v>45802</v>
      </c>
      <c r="B877" s="12" t="s">
        <v>13</v>
      </c>
      <c r="C877" s="12" t="s">
        <v>17</v>
      </c>
      <c r="D877" s="12" t="s">
        <v>15</v>
      </c>
      <c r="E877" s="13">
        <v>59036</v>
      </c>
      <c r="F877" s="14">
        <v>18</v>
      </c>
      <c r="G877" s="15">
        <v>15582</v>
      </c>
      <c r="H877" s="16">
        <v>0.1</v>
      </c>
      <c r="I877" s="13">
        <v>4</v>
      </c>
      <c r="J877" s="15">
        <v>28047.599999999999</v>
      </c>
      <c r="K877" s="15">
        <v>252428.4</v>
      </c>
      <c r="L877" s="15">
        <v>165539.01920836329</v>
      </c>
      <c r="M877" s="15">
        <v>86889.380791636708</v>
      </c>
    </row>
    <row r="878" spans="1:13" x14ac:dyDescent="0.25">
      <c r="A878" s="12">
        <v>45803</v>
      </c>
      <c r="B878" s="12" t="s">
        <v>24</v>
      </c>
      <c r="C878" s="12" t="s">
        <v>17</v>
      </c>
      <c r="D878" s="12" t="s">
        <v>18</v>
      </c>
      <c r="E878" s="13">
        <v>68531</v>
      </c>
      <c r="F878" s="14">
        <v>9</v>
      </c>
      <c r="G878" s="15">
        <v>47909</v>
      </c>
      <c r="H878" s="16">
        <v>0.1</v>
      </c>
      <c r="I878" s="13">
        <v>2</v>
      </c>
      <c r="J878" s="15">
        <v>43118.100000000013</v>
      </c>
      <c r="K878" s="15">
        <v>388062.9</v>
      </c>
      <c r="L878" s="15">
        <v>245766.3400852374</v>
      </c>
      <c r="M878" s="15">
        <v>142296.55991476259</v>
      </c>
    </row>
    <row r="879" spans="1:13" x14ac:dyDescent="0.25">
      <c r="A879" s="12">
        <v>45804</v>
      </c>
      <c r="B879" s="12" t="s">
        <v>24</v>
      </c>
      <c r="C879" s="12" t="s">
        <v>21</v>
      </c>
      <c r="D879" s="12" t="s">
        <v>22</v>
      </c>
      <c r="E879" s="13">
        <v>22940</v>
      </c>
      <c r="F879" s="14">
        <v>38</v>
      </c>
      <c r="G879" s="15">
        <v>43361</v>
      </c>
      <c r="H879" s="16">
        <v>0</v>
      </c>
      <c r="I879" s="13">
        <v>1</v>
      </c>
      <c r="J879" s="15">
        <v>0</v>
      </c>
      <c r="K879" s="15">
        <v>1647718</v>
      </c>
      <c r="L879" s="15">
        <v>1345903.2033679681</v>
      </c>
      <c r="M879" s="15">
        <v>301814.79663203208</v>
      </c>
    </row>
    <row r="880" spans="1:13" x14ac:dyDescent="0.25">
      <c r="A880" s="12">
        <v>45805</v>
      </c>
      <c r="B880" s="12" t="s">
        <v>19</v>
      </c>
      <c r="C880" s="12" t="s">
        <v>21</v>
      </c>
      <c r="D880" s="12" t="s">
        <v>15</v>
      </c>
      <c r="E880" s="13">
        <v>26932</v>
      </c>
      <c r="F880" s="14">
        <v>23</v>
      </c>
      <c r="G880" s="15">
        <v>31177</v>
      </c>
      <c r="H880" s="16">
        <v>0.05</v>
      </c>
      <c r="I880" s="13">
        <v>1</v>
      </c>
      <c r="J880" s="15">
        <v>35853.550000000003</v>
      </c>
      <c r="K880" s="15">
        <v>681217.45</v>
      </c>
      <c r="L880" s="15">
        <v>463400.5935934094</v>
      </c>
      <c r="M880" s="15">
        <v>217816.85640659061</v>
      </c>
    </row>
    <row r="881" spans="1:13" x14ac:dyDescent="0.25">
      <c r="A881" s="12">
        <v>45806</v>
      </c>
      <c r="B881" s="12" t="s">
        <v>19</v>
      </c>
      <c r="C881" s="12" t="s">
        <v>20</v>
      </c>
      <c r="D881" s="12" t="s">
        <v>22</v>
      </c>
      <c r="E881" s="13">
        <v>66827</v>
      </c>
      <c r="F881" s="14">
        <v>21</v>
      </c>
      <c r="G881" s="15">
        <v>21374</v>
      </c>
      <c r="H881" s="16">
        <v>0.15</v>
      </c>
      <c r="I881" s="13">
        <v>5</v>
      </c>
      <c r="J881" s="15">
        <v>67328.099999999991</v>
      </c>
      <c r="K881" s="15">
        <v>381525.9</v>
      </c>
      <c r="L881" s="15">
        <v>322777.70627093059</v>
      </c>
      <c r="M881" s="15">
        <v>58748.193729069433</v>
      </c>
    </row>
    <row r="882" spans="1:13" x14ac:dyDescent="0.25">
      <c r="A882" s="12">
        <v>45807</v>
      </c>
      <c r="B882" s="12" t="s">
        <v>19</v>
      </c>
      <c r="C882" s="12" t="s">
        <v>20</v>
      </c>
      <c r="D882" s="12" t="s">
        <v>15</v>
      </c>
      <c r="E882" s="13">
        <v>71431</v>
      </c>
      <c r="F882" s="14">
        <v>1</v>
      </c>
      <c r="G882" s="15">
        <v>8878</v>
      </c>
      <c r="H882" s="16">
        <v>0.1</v>
      </c>
      <c r="I882" s="13">
        <v>1</v>
      </c>
      <c r="J882" s="15">
        <v>887.80000000000007</v>
      </c>
      <c r="K882" s="15">
        <v>7990.2</v>
      </c>
      <c r="L882" s="15">
        <v>7180.6538180227708</v>
      </c>
      <c r="M882" s="15">
        <v>809.54618197722903</v>
      </c>
    </row>
    <row r="883" spans="1:13" x14ac:dyDescent="0.25">
      <c r="A883" s="12">
        <v>45808</v>
      </c>
      <c r="B883" s="12" t="s">
        <v>24</v>
      </c>
      <c r="C883" s="12" t="s">
        <v>23</v>
      </c>
      <c r="D883" s="12" t="s">
        <v>26</v>
      </c>
      <c r="E883" s="13">
        <v>34648</v>
      </c>
      <c r="F883" s="14">
        <v>21</v>
      </c>
      <c r="G883" s="15">
        <v>2097</v>
      </c>
      <c r="H883" s="16">
        <v>0.15</v>
      </c>
      <c r="I883" s="13">
        <v>5</v>
      </c>
      <c r="J883" s="15">
        <v>6605.55</v>
      </c>
      <c r="K883" s="15">
        <v>37431.449999999997</v>
      </c>
      <c r="L883" s="15">
        <v>23319.26722023508</v>
      </c>
      <c r="M883" s="15">
        <v>14112.182779764909</v>
      </c>
    </row>
    <row r="884" spans="1:13" x14ac:dyDescent="0.25">
      <c r="A884" s="12">
        <v>45809</v>
      </c>
      <c r="B884" s="12" t="s">
        <v>13</v>
      </c>
      <c r="C884" s="12" t="s">
        <v>20</v>
      </c>
      <c r="D884" s="12" t="s">
        <v>25</v>
      </c>
      <c r="E884" s="13">
        <v>42966</v>
      </c>
      <c r="F884" s="14">
        <v>27</v>
      </c>
      <c r="G884" s="15">
        <v>12100</v>
      </c>
      <c r="H884" s="16">
        <v>0.2</v>
      </c>
      <c r="I884" s="13">
        <v>3</v>
      </c>
      <c r="J884" s="15">
        <v>65340</v>
      </c>
      <c r="K884" s="15">
        <v>261360</v>
      </c>
      <c r="L884" s="15">
        <v>193905.73808756279</v>
      </c>
      <c r="M884" s="15">
        <v>67454.261912437243</v>
      </c>
    </row>
    <row r="885" spans="1:13" x14ac:dyDescent="0.25">
      <c r="A885" s="12">
        <v>45810</v>
      </c>
      <c r="B885" s="12" t="s">
        <v>16</v>
      </c>
      <c r="C885" s="12" t="s">
        <v>23</v>
      </c>
      <c r="D885" s="12" t="s">
        <v>15</v>
      </c>
      <c r="E885" s="13">
        <v>37777</v>
      </c>
      <c r="F885" s="14">
        <v>42</v>
      </c>
      <c r="G885" s="15">
        <v>4247</v>
      </c>
      <c r="H885" s="16">
        <v>0.05</v>
      </c>
      <c r="I885" s="13">
        <v>2</v>
      </c>
      <c r="J885" s="15">
        <v>8918.7000000000007</v>
      </c>
      <c r="K885" s="15">
        <v>169455.3</v>
      </c>
      <c r="L885" s="15">
        <v>142447.30548203399</v>
      </c>
      <c r="M885" s="15">
        <v>27007.994517965999</v>
      </c>
    </row>
    <row r="886" spans="1:13" x14ac:dyDescent="0.25">
      <c r="A886" s="12">
        <v>45811</v>
      </c>
      <c r="B886" s="12" t="s">
        <v>16</v>
      </c>
      <c r="C886" s="12" t="s">
        <v>14</v>
      </c>
      <c r="D886" s="12" t="s">
        <v>22</v>
      </c>
      <c r="E886" s="13">
        <v>42567</v>
      </c>
      <c r="F886" s="14">
        <v>6</v>
      </c>
      <c r="G886" s="15">
        <v>14379</v>
      </c>
      <c r="H886" s="16">
        <v>0</v>
      </c>
      <c r="I886" s="13">
        <v>4</v>
      </c>
      <c r="J886" s="15">
        <v>0</v>
      </c>
      <c r="K886" s="15">
        <v>86274</v>
      </c>
      <c r="L886" s="15">
        <v>72184.184894459511</v>
      </c>
      <c r="M886" s="15">
        <v>14089.815105540491</v>
      </c>
    </row>
    <row r="887" spans="1:13" x14ac:dyDescent="0.25">
      <c r="A887" s="12">
        <v>45812</v>
      </c>
      <c r="B887" s="12" t="s">
        <v>19</v>
      </c>
      <c r="C887" s="12" t="s">
        <v>21</v>
      </c>
      <c r="D887" s="12" t="s">
        <v>22</v>
      </c>
      <c r="E887" s="13">
        <v>27174</v>
      </c>
      <c r="F887" s="14">
        <v>44</v>
      </c>
      <c r="G887" s="15">
        <v>13517</v>
      </c>
      <c r="H887" s="16">
        <v>0.15</v>
      </c>
      <c r="I887" s="13">
        <v>5</v>
      </c>
      <c r="J887" s="15">
        <v>89212.2</v>
      </c>
      <c r="K887" s="15">
        <v>505535.8</v>
      </c>
      <c r="L887" s="15">
        <v>418583.2114303718</v>
      </c>
      <c r="M887" s="15">
        <v>86952.588569628191</v>
      </c>
    </row>
    <row r="888" spans="1:13" x14ac:dyDescent="0.25">
      <c r="A888" s="12">
        <v>45813</v>
      </c>
      <c r="B888" s="12" t="s">
        <v>19</v>
      </c>
      <c r="C888" s="12" t="s">
        <v>14</v>
      </c>
      <c r="D888" s="12" t="s">
        <v>18</v>
      </c>
      <c r="E888" s="13">
        <v>52598</v>
      </c>
      <c r="F888" s="14">
        <v>36</v>
      </c>
      <c r="G888" s="15">
        <v>25315</v>
      </c>
      <c r="H888" s="16">
        <v>0.05</v>
      </c>
      <c r="I888" s="13">
        <v>1</v>
      </c>
      <c r="J888" s="15">
        <v>45567</v>
      </c>
      <c r="K888" s="15">
        <v>865773</v>
      </c>
      <c r="L888" s="15">
        <v>610108.91763634235</v>
      </c>
      <c r="M888" s="15">
        <v>255664.08236365771</v>
      </c>
    </row>
    <row r="889" spans="1:13" x14ac:dyDescent="0.25">
      <c r="A889" s="12">
        <v>45814</v>
      </c>
      <c r="B889" s="12" t="s">
        <v>24</v>
      </c>
      <c r="C889" s="12" t="s">
        <v>20</v>
      </c>
      <c r="D889" s="12" t="s">
        <v>26</v>
      </c>
      <c r="E889" s="13">
        <v>69199</v>
      </c>
      <c r="F889" s="14">
        <v>28</v>
      </c>
      <c r="G889" s="15">
        <v>19464</v>
      </c>
      <c r="H889" s="16">
        <v>0</v>
      </c>
      <c r="I889" s="13">
        <v>5</v>
      </c>
      <c r="J889" s="15">
        <v>0</v>
      </c>
      <c r="K889" s="15">
        <v>544992</v>
      </c>
      <c r="L889" s="15">
        <v>401199.11805669242</v>
      </c>
      <c r="M889" s="15">
        <v>143792.88194330761</v>
      </c>
    </row>
    <row r="890" spans="1:13" x14ac:dyDescent="0.25">
      <c r="A890" s="12">
        <v>45815</v>
      </c>
      <c r="B890" s="12" t="s">
        <v>16</v>
      </c>
      <c r="C890" s="12" t="s">
        <v>14</v>
      </c>
      <c r="D890" s="12" t="s">
        <v>22</v>
      </c>
      <c r="E890" s="13">
        <v>23798</v>
      </c>
      <c r="F890" s="14">
        <v>45</v>
      </c>
      <c r="G890" s="15">
        <v>29312</v>
      </c>
      <c r="H890" s="16">
        <v>0.15</v>
      </c>
      <c r="I890" s="13">
        <v>5</v>
      </c>
      <c r="J890" s="15">
        <v>197856</v>
      </c>
      <c r="K890" s="15">
        <v>1121184</v>
      </c>
      <c r="L890" s="15">
        <v>872831.10082726169</v>
      </c>
      <c r="M890" s="15">
        <v>248352.89917273831</v>
      </c>
    </row>
    <row r="891" spans="1:13" x14ac:dyDescent="0.25">
      <c r="A891" s="12">
        <v>45816</v>
      </c>
      <c r="B891" s="12" t="s">
        <v>19</v>
      </c>
      <c r="C891" s="12" t="s">
        <v>14</v>
      </c>
      <c r="D891" s="12" t="s">
        <v>27</v>
      </c>
      <c r="E891" s="13">
        <v>75364</v>
      </c>
      <c r="F891" s="14">
        <v>17</v>
      </c>
      <c r="G891" s="15">
        <v>40700</v>
      </c>
      <c r="H891" s="16">
        <v>0.05</v>
      </c>
      <c r="I891" s="13">
        <v>1</v>
      </c>
      <c r="J891" s="15">
        <v>34595</v>
      </c>
      <c r="K891" s="15">
        <v>657305</v>
      </c>
      <c r="L891" s="15">
        <v>586435.80458568595</v>
      </c>
      <c r="M891" s="15">
        <v>70869.195414314047</v>
      </c>
    </row>
    <row r="892" spans="1:13" x14ac:dyDescent="0.25">
      <c r="A892" s="12">
        <v>45817</v>
      </c>
      <c r="B892" s="12" t="s">
        <v>13</v>
      </c>
      <c r="C892" s="12" t="s">
        <v>14</v>
      </c>
      <c r="D892" s="12" t="s">
        <v>25</v>
      </c>
      <c r="E892" s="13">
        <v>27558</v>
      </c>
      <c r="F892" s="14">
        <v>40</v>
      </c>
      <c r="G892" s="15">
        <v>25214</v>
      </c>
      <c r="H892" s="16">
        <v>0.1</v>
      </c>
      <c r="I892" s="13">
        <v>1</v>
      </c>
      <c r="J892" s="15">
        <v>100856</v>
      </c>
      <c r="K892" s="15">
        <v>907704</v>
      </c>
      <c r="L892" s="15">
        <v>633817.19040598616</v>
      </c>
      <c r="M892" s="15">
        <v>273886.80959401379</v>
      </c>
    </row>
    <row r="893" spans="1:13" x14ac:dyDescent="0.25">
      <c r="A893" s="12">
        <v>45818</v>
      </c>
      <c r="B893" s="12" t="s">
        <v>13</v>
      </c>
      <c r="C893" s="12" t="s">
        <v>20</v>
      </c>
      <c r="D893" s="12" t="s">
        <v>15</v>
      </c>
      <c r="E893" s="13">
        <v>71084</v>
      </c>
      <c r="F893" s="14">
        <v>3</v>
      </c>
      <c r="G893" s="15">
        <v>19390</v>
      </c>
      <c r="H893" s="16">
        <v>0.15</v>
      </c>
      <c r="I893" s="13">
        <v>2</v>
      </c>
      <c r="J893" s="15">
        <v>8725.5</v>
      </c>
      <c r="K893" s="15">
        <v>49444.5</v>
      </c>
      <c r="L893" s="15">
        <v>43360.016386864852</v>
      </c>
      <c r="M893" s="15">
        <v>6084.4836131351476</v>
      </c>
    </row>
    <row r="894" spans="1:13" x14ac:dyDescent="0.25">
      <c r="A894" s="12">
        <v>45819</v>
      </c>
      <c r="B894" s="12" t="s">
        <v>19</v>
      </c>
      <c r="C894" s="12" t="s">
        <v>14</v>
      </c>
      <c r="D894" s="12" t="s">
        <v>18</v>
      </c>
      <c r="E894" s="13">
        <v>54237</v>
      </c>
      <c r="F894" s="14">
        <v>12</v>
      </c>
      <c r="G894" s="15">
        <v>5225</v>
      </c>
      <c r="H894" s="16">
        <v>0.05</v>
      </c>
      <c r="I894" s="13">
        <v>4</v>
      </c>
      <c r="J894" s="15">
        <v>3135</v>
      </c>
      <c r="K894" s="15">
        <v>59565</v>
      </c>
      <c r="L894" s="15">
        <v>40552.273449426328</v>
      </c>
      <c r="M894" s="15">
        <v>19012.726550573669</v>
      </c>
    </row>
    <row r="895" spans="1:13" x14ac:dyDescent="0.25">
      <c r="A895" s="12">
        <v>45820</v>
      </c>
      <c r="B895" s="12" t="s">
        <v>19</v>
      </c>
      <c r="C895" s="12" t="s">
        <v>23</v>
      </c>
      <c r="D895" s="12" t="s">
        <v>25</v>
      </c>
      <c r="E895" s="13">
        <v>75497</v>
      </c>
      <c r="F895" s="14">
        <v>39</v>
      </c>
      <c r="G895" s="15">
        <v>43705</v>
      </c>
      <c r="H895" s="16">
        <v>0</v>
      </c>
      <c r="I895" s="13">
        <v>2</v>
      </c>
      <c r="J895" s="15">
        <v>0</v>
      </c>
      <c r="K895" s="15">
        <v>1704495</v>
      </c>
      <c r="L895" s="15">
        <v>1528458.744308281</v>
      </c>
      <c r="M895" s="15">
        <v>176036.2556917195</v>
      </c>
    </row>
    <row r="896" spans="1:13" x14ac:dyDescent="0.25">
      <c r="A896" s="12">
        <v>45821</v>
      </c>
      <c r="B896" s="12" t="s">
        <v>16</v>
      </c>
      <c r="C896" s="12" t="s">
        <v>20</v>
      </c>
      <c r="D896" s="12" t="s">
        <v>26</v>
      </c>
      <c r="E896" s="13">
        <v>10178</v>
      </c>
      <c r="F896" s="14">
        <v>12</v>
      </c>
      <c r="G896" s="15">
        <v>21184</v>
      </c>
      <c r="H896" s="16">
        <v>0.05</v>
      </c>
      <c r="I896" s="13">
        <v>2</v>
      </c>
      <c r="J896" s="15">
        <v>12710.4</v>
      </c>
      <c r="K896" s="15">
        <v>241497.60000000001</v>
      </c>
      <c r="L896" s="15">
        <v>193458.6815208045</v>
      </c>
      <c r="M896" s="15">
        <v>48038.918479195483</v>
      </c>
    </row>
    <row r="897" spans="1:13" x14ac:dyDescent="0.25">
      <c r="A897" s="12">
        <v>45822</v>
      </c>
      <c r="B897" s="12" t="s">
        <v>16</v>
      </c>
      <c r="C897" s="12" t="s">
        <v>14</v>
      </c>
      <c r="D897" s="12" t="s">
        <v>18</v>
      </c>
      <c r="E897" s="13">
        <v>96006</v>
      </c>
      <c r="F897" s="14">
        <v>2</v>
      </c>
      <c r="G897" s="15">
        <v>26825</v>
      </c>
      <c r="H897" s="16">
        <v>0.1</v>
      </c>
      <c r="I897" s="13">
        <v>1</v>
      </c>
      <c r="J897" s="15">
        <v>5365</v>
      </c>
      <c r="K897" s="15">
        <v>48285</v>
      </c>
      <c r="L897" s="15">
        <v>35685.195548733791</v>
      </c>
      <c r="M897" s="15">
        <v>12599.804451266211</v>
      </c>
    </row>
    <row r="898" spans="1:13" x14ac:dyDescent="0.25">
      <c r="A898" s="12">
        <v>45823</v>
      </c>
      <c r="B898" s="12" t="s">
        <v>24</v>
      </c>
      <c r="C898" s="12" t="s">
        <v>20</v>
      </c>
      <c r="D898" s="12" t="s">
        <v>15</v>
      </c>
      <c r="E898" s="13">
        <v>27118</v>
      </c>
      <c r="F898" s="14">
        <v>46</v>
      </c>
      <c r="G898" s="15">
        <v>33042</v>
      </c>
      <c r="H898" s="16">
        <v>0.15</v>
      </c>
      <c r="I898" s="13">
        <v>1</v>
      </c>
      <c r="J898" s="15">
        <v>227989.8</v>
      </c>
      <c r="K898" s="15">
        <v>1291942.2</v>
      </c>
      <c r="L898" s="15">
        <v>1012904.813727431</v>
      </c>
      <c r="M898" s="15">
        <v>279037.38627256942</v>
      </c>
    </row>
    <row r="899" spans="1:13" x14ac:dyDescent="0.25">
      <c r="A899" s="12">
        <v>45824</v>
      </c>
      <c r="B899" s="12" t="s">
        <v>16</v>
      </c>
      <c r="C899" s="12" t="s">
        <v>17</v>
      </c>
      <c r="D899" s="12" t="s">
        <v>15</v>
      </c>
      <c r="E899" s="13">
        <v>32616</v>
      </c>
      <c r="F899" s="14">
        <v>22</v>
      </c>
      <c r="G899" s="15">
        <v>46537</v>
      </c>
      <c r="H899" s="16">
        <v>0.15</v>
      </c>
      <c r="I899" s="13">
        <v>4</v>
      </c>
      <c r="J899" s="15">
        <v>153572.1</v>
      </c>
      <c r="K899" s="15">
        <v>870241.9</v>
      </c>
      <c r="L899" s="15">
        <v>593295.55270643125</v>
      </c>
      <c r="M899" s="15">
        <v>276946.34729356878</v>
      </c>
    </row>
    <row r="900" spans="1:13" x14ac:dyDescent="0.25">
      <c r="A900" s="12">
        <v>45825</v>
      </c>
      <c r="B900" s="12" t="s">
        <v>13</v>
      </c>
      <c r="C900" s="12" t="s">
        <v>23</v>
      </c>
      <c r="D900" s="12" t="s">
        <v>27</v>
      </c>
      <c r="E900" s="13">
        <v>10798</v>
      </c>
      <c r="F900" s="14">
        <v>23</v>
      </c>
      <c r="G900" s="15">
        <v>13592</v>
      </c>
      <c r="H900" s="16">
        <v>0.15</v>
      </c>
      <c r="I900" s="13">
        <v>5</v>
      </c>
      <c r="J900" s="15">
        <v>46892.4</v>
      </c>
      <c r="K900" s="15">
        <v>265723.59999999998</v>
      </c>
      <c r="L900" s="15">
        <v>181290.49933315019</v>
      </c>
      <c r="M900" s="15">
        <v>84433.100666849787</v>
      </c>
    </row>
    <row r="901" spans="1:13" x14ac:dyDescent="0.25">
      <c r="A901" s="12">
        <v>45826</v>
      </c>
      <c r="B901" s="12" t="s">
        <v>13</v>
      </c>
      <c r="C901" s="12" t="s">
        <v>14</v>
      </c>
      <c r="D901" s="12" t="s">
        <v>26</v>
      </c>
      <c r="E901" s="13">
        <v>17601</v>
      </c>
      <c r="F901" s="14">
        <v>30</v>
      </c>
      <c r="G901" s="15">
        <v>30882</v>
      </c>
      <c r="H901" s="16">
        <v>0.1</v>
      </c>
      <c r="I901" s="13">
        <v>2</v>
      </c>
      <c r="J901" s="15">
        <v>92646</v>
      </c>
      <c r="K901" s="15">
        <v>833814</v>
      </c>
      <c r="L901" s="15">
        <v>528693.41052609566</v>
      </c>
      <c r="M901" s="15">
        <v>305120.58947390429</v>
      </c>
    </row>
    <row r="902" spans="1:13" x14ac:dyDescent="0.25">
      <c r="A902" s="12">
        <v>45827</v>
      </c>
      <c r="B902" s="12" t="s">
        <v>19</v>
      </c>
      <c r="C902" s="12" t="s">
        <v>17</v>
      </c>
      <c r="D902" s="12" t="s">
        <v>18</v>
      </c>
      <c r="E902" s="13">
        <v>35363</v>
      </c>
      <c r="F902" s="14">
        <v>5</v>
      </c>
      <c r="G902" s="15">
        <v>40270</v>
      </c>
      <c r="H902" s="16">
        <v>0</v>
      </c>
      <c r="I902" s="13">
        <v>4</v>
      </c>
      <c r="J902" s="15">
        <v>0</v>
      </c>
      <c r="K902" s="15">
        <v>201350</v>
      </c>
      <c r="L902" s="15">
        <v>127699.2082328946</v>
      </c>
      <c r="M902" s="15">
        <v>73650.791767105387</v>
      </c>
    </row>
    <row r="903" spans="1:13" x14ac:dyDescent="0.25">
      <c r="A903" s="12">
        <v>45828</v>
      </c>
      <c r="B903" s="12" t="s">
        <v>16</v>
      </c>
      <c r="C903" s="12" t="s">
        <v>17</v>
      </c>
      <c r="D903" s="12" t="s">
        <v>18</v>
      </c>
      <c r="E903" s="13">
        <v>12795</v>
      </c>
      <c r="F903" s="14">
        <v>9</v>
      </c>
      <c r="G903" s="15">
        <v>25957</v>
      </c>
      <c r="H903" s="16">
        <v>0.15</v>
      </c>
      <c r="I903" s="13">
        <v>2</v>
      </c>
      <c r="J903" s="15">
        <v>35041.949999999997</v>
      </c>
      <c r="K903" s="15">
        <v>198571.05</v>
      </c>
      <c r="L903" s="15">
        <v>139853.89282764311</v>
      </c>
      <c r="M903" s="15">
        <v>58717.157172356907</v>
      </c>
    </row>
    <row r="904" spans="1:13" x14ac:dyDescent="0.25">
      <c r="A904" s="12">
        <v>45829</v>
      </c>
      <c r="B904" s="12" t="s">
        <v>24</v>
      </c>
      <c r="C904" s="12" t="s">
        <v>20</v>
      </c>
      <c r="D904" s="12" t="s">
        <v>22</v>
      </c>
      <c r="E904" s="13">
        <v>55264</v>
      </c>
      <c r="F904" s="14">
        <v>21</v>
      </c>
      <c r="G904" s="15">
        <v>6631</v>
      </c>
      <c r="H904" s="16">
        <v>0</v>
      </c>
      <c r="I904" s="13">
        <v>5</v>
      </c>
      <c r="J904" s="15">
        <v>0</v>
      </c>
      <c r="K904" s="15">
        <v>139251</v>
      </c>
      <c r="L904" s="15">
        <v>115419.1164457643</v>
      </c>
      <c r="M904" s="15">
        <v>23831.883554235701</v>
      </c>
    </row>
    <row r="905" spans="1:13" x14ac:dyDescent="0.25">
      <c r="A905" s="12">
        <v>45830</v>
      </c>
      <c r="B905" s="12" t="s">
        <v>13</v>
      </c>
      <c r="C905" s="12" t="s">
        <v>17</v>
      </c>
      <c r="D905" s="12" t="s">
        <v>27</v>
      </c>
      <c r="E905" s="13">
        <v>82833</v>
      </c>
      <c r="F905" s="14">
        <v>11</v>
      </c>
      <c r="G905" s="15">
        <v>46529</v>
      </c>
      <c r="H905" s="16">
        <v>0.05</v>
      </c>
      <c r="I905" s="13">
        <v>2</v>
      </c>
      <c r="J905" s="15">
        <v>25590.95</v>
      </c>
      <c r="K905" s="15">
        <v>486228.05</v>
      </c>
      <c r="L905" s="15">
        <v>380420.62058324332</v>
      </c>
      <c r="M905" s="15">
        <v>105807.4294167567</v>
      </c>
    </row>
    <row r="906" spans="1:13" x14ac:dyDescent="0.25">
      <c r="A906" s="12">
        <v>45831</v>
      </c>
      <c r="B906" s="12" t="s">
        <v>13</v>
      </c>
      <c r="C906" s="12" t="s">
        <v>23</v>
      </c>
      <c r="D906" s="12" t="s">
        <v>27</v>
      </c>
      <c r="E906" s="13">
        <v>13084</v>
      </c>
      <c r="F906" s="14">
        <v>5</v>
      </c>
      <c r="G906" s="15">
        <v>25715</v>
      </c>
      <c r="H906" s="16">
        <v>0</v>
      </c>
      <c r="I906" s="13">
        <v>3</v>
      </c>
      <c r="J906" s="15">
        <v>0</v>
      </c>
      <c r="K906" s="15">
        <v>128575</v>
      </c>
      <c r="L906" s="15">
        <v>81101.9429533683</v>
      </c>
      <c r="M906" s="15">
        <v>47473.0570466317</v>
      </c>
    </row>
    <row r="907" spans="1:13" x14ac:dyDescent="0.25">
      <c r="A907" s="12">
        <v>45832</v>
      </c>
      <c r="B907" s="12" t="s">
        <v>24</v>
      </c>
      <c r="C907" s="12" t="s">
        <v>23</v>
      </c>
      <c r="D907" s="12" t="s">
        <v>18</v>
      </c>
      <c r="E907" s="13">
        <v>86646</v>
      </c>
      <c r="F907" s="14">
        <v>35</v>
      </c>
      <c r="G907" s="15">
        <v>13112</v>
      </c>
      <c r="H907" s="16">
        <v>0</v>
      </c>
      <c r="I907" s="13">
        <v>4</v>
      </c>
      <c r="J907" s="15">
        <v>0</v>
      </c>
      <c r="K907" s="15">
        <v>458920</v>
      </c>
      <c r="L907" s="15">
        <v>392684.5158125835</v>
      </c>
      <c r="M907" s="15">
        <v>66235.484187416499</v>
      </c>
    </row>
    <row r="908" spans="1:13" x14ac:dyDescent="0.25">
      <c r="A908" s="12">
        <v>45833</v>
      </c>
      <c r="B908" s="12" t="s">
        <v>24</v>
      </c>
      <c r="C908" s="12" t="s">
        <v>21</v>
      </c>
      <c r="D908" s="12" t="s">
        <v>18</v>
      </c>
      <c r="E908" s="13">
        <v>10731</v>
      </c>
      <c r="F908" s="14">
        <v>27</v>
      </c>
      <c r="G908" s="15">
        <v>37805</v>
      </c>
      <c r="H908" s="16">
        <v>0.15</v>
      </c>
      <c r="I908" s="13">
        <v>1</v>
      </c>
      <c r="J908" s="15">
        <v>153110.25</v>
      </c>
      <c r="K908" s="15">
        <v>867624.75</v>
      </c>
      <c r="L908" s="15">
        <v>677103.28110760497</v>
      </c>
      <c r="M908" s="15">
        <v>190521.468892395</v>
      </c>
    </row>
    <row r="909" spans="1:13" x14ac:dyDescent="0.25">
      <c r="A909" s="12">
        <v>45834</v>
      </c>
      <c r="B909" s="12" t="s">
        <v>13</v>
      </c>
      <c r="C909" s="12" t="s">
        <v>23</v>
      </c>
      <c r="D909" s="12" t="s">
        <v>25</v>
      </c>
      <c r="E909" s="13">
        <v>11129</v>
      </c>
      <c r="F909" s="14">
        <v>49</v>
      </c>
      <c r="G909" s="15">
        <v>13591</v>
      </c>
      <c r="H909" s="16">
        <v>0.2</v>
      </c>
      <c r="I909" s="13">
        <v>2</v>
      </c>
      <c r="J909" s="15">
        <v>133191.79999999999</v>
      </c>
      <c r="K909" s="15">
        <v>532767.19999999995</v>
      </c>
      <c r="L909" s="15">
        <v>473234.02057440358</v>
      </c>
      <c r="M909" s="15">
        <v>59533.179425596318</v>
      </c>
    </row>
    <row r="910" spans="1:13" x14ac:dyDescent="0.25">
      <c r="A910" s="12">
        <v>45835</v>
      </c>
      <c r="B910" s="12" t="s">
        <v>13</v>
      </c>
      <c r="C910" s="12" t="s">
        <v>17</v>
      </c>
      <c r="D910" s="12" t="s">
        <v>25</v>
      </c>
      <c r="E910" s="13">
        <v>38022</v>
      </c>
      <c r="F910" s="14">
        <v>2</v>
      </c>
      <c r="G910" s="15">
        <v>35603</v>
      </c>
      <c r="H910" s="16">
        <v>0.2</v>
      </c>
      <c r="I910" s="13">
        <v>4</v>
      </c>
      <c r="J910" s="15">
        <v>14241.2</v>
      </c>
      <c r="K910" s="15">
        <v>56964.800000000003</v>
      </c>
      <c r="L910" s="15">
        <v>45631.974334195787</v>
      </c>
      <c r="M910" s="15">
        <v>11332.825665804219</v>
      </c>
    </row>
    <row r="911" spans="1:13" x14ac:dyDescent="0.25">
      <c r="A911" s="12">
        <v>45836</v>
      </c>
      <c r="B911" s="12" t="s">
        <v>24</v>
      </c>
      <c r="C911" s="12" t="s">
        <v>23</v>
      </c>
      <c r="D911" s="12" t="s">
        <v>25</v>
      </c>
      <c r="E911" s="13">
        <v>11605</v>
      </c>
      <c r="F911" s="14">
        <v>24</v>
      </c>
      <c r="G911" s="15">
        <v>37589</v>
      </c>
      <c r="H911" s="16">
        <v>0.1</v>
      </c>
      <c r="I911" s="13">
        <v>4</v>
      </c>
      <c r="J911" s="15">
        <v>90213.6</v>
      </c>
      <c r="K911" s="15">
        <v>811922.4</v>
      </c>
      <c r="L911" s="15">
        <v>529821.95872751146</v>
      </c>
      <c r="M911" s="15">
        <v>282100.44127248862</v>
      </c>
    </row>
    <row r="912" spans="1:13" x14ac:dyDescent="0.25">
      <c r="A912" s="12">
        <v>45837</v>
      </c>
      <c r="B912" s="12" t="s">
        <v>13</v>
      </c>
      <c r="C912" s="12" t="s">
        <v>20</v>
      </c>
      <c r="D912" s="12" t="s">
        <v>27</v>
      </c>
      <c r="E912" s="13">
        <v>87506</v>
      </c>
      <c r="F912" s="14">
        <v>31</v>
      </c>
      <c r="G912" s="15">
        <v>30259</v>
      </c>
      <c r="H912" s="16">
        <v>0.1</v>
      </c>
      <c r="I912" s="13">
        <v>2</v>
      </c>
      <c r="J912" s="15">
        <v>93802.900000000009</v>
      </c>
      <c r="K912" s="15">
        <v>844226.1</v>
      </c>
      <c r="L912" s="15">
        <v>626529.74406180589</v>
      </c>
      <c r="M912" s="15">
        <v>217696.35593819409</v>
      </c>
    </row>
    <row r="913" spans="1:13" x14ac:dyDescent="0.25">
      <c r="A913" s="12">
        <v>45838</v>
      </c>
      <c r="B913" s="12" t="s">
        <v>19</v>
      </c>
      <c r="C913" s="12" t="s">
        <v>21</v>
      </c>
      <c r="D913" s="12" t="s">
        <v>22</v>
      </c>
      <c r="E913" s="13">
        <v>54130</v>
      </c>
      <c r="F913" s="14">
        <v>33</v>
      </c>
      <c r="G913" s="15">
        <v>46522</v>
      </c>
      <c r="H913" s="16">
        <v>0.2</v>
      </c>
      <c r="I913" s="13">
        <v>1</v>
      </c>
      <c r="J913" s="15">
        <v>307045.2</v>
      </c>
      <c r="K913" s="15">
        <v>1228180.8</v>
      </c>
      <c r="L913" s="15">
        <v>975850.16944608104</v>
      </c>
      <c r="M913" s="15">
        <v>252330.63055391901</v>
      </c>
    </row>
    <row r="914" spans="1:13" x14ac:dyDescent="0.25">
      <c r="A914" s="12">
        <v>45839</v>
      </c>
      <c r="B914" s="12" t="s">
        <v>19</v>
      </c>
      <c r="C914" s="12" t="s">
        <v>17</v>
      </c>
      <c r="D914" s="12" t="s">
        <v>15</v>
      </c>
      <c r="E914" s="13">
        <v>39265</v>
      </c>
      <c r="F914" s="14">
        <v>39</v>
      </c>
      <c r="G914" s="15">
        <v>1059</v>
      </c>
      <c r="H914" s="16">
        <v>0.05</v>
      </c>
      <c r="I914" s="13">
        <v>1</v>
      </c>
      <c r="J914" s="15">
        <v>2065.0500000000002</v>
      </c>
      <c r="K914" s="15">
        <v>39235.949999999997</v>
      </c>
      <c r="L914" s="15">
        <v>23874.26771914856</v>
      </c>
      <c r="M914" s="15">
        <v>15361.682280851441</v>
      </c>
    </row>
    <row r="915" spans="1:13" x14ac:dyDescent="0.25">
      <c r="A915" s="12">
        <v>45840</v>
      </c>
      <c r="B915" s="12" t="s">
        <v>24</v>
      </c>
      <c r="C915" s="12" t="s">
        <v>21</v>
      </c>
      <c r="D915" s="12" t="s">
        <v>25</v>
      </c>
      <c r="E915" s="13">
        <v>42330</v>
      </c>
      <c r="F915" s="14">
        <v>30</v>
      </c>
      <c r="G915" s="15">
        <v>1213</v>
      </c>
      <c r="H915" s="16">
        <v>0.15</v>
      </c>
      <c r="I915" s="13">
        <v>2</v>
      </c>
      <c r="J915" s="15">
        <v>5458.5</v>
      </c>
      <c r="K915" s="15">
        <v>30931.5</v>
      </c>
      <c r="L915" s="15">
        <v>18697.259050711331</v>
      </c>
      <c r="M915" s="15">
        <v>12234.240949288671</v>
      </c>
    </row>
    <row r="916" spans="1:13" x14ac:dyDescent="0.25">
      <c r="A916" s="12">
        <v>45841</v>
      </c>
      <c r="B916" s="12" t="s">
        <v>16</v>
      </c>
      <c r="C916" s="12" t="s">
        <v>17</v>
      </c>
      <c r="D916" s="12" t="s">
        <v>22</v>
      </c>
      <c r="E916" s="13">
        <v>78469</v>
      </c>
      <c r="F916" s="14">
        <v>46</v>
      </c>
      <c r="G916" s="15">
        <v>37861</v>
      </c>
      <c r="H916" s="16">
        <v>0.15</v>
      </c>
      <c r="I916" s="13">
        <v>4</v>
      </c>
      <c r="J916" s="15">
        <v>261240.9</v>
      </c>
      <c r="K916" s="15">
        <v>1480365.1</v>
      </c>
      <c r="L916" s="15">
        <v>945688.1657764198</v>
      </c>
      <c r="M916" s="15">
        <v>534676.93422358029</v>
      </c>
    </row>
    <row r="917" spans="1:13" x14ac:dyDescent="0.25">
      <c r="A917" s="12">
        <v>45842</v>
      </c>
      <c r="B917" s="12" t="s">
        <v>24</v>
      </c>
      <c r="C917" s="12" t="s">
        <v>20</v>
      </c>
      <c r="D917" s="12" t="s">
        <v>26</v>
      </c>
      <c r="E917" s="13">
        <v>25187</v>
      </c>
      <c r="F917" s="14">
        <v>37</v>
      </c>
      <c r="G917" s="15">
        <v>15684</v>
      </c>
      <c r="H917" s="16">
        <v>0.05</v>
      </c>
      <c r="I917" s="13">
        <v>1</v>
      </c>
      <c r="J917" s="15">
        <v>29015.4</v>
      </c>
      <c r="K917" s="15">
        <v>551292.6</v>
      </c>
      <c r="L917" s="15">
        <v>372397.78221712459</v>
      </c>
      <c r="M917" s="15">
        <v>178894.81778287541</v>
      </c>
    </row>
    <row r="918" spans="1:13" x14ac:dyDescent="0.25">
      <c r="A918" s="12">
        <v>45843</v>
      </c>
      <c r="B918" s="12" t="s">
        <v>24</v>
      </c>
      <c r="C918" s="12" t="s">
        <v>21</v>
      </c>
      <c r="D918" s="12" t="s">
        <v>25</v>
      </c>
      <c r="E918" s="13">
        <v>35791</v>
      </c>
      <c r="F918" s="14">
        <v>28</v>
      </c>
      <c r="G918" s="15">
        <v>15761</v>
      </c>
      <c r="H918" s="16">
        <v>0.05</v>
      </c>
      <c r="I918" s="13">
        <v>2</v>
      </c>
      <c r="J918" s="15">
        <v>22065.4</v>
      </c>
      <c r="K918" s="15">
        <v>419242.6</v>
      </c>
      <c r="L918" s="15">
        <v>305571.14741175872</v>
      </c>
      <c r="M918" s="15">
        <v>113671.4525882413</v>
      </c>
    </row>
    <row r="919" spans="1:13" x14ac:dyDescent="0.25">
      <c r="A919" s="12">
        <v>45844</v>
      </c>
      <c r="B919" s="12" t="s">
        <v>16</v>
      </c>
      <c r="C919" s="12" t="s">
        <v>14</v>
      </c>
      <c r="D919" s="12" t="s">
        <v>15</v>
      </c>
      <c r="E919" s="13">
        <v>80610</v>
      </c>
      <c r="F919" s="14">
        <v>31</v>
      </c>
      <c r="G919" s="15">
        <v>20872</v>
      </c>
      <c r="H919" s="16">
        <v>0.2</v>
      </c>
      <c r="I919" s="13">
        <v>2</v>
      </c>
      <c r="J919" s="15">
        <v>129406.39999999999</v>
      </c>
      <c r="K919" s="15">
        <v>517625.59999999998</v>
      </c>
      <c r="L919" s="15">
        <v>386268.86030825839</v>
      </c>
      <c r="M919" s="15">
        <v>131356.73969174159</v>
      </c>
    </row>
    <row r="920" spans="1:13" x14ac:dyDescent="0.25">
      <c r="A920" s="12">
        <v>45845</v>
      </c>
      <c r="B920" s="12" t="s">
        <v>16</v>
      </c>
      <c r="C920" s="12" t="s">
        <v>17</v>
      </c>
      <c r="D920" s="12" t="s">
        <v>26</v>
      </c>
      <c r="E920" s="13">
        <v>49867</v>
      </c>
      <c r="F920" s="14">
        <v>11</v>
      </c>
      <c r="G920" s="15">
        <v>32640</v>
      </c>
      <c r="H920" s="16">
        <v>0.1</v>
      </c>
      <c r="I920" s="13">
        <v>2</v>
      </c>
      <c r="J920" s="15">
        <v>35904</v>
      </c>
      <c r="K920" s="15">
        <v>323136</v>
      </c>
      <c r="L920" s="15">
        <v>207262.10683252689</v>
      </c>
      <c r="M920" s="15">
        <v>115873.8931674731</v>
      </c>
    </row>
    <row r="921" spans="1:13" x14ac:dyDescent="0.25">
      <c r="A921" s="12">
        <v>45846</v>
      </c>
      <c r="B921" s="12" t="s">
        <v>16</v>
      </c>
      <c r="C921" s="12" t="s">
        <v>14</v>
      </c>
      <c r="D921" s="12" t="s">
        <v>26</v>
      </c>
      <c r="E921" s="13">
        <v>10893</v>
      </c>
      <c r="F921" s="14">
        <v>23</v>
      </c>
      <c r="G921" s="15">
        <v>33524</v>
      </c>
      <c r="H921" s="16">
        <v>0.05</v>
      </c>
      <c r="I921" s="13">
        <v>4</v>
      </c>
      <c r="J921" s="15">
        <v>38552.6</v>
      </c>
      <c r="K921" s="15">
        <v>732499.4</v>
      </c>
      <c r="L921" s="15">
        <v>587477.3183002196</v>
      </c>
      <c r="M921" s="15">
        <v>145022.08169978039</v>
      </c>
    </row>
    <row r="922" spans="1:13" x14ac:dyDescent="0.25">
      <c r="A922" s="12">
        <v>45847</v>
      </c>
      <c r="B922" s="12" t="s">
        <v>19</v>
      </c>
      <c r="C922" s="12" t="s">
        <v>21</v>
      </c>
      <c r="D922" s="12" t="s">
        <v>15</v>
      </c>
      <c r="E922" s="13">
        <v>29773</v>
      </c>
      <c r="F922" s="14">
        <v>2</v>
      </c>
      <c r="G922" s="15">
        <v>47842</v>
      </c>
      <c r="H922" s="16">
        <v>0.1</v>
      </c>
      <c r="I922" s="13">
        <v>1</v>
      </c>
      <c r="J922" s="15">
        <v>9568.4</v>
      </c>
      <c r="K922" s="15">
        <v>86115.6</v>
      </c>
      <c r="L922" s="15">
        <v>67070.396059750245</v>
      </c>
      <c r="M922" s="15">
        <v>19045.203940249761</v>
      </c>
    </row>
    <row r="923" spans="1:13" x14ac:dyDescent="0.25">
      <c r="A923" s="12">
        <v>45848</v>
      </c>
      <c r="B923" s="12" t="s">
        <v>13</v>
      </c>
      <c r="C923" s="12" t="s">
        <v>14</v>
      </c>
      <c r="D923" s="12" t="s">
        <v>25</v>
      </c>
      <c r="E923" s="13">
        <v>14239</v>
      </c>
      <c r="F923" s="14">
        <v>40</v>
      </c>
      <c r="G923" s="15">
        <v>33044</v>
      </c>
      <c r="H923" s="16">
        <v>0</v>
      </c>
      <c r="I923" s="13">
        <v>4</v>
      </c>
      <c r="J923" s="15">
        <v>0</v>
      </c>
      <c r="K923" s="15">
        <v>1321760</v>
      </c>
      <c r="L923" s="15">
        <v>909819.26018528757</v>
      </c>
      <c r="M923" s="15">
        <v>411940.73981471237</v>
      </c>
    </row>
    <row r="924" spans="1:13" x14ac:dyDescent="0.25">
      <c r="A924" s="12">
        <v>45849</v>
      </c>
      <c r="B924" s="12" t="s">
        <v>19</v>
      </c>
      <c r="C924" s="12" t="s">
        <v>14</v>
      </c>
      <c r="D924" s="12" t="s">
        <v>27</v>
      </c>
      <c r="E924" s="13">
        <v>30863</v>
      </c>
      <c r="F924" s="14">
        <v>41</v>
      </c>
      <c r="G924" s="15">
        <v>537</v>
      </c>
      <c r="H924" s="16">
        <v>0.15</v>
      </c>
      <c r="I924" s="13">
        <v>3</v>
      </c>
      <c r="J924" s="15">
        <v>3302.55</v>
      </c>
      <c r="K924" s="15">
        <v>18714.45</v>
      </c>
      <c r="L924" s="15">
        <v>11305.36116166668</v>
      </c>
      <c r="M924" s="15">
        <v>7409.0888383333204</v>
      </c>
    </row>
    <row r="925" spans="1:13" x14ac:dyDescent="0.25">
      <c r="A925" s="12">
        <v>45850</v>
      </c>
      <c r="B925" s="12" t="s">
        <v>13</v>
      </c>
      <c r="C925" s="12" t="s">
        <v>21</v>
      </c>
      <c r="D925" s="12" t="s">
        <v>15</v>
      </c>
      <c r="E925" s="13">
        <v>61415</v>
      </c>
      <c r="F925" s="14">
        <v>27</v>
      </c>
      <c r="G925" s="15">
        <v>43532</v>
      </c>
      <c r="H925" s="16">
        <v>0.2</v>
      </c>
      <c r="I925" s="13">
        <v>1</v>
      </c>
      <c r="J925" s="15">
        <v>235072.8</v>
      </c>
      <c r="K925" s="15">
        <v>940291.2</v>
      </c>
      <c r="L925" s="15">
        <v>586078.2154515133</v>
      </c>
      <c r="M925" s="15">
        <v>354212.98454848671</v>
      </c>
    </row>
    <row r="926" spans="1:13" x14ac:dyDescent="0.25">
      <c r="A926" s="12">
        <v>45851</v>
      </c>
      <c r="B926" s="12" t="s">
        <v>19</v>
      </c>
      <c r="C926" s="12" t="s">
        <v>20</v>
      </c>
      <c r="D926" s="12" t="s">
        <v>15</v>
      </c>
      <c r="E926" s="13">
        <v>78968</v>
      </c>
      <c r="F926" s="14">
        <v>35</v>
      </c>
      <c r="G926" s="15">
        <v>13197</v>
      </c>
      <c r="H926" s="16">
        <v>0.15</v>
      </c>
      <c r="I926" s="13">
        <v>4</v>
      </c>
      <c r="J926" s="15">
        <v>69284.25</v>
      </c>
      <c r="K926" s="15">
        <v>392610.75</v>
      </c>
      <c r="L926" s="15">
        <v>281701.52387531771</v>
      </c>
      <c r="M926" s="15">
        <v>110909.2261246823</v>
      </c>
    </row>
    <row r="927" spans="1:13" x14ac:dyDescent="0.25">
      <c r="A927" s="12">
        <v>45852</v>
      </c>
      <c r="B927" s="12" t="s">
        <v>13</v>
      </c>
      <c r="C927" s="12" t="s">
        <v>14</v>
      </c>
      <c r="D927" s="12" t="s">
        <v>15</v>
      </c>
      <c r="E927" s="13">
        <v>70430</v>
      </c>
      <c r="F927" s="14">
        <v>2</v>
      </c>
      <c r="G927" s="15">
        <v>41920</v>
      </c>
      <c r="H927" s="16">
        <v>0.2</v>
      </c>
      <c r="I927" s="13">
        <v>1</v>
      </c>
      <c r="J927" s="15">
        <v>16768</v>
      </c>
      <c r="K927" s="15">
        <v>67072</v>
      </c>
      <c r="L927" s="15">
        <v>43341.410304415433</v>
      </c>
      <c r="M927" s="15">
        <v>23730.589695584571</v>
      </c>
    </row>
    <row r="928" spans="1:13" x14ac:dyDescent="0.25">
      <c r="A928" s="12">
        <v>45853</v>
      </c>
      <c r="B928" s="12" t="s">
        <v>19</v>
      </c>
      <c r="C928" s="12" t="s">
        <v>14</v>
      </c>
      <c r="D928" s="12" t="s">
        <v>26</v>
      </c>
      <c r="E928" s="13">
        <v>11515</v>
      </c>
      <c r="F928" s="14">
        <v>39</v>
      </c>
      <c r="G928" s="15">
        <v>49198</v>
      </c>
      <c r="H928" s="16">
        <v>0</v>
      </c>
      <c r="I928" s="13">
        <v>3</v>
      </c>
      <c r="J928" s="15">
        <v>0</v>
      </c>
      <c r="K928" s="15">
        <v>1918722</v>
      </c>
      <c r="L928" s="15">
        <v>1368136.8205042339</v>
      </c>
      <c r="M928" s="15">
        <v>550585.17949576606</v>
      </c>
    </row>
    <row r="929" spans="1:13" x14ac:dyDescent="0.25">
      <c r="A929" s="12">
        <v>45854</v>
      </c>
      <c r="B929" s="12" t="s">
        <v>16</v>
      </c>
      <c r="C929" s="12" t="s">
        <v>20</v>
      </c>
      <c r="D929" s="12" t="s">
        <v>22</v>
      </c>
      <c r="E929" s="13">
        <v>24605</v>
      </c>
      <c r="F929" s="14">
        <v>37</v>
      </c>
      <c r="G929" s="15">
        <v>32207</v>
      </c>
      <c r="H929" s="16">
        <v>0.15</v>
      </c>
      <c r="I929" s="13">
        <v>5</v>
      </c>
      <c r="J929" s="15">
        <v>178748.85</v>
      </c>
      <c r="K929" s="15">
        <v>1012910.15</v>
      </c>
      <c r="L929" s="15">
        <v>798633.85084859235</v>
      </c>
      <c r="M929" s="15">
        <v>214276.2991514077</v>
      </c>
    </row>
    <row r="930" spans="1:13" x14ac:dyDescent="0.25">
      <c r="A930" s="12">
        <v>45855</v>
      </c>
      <c r="B930" s="12" t="s">
        <v>24</v>
      </c>
      <c r="C930" s="12" t="s">
        <v>14</v>
      </c>
      <c r="D930" s="12" t="s">
        <v>27</v>
      </c>
      <c r="E930" s="13">
        <v>66240</v>
      </c>
      <c r="F930" s="14">
        <v>21</v>
      </c>
      <c r="G930" s="15">
        <v>26516</v>
      </c>
      <c r="H930" s="16">
        <v>0</v>
      </c>
      <c r="I930" s="13">
        <v>2</v>
      </c>
      <c r="J930" s="15">
        <v>0</v>
      </c>
      <c r="K930" s="15">
        <v>556836</v>
      </c>
      <c r="L930" s="15">
        <v>425518.05011717661</v>
      </c>
      <c r="M930" s="15">
        <v>131317.94988282339</v>
      </c>
    </row>
    <row r="931" spans="1:13" x14ac:dyDescent="0.25">
      <c r="A931" s="12">
        <v>45856</v>
      </c>
      <c r="B931" s="12" t="s">
        <v>19</v>
      </c>
      <c r="C931" s="12" t="s">
        <v>14</v>
      </c>
      <c r="D931" s="12" t="s">
        <v>25</v>
      </c>
      <c r="E931" s="13">
        <v>15586</v>
      </c>
      <c r="F931" s="14">
        <v>5</v>
      </c>
      <c r="G931" s="15">
        <v>35100</v>
      </c>
      <c r="H931" s="16">
        <v>0.2</v>
      </c>
      <c r="I931" s="13">
        <v>4</v>
      </c>
      <c r="J931" s="15">
        <v>35100</v>
      </c>
      <c r="K931" s="15">
        <v>140400</v>
      </c>
      <c r="L931" s="15">
        <v>93977.12819774705</v>
      </c>
      <c r="M931" s="15">
        <v>46422.87180225295</v>
      </c>
    </row>
    <row r="932" spans="1:13" x14ac:dyDescent="0.25">
      <c r="A932" s="12">
        <v>45857</v>
      </c>
      <c r="B932" s="12" t="s">
        <v>13</v>
      </c>
      <c r="C932" s="12" t="s">
        <v>14</v>
      </c>
      <c r="D932" s="12" t="s">
        <v>25</v>
      </c>
      <c r="E932" s="13">
        <v>41186</v>
      </c>
      <c r="F932" s="14">
        <v>45</v>
      </c>
      <c r="G932" s="15">
        <v>48785</v>
      </c>
      <c r="H932" s="16">
        <v>0.05</v>
      </c>
      <c r="I932" s="13">
        <v>3</v>
      </c>
      <c r="J932" s="15">
        <v>109766.25</v>
      </c>
      <c r="K932" s="15">
        <v>2085558.75</v>
      </c>
      <c r="L932" s="15">
        <v>1466453.8515274471</v>
      </c>
      <c r="M932" s="15">
        <v>619104.89847255312</v>
      </c>
    </row>
    <row r="933" spans="1:13" x14ac:dyDescent="0.25">
      <c r="A933" s="12">
        <v>45858</v>
      </c>
      <c r="B933" s="12" t="s">
        <v>16</v>
      </c>
      <c r="C933" s="12" t="s">
        <v>23</v>
      </c>
      <c r="D933" s="12" t="s">
        <v>22</v>
      </c>
      <c r="E933" s="13">
        <v>36928</v>
      </c>
      <c r="F933" s="14">
        <v>21</v>
      </c>
      <c r="G933" s="15">
        <v>24484</v>
      </c>
      <c r="H933" s="16">
        <v>0.15</v>
      </c>
      <c r="I933" s="13">
        <v>3</v>
      </c>
      <c r="J933" s="15">
        <v>77124.599999999991</v>
      </c>
      <c r="K933" s="15">
        <v>437039.4</v>
      </c>
      <c r="L933" s="15">
        <v>342730.38796538382</v>
      </c>
      <c r="M933" s="15">
        <v>94309.012034616258</v>
      </c>
    </row>
    <row r="934" spans="1:13" x14ac:dyDescent="0.25">
      <c r="A934" s="12">
        <v>45859</v>
      </c>
      <c r="B934" s="12" t="s">
        <v>19</v>
      </c>
      <c r="C934" s="12" t="s">
        <v>20</v>
      </c>
      <c r="D934" s="12" t="s">
        <v>15</v>
      </c>
      <c r="E934" s="13">
        <v>93087</v>
      </c>
      <c r="F934" s="14">
        <v>29</v>
      </c>
      <c r="G934" s="15">
        <v>5667</v>
      </c>
      <c r="H934" s="16">
        <v>0</v>
      </c>
      <c r="I934" s="13">
        <v>1</v>
      </c>
      <c r="J934" s="15">
        <v>0</v>
      </c>
      <c r="K934" s="15">
        <v>164343</v>
      </c>
      <c r="L934" s="15">
        <v>141048.44936212341</v>
      </c>
      <c r="M934" s="15">
        <v>23294.55063787664</v>
      </c>
    </row>
    <row r="935" spans="1:13" x14ac:dyDescent="0.25">
      <c r="A935" s="12">
        <v>45860</v>
      </c>
      <c r="B935" s="12" t="s">
        <v>19</v>
      </c>
      <c r="C935" s="12" t="s">
        <v>14</v>
      </c>
      <c r="D935" s="12" t="s">
        <v>27</v>
      </c>
      <c r="E935" s="13">
        <v>97029</v>
      </c>
      <c r="F935" s="14">
        <v>20</v>
      </c>
      <c r="G935" s="15">
        <v>932</v>
      </c>
      <c r="H935" s="16">
        <v>0.15</v>
      </c>
      <c r="I935" s="13">
        <v>1</v>
      </c>
      <c r="J935" s="15">
        <v>2796</v>
      </c>
      <c r="K935" s="15">
        <v>15844</v>
      </c>
      <c r="L935" s="15">
        <v>13086.57411701363</v>
      </c>
      <c r="M935" s="15">
        <v>2757.4258829863679</v>
      </c>
    </row>
    <row r="936" spans="1:13" x14ac:dyDescent="0.25">
      <c r="A936" s="12">
        <v>45861</v>
      </c>
      <c r="B936" s="12" t="s">
        <v>16</v>
      </c>
      <c r="C936" s="12" t="s">
        <v>20</v>
      </c>
      <c r="D936" s="12" t="s">
        <v>25</v>
      </c>
      <c r="E936" s="13">
        <v>30711</v>
      </c>
      <c r="F936" s="14">
        <v>38</v>
      </c>
      <c r="G936" s="15">
        <v>4651</v>
      </c>
      <c r="H936" s="16">
        <v>0.15</v>
      </c>
      <c r="I936" s="13">
        <v>2</v>
      </c>
      <c r="J936" s="15">
        <v>26510.7</v>
      </c>
      <c r="K936" s="15">
        <v>150227.29999999999</v>
      </c>
      <c r="L936" s="15">
        <v>115077.1175553334</v>
      </c>
      <c r="M936" s="15">
        <v>35150.182444666563</v>
      </c>
    </row>
    <row r="937" spans="1:13" x14ac:dyDescent="0.25">
      <c r="A937" s="12">
        <v>45862</v>
      </c>
      <c r="B937" s="12" t="s">
        <v>19</v>
      </c>
      <c r="C937" s="12" t="s">
        <v>17</v>
      </c>
      <c r="D937" s="12" t="s">
        <v>18</v>
      </c>
      <c r="E937" s="13">
        <v>64962</v>
      </c>
      <c r="F937" s="14">
        <v>20</v>
      </c>
      <c r="G937" s="15">
        <v>48180</v>
      </c>
      <c r="H937" s="16">
        <v>0.15</v>
      </c>
      <c r="I937" s="13">
        <v>1</v>
      </c>
      <c r="J937" s="15">
        <v>144540</v>
      </c>
      <c r="K937" s="15">
        <v>819060</v>
      </c>
      <c r="L937" s="15">
        <v>580457.91096033028</v>
      </c>
      <c r="M937" s="15">
        <v>238602.08903966969</v>
      </c>
    </row>
    <row r="938" spans="1:13" x14ac:dyDescent="0.25">
      <c r="A938" s="12">
        <v>45863</v>
      </c>
      <c r="B938" s="12" t="s">
        <v>24</v>
      </c>
      <c r="C938" s="12" t="s">
        <v>17</v>
      </c>
      <c r="D938" s="12" t="s">
        <v>25</v>
      </c>
      <c r="E938" s="13">
        <v>30039</v>
      </c>
      <c r="F938" s="14">
        <v>25</v>
      </c>
      <c r="G938" s="15">
        <v>6911</v>
      </c>
      <c r="H938" s="16">
        <v>0.1</v>
      </c>
      <c r="I938" s="13">
        <v>4</v>
      </c>
      <c r="J938" s="15">
        <v>17277.5</v>
      </c>
      <c r="K938" s="15">
        <v>155497.5</v>
      </c>
      <c r="L938" s="15">
        <v>110327.8683088671</v>
      </c>
      <c r="M938" s="15">
        <v>45169.631691132927</v>
      </c>
    </row>
    <row r="939" spans="1:13" x14ac:dyDescent="0.25">
      <c r="A939" s="12">
        <v>45864</v>
      </c>
      <c r="B939" s="12" t="s">
        <v>19</v>
      </c>
      <c r="C939" s="12" t="s">
        <v>14</v>
      </c>
      <c r="D939" s="12" t="s">
        <v>15</v>
      </c>
      <c r="E939" s="13">
        <v>46561</v>
      </c>
      <c r="F939" s="14">
        <v>2</v>
      </c>
      <c r="G939" s="15">
        <v>31288</v>
      </c>
      <c r="H939" s="16">
        <v>0</v>
      </c>
      <c r="I939" s="13">
        <v>4</v>
      </c>
      <c r="J939" s="15">
        <v>0</v>
      </c>
      <c r="K939" s="15">
        <v>62576</v>
      </c>
      <c r="L939" s="15">
        <v>54054.725282131447</v>
      </c>
      <c r="M939" s="15">
        <v>8521.2747178685458</v>
      </c>
    </row>
    <row r="940" spans="1:13" x14ac:dyDescent="0.25">
      <c r="A940" s="12">
        <v>45865</v>
      </c>
      <c r="B940" s="12" t="s">
        <v>24</v>
      </c>
      <c r="C940" s="12" t="s">
        <v>20</v>
      </c>
      <c r="D940" s="12" t="s">
        <v>18</v>
      </c>
      <c r="E940" s="13">
        <v>85483</v>
      </c>
      <c r="F940" s="14">
        <v>32</v>
      </c>
      <c r="G940" s="15">
        <v>27123</v>
      </c>
      <c r="H940" s="16">
        <v>0</v>
      </c>
      <c r="I940" s="13">
        <v>4</v>
      </c>
      <c r="J940" s="15">
        <v>0</v>
      </c>
      <c r="K940" s="15">
        <v>867936</v>
      </c>
      <c r="L940" s="15">
        <v>530979.8737242982</v>
      </c>
      <c r="M940" s="15">
        <v>336956.1262757018</v>
      </c>
    </row>
    <row r="941" spans="1:13" x14ac:dyDescent="0.25">
      <c r="A941" s="12">
        <v>45866</v>
      </c>
      <c r="B941" s="12" t="s">
        <v>24</v>
      </c>
      <c r="C941" s="12" t="s">
        <v>20</v>
      </c>
      <c r="D941" s="12" t="s">
        <v>22</v>
      </c>
      <c r="E941" s="13">
        <v>91395</v>
      </c>
      <c r="F941" s="14">
        <v>26</v>
      </c>
      <c r="G941" s="15">
        <v>22604</v>
      </c>
      <c r="H941" s="16">
        <v>0.15</v>
      </c>
      <c r="I941" s="13">
        <v>5</v>
      </c>
      <c r="J941" s="15">
        <v>88155.599999999991</v>
      </c>
      <c r="K941" s="15">
        <v>499548.4</v>
      </c>
      <c r="L941" s="15">
        <v>447792.5847743731</v>
      </c>
      <c r="M941" s="15">
        <v>51755.815225626917</v>
      </c>
    </row>
    <row r="942" spans="1:13" x14ac:dyDescent="0.25">
      <c r="A942" s="12">
        <v>45867</v>
      </c>
      <c r="B942" s="12" t="s">
        <v>16</v>
      </c>
      <c r="C942" s="12" t="s">
        <v>20</v>
      </c>
      <c r="D942" s="12" t="s">
        <v>27</v>
      </c>
      <c r="E942" s="13">
        <v>98658</v>
      </c>
      <c r="F942" s="14">
        <v>6</v>
      </c>
      <c r="G942" s="15">
        <v>756</v>
      </c>
      <c r="H942" s="16">
        <v>0.05</v>
      </c>
      <c r="I942" s="13">
        <v>4</v>
      </c>
      <c r="J942" s="15">
        <v>226.8</v>
      </c>
      <c r="K942" s="15">
        <v>4309.2</v>
      </c>
      <c r="L942" s="15">
        <v>3444.397956132465</v>
      </c>
      <c r="M942" s="15">
        <v>864.80204386753439</v>
      </c>
    </row>
    <row r="943" spans="1:13" x14ac:dyDescent="0.25">
      <c r="A943" s="12">
        <v>45868</v>
      </c>
      <c r="B943" s="12" t="s">
        <v>19</v>
      </c>
      <c r="C943" s="12" t="s">
        <v>23</v>
      </c>
      <c r="D943" s="12" t="s">
        <v>22</v>
      </c>
      <c r="E943" s="13">
        <v>11577</v>
      </c>
      <c r="F943" s="14">
        <v>41</v>
      </c>
      <c r="G943" s="15">
        <v>33939</v>
      </c>
      <c r="H943" s="16">
        <v>0.15</v>
      </c>
      <c r="I943" s="13">
        <v>1</v>
      </c>
      <c r="J943" s="15">
        <v>208724.85</v>
      </c>
      <c r="K943" s="15">
        <v>1182774.1499999999</v>
      </c>
      <c r="L943" s="15">
        <v>951354.10891599068</v>
      </c>
      <c r="M943" s="15">
        <v>231420.04108400919</v>
      </c>
    </row>
    <row r="944" spans="1:13" x14ac:dyDescent="0.25">
      <c r="A944" s="12">
        <v>45869</v>
      </c>
      <c r="B944" s="12" t="s">
        <v>16</v>
      </c>
      <c r="C944" s="12" t="s">
        <v>17</v>
      </c>
      <c r="D944" s="12" t="s">
        <v>22</v>
      </c>
      <c r="E944" s="13">
        <v>38350</v>
      </c>
      <c r="F944" s="14">
        <v>3</v>
      </c>
      <c r="G944" s="15">
        <v>33757</v>
      </c>
      <c r="H944" s="16">
        <v>0.1</v>
      </c>
      <c r="I944" s="13">
        <v>1</v>
      </c>
      <c r="J944" s="15">
        <v>10127.1</v>
      </c>
      <c r="K944" s="15">
        <v>91143.9</v>
      </c>
      <c r="L944" s="15">
        <v>55725.321325055898</v>
      </c>
      <c r="M944" s="15">
        <v>35418.578674944103</v>
      </c>
    </row>
    <row r="945" spans="1:13" x14ac:dyDescent="0.25">
      <c r="A945" s="12">
        <v>45870</v>
      </c>
      <c r="B945" s="12" t="s">
        <v>19</v>
      </c>
      <c r="C945" s="12" t="s">
        <v>20</v>
      </c>
      <c r="D945" s="12" t="s">
        <v>27</v>
      </c>
      <c r="E945" s="13">
        <v>43798</v>
      </c>
      <c r="F945" s="14">
        <v>33</v>
      </c>
      <c r="G945" s="15">
        <v>40157</v>
      </c>
      <c r="H945" s="16">
        <v>0.2</v>
      </c>
      <c r="I945" s="13">
        <v>4</v>
      </c>
      <c r="J945" s="15">
        <v>265036.2</v>
      </c>
      <c r="K945" s="15">
        <v>1060144.8</v>
      </c>
      <c r="L945" s="15">
        <v>828671.49360712583</v>
      </c>
      <c r="M945" s="15">
        <v>231473.30639287419</v>
      </c>
    </row>
    <row r="946" spans="1:13" x14ac:dyDescent="0.25">
      <c r="A946" s="12">
        <v>45871</v>
      </c>
      <c r="B946" s="12" t="s">
        <v>19</v>
      </c>
      <c r="C946" s="12" t="s">
        <v>20</v>
      </c>
      <c r="D946" s="12" t="s">
        <v>27</v>
      </c>
      <c r="E946" s="13">
        <v>91417</v>
      </c>
      <c r="F946" s="14">
        <v>1</v>
      </c>
      <c r="G946" s="15">
        <v>45174</v>
      </c>
      <c r="H946" s="16">
        <v>0.1</v>
      </c>
      <c r="I946" s="13">
        <v>3</v>
      </c>
      <c r="J946" s="15">
        <v>4517.4000000000005</v>
      </c>
      <c r="K946" s="15">
        <v>40656.6</v>
      </c>
      <c r="L946" s="15">
        <v>30306.78830336198</v>
      </c>
      <c r="M946" s="15">
        <v>10349.81169663802</v>
      </c>
    </row>
    <row r="947" spans="1:13" x14ac:dyDescent="0.25">
      <c r="A947" s="12">
        <v>45872</v>
      </c>
      <c r="B947" s="12" t="s">
        <v>13</v>
      </c>
      <c r="C947" s="12" t="s">
        <v>23</v>
      </c>
      <c r="D947" s="12" t="s">
        <v>25</v>
      </c>
      <c r="E947" s="13">
        <v>20785</v>
      </c>
      <c r="F947" s="14">
        <v>5</v>
      </c>
      <c r="G947" s="15">
        <v>18566</v>
      </c>
      <c r="H947" s="16">
        <v>0.05</v>
      </c>
      <c r="I947" s="13">
        <v>3</v>
      </c>
      <c r="J947" s="15">
        <v>4641.5</v>
      </c>
      <c r="K947" s="15">
        <v>88188.5</v>
      </c>
      <c r="L947" s="15">
        <v>55711.644939188227</v>
      </c>
      <c r="M947" s="15">
        <v>32476.855060811769</v>
      </c>
    </row>
    <row r="948" spans="1:13" x14ac:dyDescent="0.25">
      <c r="A948" s="12">
        <v>45873</v>
      </c>
      <c r="B948" s="12" t="s">
        <v>19</v>
      </c>
      <c r="C948" s="12" t="s">
        <v>23</v>
      </c>
      <c r="D948" s="12" t="s">
        <v>25</v>
      </c>
      <c r="E948" s="13">
        <v>82227</v>
      </c>
      <c r="F948" s="14">
        <v>13</v>
      </c>
      <c r="G948" s="15">
        <v>45871</v>
      </c>
      <c r="H948" s="16">
        <v>0.15</v>
      </c>
      <c r="I948" s="13">
        <v>3</v>
      </c>
      <c r="J948" s="15">
        <v>89448.45</v>
      </c>
      <c r="K948" s="15">
        <v>506874.55</v>
      </c>
      <c r="L948" s="15">
        <v>346386.20824314421</v>
      </c>
      <c r="M948" s="15">
        <v>160488.34175685581</v>
      </c>
    </row>
    <row r="949" spans="1:13" x14ac:dyDescent="0.25">
      <c r="A949" s="12">
        <v>45874</v>
      </c>
      <c r="B949" s="12" t="s">
        <v>16</v>
      </c>
      <c r="C949" s="12" t="s">
        <v>20</v>
      </c>
      <c r="D949" s="12" t="s">
        <v>27</v>
      </c>
      <c r="E949" s="13">
        <v>71957</v>
      </c>
      <c r="F949" s="14">
        <v>19</v>
      </c>
      <c r="G949" s="15">
        <v>33246</v>
      </c>
      <c r="H949" s="16">
        <v>0</v>
      </c>
      <c r="I949" s="13">
        <v>2</v>
      </c>
      <c r="J949" s="15">
        <v>0</v>
      </c>
      <c r="K949" s="15">
        <v>631674</v>
      </c>
      <c r="L949" s="15">
        <v>547720.9481442906</v>
      </c>
      <c r="M949" s="15">
        <v>83953.051855709404</v>
      </c>
    </row>
    <row r="950" spans="1:13" x14ac:dyDescent="0.25">
      <c r="A950" s="12">
        <v>45875</v>
      </c>
      <c r="B950" s="12" t="s">
        <v>24</v>
      </c>
      <c r="C950" s="12" t="s">
        <v>21</v>
      </c>
      <c r="D950" s="12" t="s">
        <v>18</v>
      </c>
      <c r="E950" s="13">
        <v>75431</v>
      </c>
      <c r="F950" s="14">
        <v>12</v>
      </c>
      <c r="G950" s="15">
        <v>2960</v>
      </c>
      <c r="H950" s="16">
        <v>0.15</v>
      </c>
      <c r="I950" s="13">
        <v>5</v>
      </c>
      <c r="J950" s="15">
        <v>5328</v>
      </c>
      <c r="K950" s="15">
        <v>30192</v>
      </c>
      <c r="L950" s="15">
        <v>23096.775075547459</v>
      </c>
      <c r="M950" s="15">
        <v>7095.2249244525447</v>
      </c>
    </row>
    <row r="951" spans="1:13" x14ac:dyDescent="0.25">
      <c r="A951" s="12">
        <v>45876</v>
      </c>
      <c r="B951" s="12" t="s">
        <v>19</v>
      </c>
      <c r="C951" s="12" t="s">
        <v>20</v>
      </c>
      <c r="D951" s="12" t="s">
        <v>26</v>
      </c>
      <c r="E951" s="13">
        <v>27297</v>
      </c>
      <c r="F951" s="14">
        <v>48</v>
      </c>
      <c r="G951" s="15">
        <v>37797</v>
      </c>
      <c r="H951" s="16">
        <v>0.05</v>
      </c>
      <c r="I951" s="13">
        <v>4</v>
      </c>
      <c r="J951" s="15">
        <v>90712.8</v>
      </c>
      <c r="K951" s="15">
        <v>1723543.2</v>
      </c>
      <c r="L951" s="15">
        <v>1247888.3180724841</v>
      </c>
      <c r="M951" s="15">
        <v>475654.88192751631</v>
      </c>
    </row>
    <row r="952" spans="1:13" x14ac:dyDescent="0.25">
      <c r="A952" s="12">
        <v>45877</v>
      </c>
      <c r="B952" s="12" t="s">
        <v>13</v>
      </c>
      <c r="C952" s="12" t="s">
        <v>20</v>
      </c>
      <c r="D952" s="12" t="s">
        <v>25</v>
      </c>
      <c r="E952" s="13">
        <v>81894</v>
      </c>
      <c r="F952" s="14">
        <v>25</v>
      </c>
      <c r="G952" s="15">
        <v>35243</v>
      </c>
      <c r="H952" s="16">
        <v>0</v>
      </c>
      <c r="I952" s="13">
        <v>2</v>
      </c>
      <c r="J952" s="15">
        <v>0</v>
      </c>
      <c r="K952" s="15">
        <v>881075</v>
      </c>
      <c r="L952" s="15">
        <v>547856.52913723269</v>
      </c>
      <c r="M952" s="15">
        <v>333218.47086276731</v>
      </c>
    </row>
    <row r="953" spans="1:13" x14ac:dyDescent="0.25">
      <c r="A953" s="12">
        <v>45878</v>
      </c>
      <c r="B953" s="12" t="s">
        <v>16</v>
      </c>
      <c r="C953" s="12" t="s">
        <v>23</v>
      </c>
      <c r="D953" s="12" t="s">
        <v>26</v>
      </c>
      <c r="E953" s="13">
        <v>73772</v>
      </c>
      <c r="F953" s="14">
        <v>35</v>
      </c>
      <c r="G953" s="15">
        <v>3716</v>
      </c>
      <c r="H953" s="16">
        <v>0.1</v>
      </c>
      <c r="I953" s="13">
        <v>3</v>
      </c>
      <c r="J953" s="15">
        <v>13006</v>
      </c>
      <c r="K953" s="15">
        <v>117054</v>
      </c>
      <c r="L953" s="15">
        <v>95309.63438056485</v>
      </c>
      <c r="M953" s="15">
        <v>21744.36561943515</v>
      </c>
    </row>
    <row r="954" spans="1:13" x14ac:dyDescent="0.25">
      <c r="A954" s="12">
        <v>45879</v>
      </c>
      <c r="B954" s="12" t="s">
        <v>19</v>
      </c>
      <c r="C954" s="12" t="s">
        <v>23</v>
      </c>
      <c r="D954" s="12" t="s">
        <v>18</v>
      </c>
      <c r="E954" s="13">
        <v>29581</v>
      </c>
      <c r="F954" s="14">
        <v>12</v>
      </c>
      <c r="G954" s="15">
        <v>14767</v>
      </c>
      <c r="H954" s="16">
        <v>0.2</v>
      </c>
      <c r="I954" s="13">
        <v>4</v>
      </c>
      <c r="J954" s="15">
        <v>35440.800000000003</v>
      </c>
      <c r="K954" s="15">
        <v>141763.20000000001</v>
      </c>
      <c r="L954" s="15">
        <v>114949.4345541769</v>
      </c>
      <c r="M954" s="15">
        <v>26813.765445823072</v>
      </c>
    </row>
    <row r="955" spans="1:13" x14ac:dyDescent="0.25">
      <c r="A955" s="12">
        <v>45880</v>
      </c>
      <c r="B955" s="12" t="s">
        <v>16</v>
      </c>
      <c r="C955" s="12" t="s">
        <v>20</v>
      </c>
      <c r="D955" s="12" t="s">
        <v>27</v>
      </c>
      <c r="E955" s="13">
        <v>65192</v>
      </c>
      <c r="F955" s="14">
        <v>30</v>
      </c>
      <c r="G955" s="15">
        <v>10081</v>
      </c>
      <c r="H955" s="16">
        <v>0.2</v>
      </c>
      <c r="I955" s="13">
        <v>2</v>
      </c>
      <c r="J955" s="15">
        <v>60486</v>
      </c>
      <c r="K955" s="15">
        <v>241944</v>
      </c>
      <c r="L955" s="15">
        <v>189735.64993361101</v>
      </c>
      <c r="M955" s="15">
        <v>52208.350066389023</v>
      </c>
    </row>
    <row r="956" spans="1:13" x14ac:dyDescent="0.25">
      <c r="A956" s="12">
        <v>45881</v>
      </c>
      <c r="B956" s="12" t="s">
        <v>13</v>
      </c>
      <c r="C956" s="12" t="s">
        <v>20</v>
      </c>
      <c r="D956" s="12" t="s">
        <v>18</v>
      </c>
      <c r="E956" s="13">
        <v>11462</v>
      </c>
      <c r="F956" s="14">
        <v>5</v>
      </c>
      <c r="G956" s="15">
        <v>5015</v>
      </c>
      <c r="H956" s="16">
        <v>0.15</v>
      </c>
      <c r="I956" s="13">
        <v>1</v>
      </c>
      <c r="J956" s="15">
        <v>3761.25</v>
      </c>
      <c r="K956" s="15">
        <v>21313.75</v>
      </c>
      <c r="L956" s="15">
        <v>16050.933142765611</v>
      </c>
      <c r="M956" s="15">
        <v>5262.816857234393</v>
      </c>
    </row>
    <row r="957" spans="1:13" x14ac:dyDescent="0.25">
      <c r="A957" s="12">
        <v>45882</v>
      </c>
      <c r="B957" s="12" t="s">
        <v>13</v>
      </c>
      <c r="C957" s="12" t="s">
        <v>20</v>
      </c>
      <c r="D957" s="12" t="s">
        <v>25</v>
      </c>
      <c r="E957" s="13">
        <v>74173</v>
      </c>
      <c r="F957" s="14">
        <v>34</v>
      </c>
      <c r="G957" s="15">
        <v>22576</v>
      </c>
      <c r="H957" s="16">
        <v>0.1</v>
      </c>
      <c r="I957" s="13">
        <v>3</v>
      </c>
      <c r="J957" s="15">
        <v>76758.400000000009</v>
      </c>
      <c r="K957" s="15">
        <v>690825.6</v>
      </c>
      <c r="L957" s="15">
        <v>504396.17097766482</v>
      </c>
      <c r="M957" s="15">
        <v>186429.42902233521</v>
      </c>
    </row>
    <row r="958" spans="1:13" x14ac:dyDescent="0.25">
      <c r="A958" s="12">
        <v>45883</v>
      </c>
      <c r="B958" s="12" t="s">
        <v>16</v>
      </c>
      <c r="C958" s="12" t="s">
        <v>23</v>
      </c>
      <c r="D958" s="12" t="s">
        <v>22</v>
      </c>
      <c r="E958" s="13">
        <v>25511</v>
      </c>
      <c r="F958" s="14">
        <v>22</v>
      </c>
      <c r="G958" s="15">
        <v>45316</v>
      </c>
      <c r="H958" s="16">
        <v>0.05</v>
      </c>
      <c r="I958" s="13">
        <v>2</v>
      </c>
      <c r="J958" s="15">
        <v>49847.600000000013</v>
      </c>
      <c r="K958" s="15">
        <v>947104.4</v>
      </c>
      <c r="L958" s="15">
        <v>736829.53876852104</v>
      </c>
      <c r="M958" s="15">
        <v>210274.86123147901</v>
      </c>
    </row>
    <row r="959" spans="1:13" x14ac:dyDescent="0.25">
      <c r="A959" s="12">
        <v>45884</v>
      </c>
      <c r="B959" s="12" t="s">
        <v>19</v>
      </c>
      <c r="C959" s="12" t="s">
        <v>20</v>
      </c>
      <c r="D959" s="12" t="s">
        <v>27</v>
      </c>
      <c r="E959" s="13">
        <v>86106</v>
      </c>
      <c r="F959" s="14">
        <v>39</v>
      </c>
      <c r="G959" s="15">
        <v>10276</v>
      </c>
      <c r="H959" s="16">
        <v>0.2</v>
      </c>
      <c r="I959" s="13">
        <v>1</v>
      </c>
      <c r="J959" s="15">
        <v>80152.800000000003</v>
      </c>
      <c r="K959" s="15">
        <v>320611.20000000001</v>
      </c>
      <c r="L959" s="15">
        <v>214815.47875595599</v>
      </c>
      <c r="M959" s="15">
        <v>105795.72124404401</v>
      </c>
    </row>
    <row r="960" spans="1:13" x14ac:dyDescent="0.25">
      <c r="A960" s="12">
        <v>45885</v>
      </c>
      <c r="B960" s="12" t="s">
        <v>24</v>
      </c>
      <c r="C960" s="12" t="s">
        <v>20</v>
      </c>
      <c r="D960" s="12" t="s">
        <v>15</v>
      </c>
      <c r="E960" s="13">
        <v>58665</v>
      </c>
      <c r="F960" s="14">
        <v>13</v>
      </c>
      <c r="G960" s="15">
        <v>22447</v>
      </c>
      <c r="H960" s="16">
        <v>0.1</v>
      </c>
      <c r="I960" s="13">
        <v>3</v>
      </c>
      <c r="J960" s="15">
        <v>29181.1</v>
      </c>
      <c r="K960" s="15">
        <v>262629.90000000002</v>
      </c>
      <c r="L960" s="15">
        <v>231738.77216972079</v>
      </c>
      <c r="M960" s="15">
        <v>30891.127830279231</v>
      </c>
    </row>
    <row r="961" spans="1:13" x14ac:dyDescent="0.25">
      <c r="A961" s="12">
        <v>45886</v>
      </c>
      <c r="B961" s="12" t="s">
        <v>13</v>
      </c>
      <c r="C961" s="12" t="s">
        <v>14</v>
      </c>
      <c r="D961" s="12" t="s">
        <v>26</v>
      </c>
      <c r="E961" s="13">
        <v>54414</v>
      </c>
      <c r="F961" s="14">
        <v>47</v>
      </c>
      <c r="G961" s="15">
        <v>3463</v>
      </c>
      <c r="H961" s="16">
        <v>0.15</v>
      </c>
      <c r="I961" s="13">
        <v>5</v>
      </c>
      <c r="J961" s="15">
        <v>24414.15</v>
      </c>
      <c r="K961" s="15">
        <v>138346.85</v>
      </c>
      <c r="L961" s="15">
        <v>107445.4705227954</v>
      </c>
      <c r="M961" s="15">
        <v>30901.379477204649</v>
      </c>
    </row>
    <row r="962" spans="1:13" x14ac:dyDescent="0.25">
      <c r="A962" s="12">
        <v>45887</v>
      </c>
      <c r="B962" s="12" t="s">
        <v>19</v>
      </c>
      <c r="C962" s="12" t="s">
        <v>21</v>
      </c>
      <c r="D962" s="12" t="s">
        <v>18</v>
      </c>
      <c r="E962" s="13">
        <v>91010</v>
      </c>
      <c r="F962" s="14">
        <v>3</v>
      </c>
      <c r="G962" s="15">
        <v>7286</v>
      </c>
      <c r="H962" s="16">
        <v>0</v>
      </c>
      <c r="I962" s="13">
        <v>3</v>
      </c>
      <c r="J962" s="15">
        <v>0</v>
      </c>
      <c r="K962" s="15">
        <v>21858</v>
      </c>
      <c r="L962" s="15">
        <v>15155.413334609389</v>
      </c>
      <c r="M962" s="15">
        <v>6702.5866653906114</v>
      </c>
    </row>
    <row r="963" spans="1:13" x14ac:dyDescent="0.25">
      <c r="A963" s="12">
        <v>45888</v>
      </c>
      <c r="B963" s="12" t="s">
        <v>19</v>
      </c>
      <c r="C963" s="12" t="s">
        <v>17</v>
      </c>
      <c r="D963" s="12" t="s">
        <v>27</v>
      </c>
      <c r="E963" s="13">
        <v>82573</v>
      </c>
      <c r="F963" s="14">
        <v>20</v>
      </c>
      <c r="G963" s="15">
        <v>14366</v>
      </c>
      <c r="H963" s="16">
        <v>0.15</v>
      </c>
      <c r="I963" s="13">
        <v>5</v>
      </c>
      <c r="J963" s="15">
        <v>43098</v>
      </c>
      <c r="K963" s="15">
        <v>244222</v>
      </c>
      <c r="L963" s="15">
        <v>179479.71376286249</v>
      </c>
      <c r="M963" s="15">
        <v>64742.286237137538</v>
      </c>
    </row>
    <row r="964" spans="1:13" x14ac:dyDescent="0.25">
      <c r="A964" s="12">
        <v>45889</v>
      </c>
      <c r="B964" s="12" t="s">
        <v>24</v>
      </c>
      <c r="C964" s="12" t="s">
        <v>21</v>
      </c>
      <c r="D964" s="12" t="s">
        <v>18</v>
      </c>
      <c r="E964" s="13">
        <v>23386</v>
      </c>
      <c r="F964" s="14">
        <v>31</v>
      </c>
      <c r="G964" s="15">
        <v>39468</v>
      </c>
      <c r="H964" s="16">
        <v>0.15</v>
      </c>
      <c r="I964" s="13">
        <v>5</v>
      </c>
      <c r="J964" s="15">
        <v>183526.2</v>
      </c>
      <c r="K964" s="15">
        <v>1039981.8</v>
      </c>
      <c r="L964" s="15">
        <v>875358.33509064326</v>
      </c>
      <c r="M964" s="15">
        <v>164623.46490935679</v>
      </c>
    </row>
    <row r="965" spans="1:13" x14ac:dyDescent="0.25">
      <c r="A965" s="12">
        <v>45890</v>
      </c>
      <c r="B965" s="12" t="s">
        <v>13</v>
      </c>
      <c r="C965" s="12" t="s">
        <v>14</v>
      </c>
      <c r="D965" s="12" t="s">
        <v>27</v>
      </c>
      <c r="E965" s="13">
        <v>64460</v>
      </c>
      <c r="F965" s="14">
        <v>5</v>
      </c>
      <c r="G965" s="15">
        <v>32805</v>
      </c>
      <c r="H965" s="16">
        <v>0.1</v>
      </c>
      <c r="I965" s="13">
        <v>5</v>
      </c>
      <c r="J965" s="15">
        <v>16402.5</v>
      </c>
      <c r="K965" s="15">
        <v>147622.5</v>
      </c>
      <c r="L965" s="15">
        <v>95730.950077547503</v>
      </c>
      <c r="M965" s="15">
        <v>51891.549922452497</v>
      </c>
    </row>
    <row r="966" spans="1:13" x14ac:dyDescent="0.25">
      <c r="A966" s="12">
        <v>45891</v>
      </c>
      <c r="B966" s="12" t="s">
        <v>13</v>
      </c>
      <c r="C966" s="12" t="s">
        <v>17</v>
      </c>
      <c r="D966" s="12" t="s">
        <v>25</v>
      </c>
      <c r="E966" s="13">
        <v>16221</v>
      </c>
      <c r="F966" s="14">
        <v>24</v>
      </c>
      <c r="G966" s="15">
        <v>17860</v>
      </c>
      <c r="H966" s="16">
        <v>0.2</v>
      </c>
      <c r="I966" s="13">
        <v>4</v>
      </c>
      <c r="J966" s="15">
        <v>85728</v>
      </c>
      <c r="K966" s="15">
        <v>342912</v>
      </c>
      <c r="L966" s="15">
        <v>235872.25469072789</v>
      </c>
      <c r="M966" s="15">
        <v>107039.7453092721</v>
      </c>
    </row>
    <row r="967" spans="1:13" x14ac:dyDescent="0.25">
      <c r="A967" s="12">
        <v>45892</v>
      </c>
      <c r="B967" s="12" t="s">
        <v>19</v>
      </c>
      <c r="C967" s="12" t="s">
        <v>20</v>
      </c>
      <c r="D967" s="12" t="s">
        <v>25</v>
      </c>
      <c r="E967" s="13">
        <v>33474</v>
      </c>
      <c r="F967" s="14">
        <v>40</v>
      </c>
      <c r="G967" s="15">
        <v>40613</v>
      </c>
      <c r="H967" s="16">
        <v>0.1</v>
      </c>
      <c r="I967" s="13">
        <v>4</v>
      </c>
      <c r="J967" s="15">
        <v>162452</v>
      </c>
      <c r="K967" s="15">
        <v>1462068</v>
      </c>
      <c r="L967" s="15">
        <v>1175286.880735917</v>
      </c>
      <c r="M967" s="15">
        <v>286781.11926408298</v>
      </c>
    </row>
    <row r="968" spans="1:13" x14ac:dyDescent="0.25">
      <c r="A968" s="12">
        <v>45893</v>
      </c>
      <c r="B968" s="12" t="s">
        <v>19</v>
      </c>
      <c r="C968" s="12" t="s">
        <v>14</v>
      </c>
      <c r="D968" s="12" t="s">
        <v>25</v>
      </c>
      <c r="E968" s="13">
        <v>31045</v>
      </c>
      <c r="F968" s="14">
        <v>33</v>
      </c>
      <c r="G968" s="15">
        <v>33313</v>
      </c>
      <c r="H968" s="16">
        <v>0</v>
      </c>
      <c r="I968" s="13">
        <v>5</v>
      </c>
      <c r="J968" s="15">
        <v>0</v>
      </c>
      <c r="K968" s="15">
        <v>1099329</v>
      </c>
      <c r="L968" s="15">
        <v>763645.33016186894</v>
      </c>
      <c r="M968" s="15">
        <v>335683.66983813111</v>
      </c>
    </row>
    <row r="969" spans="1:13" x14ac:dyDescent="0.25">
      <c r="A969" s="12">
        <v>45894</v>
      </c>
      <c r="B969" s="12" t="s">
        <v>24</v>
      </c>
      <c r="C969" s="12" t="s">
        <v>20</v>
      </c>
      <c r="D969" s="12" t="s">
        <v>18</v>
      </c>
      <c r="E969" s="13">
        <v>14922</v>
      </c>
      <c r="F969" s="14">
        <v>8</v>
      </c>
      <c r="G969" s="15">
        <v>1693</v>
      </c>
      <c r="H969" s="16">
        <v>0.1</v>
      </c>
      <c r="I969" s="13">
        <v>1</v>
      </c>
      <c r="J969" s="15">
        <v>1354.4</v>
      </c>
      <c r="K969" s="15">
        <v>12189.6</v>
      </c>
      <c r="L969" s="15">
        <v>10211.84355036556</v>
      </c>
      <c r="M969" s="15">
        <v>1977.7564496344421</v>
      </c>
    </row>
    <row r="970" spans="1:13" x14ac:dyDescent="0.25">
      <c r="A970" s="12">
        <v>45895</v>
      </c>
      <c r="B970" s="12" t="s">
        <v>24</v>
      </c>
      <c r="C970" s="12" t="s">
        <v>23</v>
      </c>
      <c r="D970" s="12" t="s">
        <v>15</v>
      </c>
      <c r="E970" s="13">
        <v>32706</v>
      </c>
      <c r="F970" s="14">
        <v>24</v>
      </c>
      <c r="G970" s="15">
        <v>5012</v>
      </c>
      <c r="H970" s="16">
        <v>0.05</v>
      </c>
      <c r="I970" s="13">
        <v>5</v>
      </c>
      <c r="J970" s="15">
        <v>6014.4000000000005</v>
      </c>
      <c r="K970" s="15">
        <v>114273.60000000001</v>
      </c>
      <c r="L970" s="15">
        <v>73036.376883693258</v>
      </c>
      <c r="M970" s="15">
        <v>41237.223116306748</v>
      </c>
    </row>
    <row r="971" spans="1:13" x14ac:dyDescent="0.25">
      <c r="A971" s="12">
        <v>45896</v>
      </c>
      <c r="B971" s="12" t="s">
        <v>13</v>
      </c>
      <c r="C971" s="12" t="s">
        <v>14</v>
      </c>
      <c r="D971" s="12" t="s">
        <v>25</v>
      </c>
      <c r="E971" s="13">
        <v>52771</v>
      </c>
      <c r="F971" s="14">
        <v>20</v>
      </c>
      <c r="G971" s="15">
        <v>23166</v>
      </c>
      <c r="H971" s="16">
        <v>0.15</v>
      </c>
      <c r="I971" s="13">
        <v>2</v>
      </c>
      <c r="J971" s="15">
        <v>69498</v>
      </c>
      <c r="K971" s="15">
        <v>393822</v>
      </c>
      <c r="L971" s="15">
        <v>326401.97790623241</v>
      </c>
      <c r="M971" s="15">
        <v>67420.022093767591</v>
      </c>
    </row>
    <row r="972" spans="1:13" x14ac:dyDescent="0.25">
      <c r="A972" s="12">
        <v>45897</v>
      </c>
      <c r="B972" s="12" t="s">
        <v>16</v>
      </c>
      <c r="C972" s="12" t="s">
        <v>23</v>
      </c>
      <c r="D972" s="12" t="s">
        <v>27</v>
      </c>
      <c r="E972" s="13">
        <v>62335</v>
      </c>
      <c r="F972" s="14">
        <v>16</v>
      </c>
      <c r="G972" s="15">
        <v>17130</v>
      </c>
      <c r="H972" s="16">
        <v>0.2</v>
      </c>
      <c r="I972" s="13">
        <v>5</v>
      </c>
      <c r="J972" s="15">
        <v>54816</v>
      </c>
      <c r="K972" s="15">
        <v>219264</v>
      </c>
      <c r="L972" s="15">
        <v>136054.5211214984</v>
      </c>
      <c r="M972" s="15">
        <v>83209.478878501628</v>
      </c>
    </row>
    <row r="973" spans="1:13" x14ac:dyDescent="0.25">
      <c r="A973" s="12">
        <v>45898</v>
      </c>
      <c r="B973" s="12" t="s">
        <v>13</v>
      </c>
      <c r="C973" s="12" t="s">
        <v>14</v>
      </c>
      <c r="D973" s="12" t="s">
        <v>25</v>
      </c>
      <c r="E973" s="13">
        <v>62949</v>
      </c>
      <c r="F973" s="14">
        <v>12</v>
      </c>
      <c r="G973" s="15">
        <v>9483</v>
      </c>
      <c r="H973" s="16">
        <v>0</v>
      </c>
      <c r="I973" s="13">
        <v>4</v>
      </c>
      <c r="J973" s="15">
        <v>0</v>
      </c>
      <c r="K973" s="15">
        <v>113796</v>
      </c>
      <c r="L973" s="15">
        <v>68707.49668533307</v>
      </c>
      <c r="M973" s="15">
        <v>45088.50331466693</v>
      </c>
    </row>
    <row r="974" spans="1:13" x14ac:dyDescent="0.25">
      <c r="A974" s="12">
        <v>45899</v>
      </c>
      <c r="B974" s="12" t="s">
        <v>19</v>
      </c>
      <c r="C974" s="12" t="s">
        <v>14</v>
      </c>
      <c r="D974" s="12" t="s">
        <v>22</v>
      </c>
      <c r="E974" s="13">
        <v>80714</v>
      </c>
      <c r="F974" s="14">
        <v>13</v>
      </c>
      <c r="G974" s="15">
        <v>1136</v>
      </c>
      <c r="H974" s="16">
        <v>0.15</v>
      </c>
      <c r="I974" s="13">
        <v>4</v>
      </c>
      <c r="J974" s="15">
        <v>2215.1999999999998</v>
      </c>
      <c r="K974" s="15">
        <v>12552.8</v>
      </c>
      <c r="L974" s="15">
        <v>10914.246056158911</v>
      </c>
      <c r="M974" s="15">
        <v>1638.553943841091</v>
      </c>
    </row>
    <row r="975" spans="1:13" x14ac:dyDescent="0.25">
      <c r="A975" s="12">
        <v>45900</v>
      </c>
      <c r="B975" s="12" t="s">
        <v>13</v>
      </c>
      <c r="C975" s="12" t="s">
        <v>23</v>
      </c>
      <c r="D975" s="12" t="s">
        <v>25</v>
      </c>
      <c r="E975" s="13">
        <v>25240</v>
      </c>
      <c r="F975" s="14">
        <v>45</v>
      </c>
      <c r="G975" s="15">
        <v>4275</v>
      </c>
      <c r="H975" s="16">
        <v>0.1</v>
      </c>
      <c r="I975" s="13">
        <v>2</v>
      </c>
      <c r="J975" s="15">
        <v>19237.5</v>
      </c>
      <c r="K975" s="15">
        <v>173137.5</v>
      </c>
      <c r="L975" s="15">
        <v>134077.98560148469</v>
      </c>
      <c r="M975" s="15">
        <v>39059.514398515254</v>
      </c>
    </row>
    <row r="976" spans="1:13" x14ac:dyDescent="0.25">
      <c r="A976" s="12">
        <v>45901</v>
      </c>
      <c r="B976" s="12" t="s">
        <v>16</v>
      </c>
      <c r="C976" s="12" t="s">
        <v>17</v>
      </c>
      <c r="D976" s="12" t="s">
        <v>18</v>
      </c>
      <c r="E976" s="13">
        <v>12716</v>
      </c>
      <c r="F976" s="14">
        <v>42</v>
      </c>
      <c r="G976" s="15">
        <v>2921</v>
      </c>
      <c r="H976" s="16">
        <v>0.05</v>
      </c>
      <c r="I976" s="13">
        <v>2</v>
      </c>
      <c r="J976" s="15">
        <v>6134.1</v>
      </c>
      <c r="K976" s="15">
        <v>116547.9</v>
      </c>
      <c r="L976" s="15">
        <v>82230.145805695196</v>
      </c>
      <c r="M976" s="15">
        <v>34317.754194304798</v>
      </c>
    </row>
    <row r="977" spans="1:13" x14ac:dyDescent="0.25">
      <c r="A977" s="12">
        <v>45902</v>
      </c>
      <c r="B977" s="12" t="s">
        <v>24</v>
      </c>
      <c r="C977" s="12" t="s">
        <v>21</v>
      </c>
      <c r="D977" s="12" t="s">
        <v>15</v>
      </c>
      <c r="E977" s="13">
        <v>26574</v>
      </c>
      <c r="F977" s="14">
        <v>39</v>
      </c>
      <c r="G977" s="15">
        <v>13525</v>
      </c>
      <c r="H977" s="16">
        <v>0.1</v>
      </c>
      <c r="I977" s="13">
        <v>3</v>
      </c>
      <c r="J977" s="15">
        <v>52747.5</v>
      </c>
      <c r="K977" s="15">
        <v>474727.5</v>
      </c>
      <c r="L977" s="15">
        <v>317962.22115577688</v>
      </c>
      <c r="M977" s="15">
        <v>156765.2788442231</v>
      </c>
    </row>
    <row r="978" spans="1:13" x14ac:dyDescent="0.25">
      <c r="A978" s="12">
        <v>45903</v>
      </c>
      <c r="B978" s="12" t="s">
        <v>16</v>
      </c>
      <c r="C978" s="12" t="s">
        <v>20</v>
      </c>
      <c r="D978" s="12" t="s">
        <v>22</v>
      </c>
      <c r="E978" s="13">
        <v>93255</v>
      </c>
      <c r="F978" s="14">
        <v>25</v>
      </c>
      <c r="G978" s="15">
        <v>9780</v>
      </c>
      <c r="H978" s="16">
        <v>0.15</v>
      </c>
      <c r="I978" s="13">
        <v>1</v>
      </c>
      <c r="J978" s="15">
        <v>36675</v>
      </c>
      <c r="K978" s="15">
        <v>207825</v>
      </c>
      <c r="L978" s="15">
        <v>163156.2863718537</v>
      </c>
      <c r="M978" s="15">
        <v>44668.713628146274</v>
      </c>
    </row>
    <row r="979" spans="1:13" x14ac:dyDescent="0.25">
      <c r="A979" s="12">
        <v>45904</v>
      </c>
      <c r="B979" s="12" t="s">
        <v>16</v>
      </c>
      <c r="C979" s="12" t="s">
        <v>14</v>
      </c>
      <c r="D979" s="12" t="s">
        <v>18</v>
      </c>
      <c r="E979" s="13">
        <v>83717</v>
      </c>
      <c r="F979" s="14">
        <v>46</v>
      </c>
      <c r="G979" s="15">
        <v>37451</v>
      </c>
      <c r="H979" s="16">
        <v>0</v>
      </c>
      <c r="I979" s="13">
        <v>1</v>
      </c>
      <c r="J979" s="15">
        <v>0</v>
      </c>
      <c r="K979" s="15">
        <v>1722746</v>
      </c>
      <c r="L979" s="15">
        <v>1296712.042703755</v>
      </c>
      <c r="M979" s="15">
        <v>426033.9572962455</v>
      </c>
    </row>
    <row r="980" spans="1:13" x14ac:dyDescent="0.25">
      <c r="A980" s="12">
        <v>45905</v>
      </c>
      <c r="B980" s="12" t="s">
        <v>16</v>
      </c>
      <c r="C980" s="12" t="s">
        <v>20</v>
      </c>
      <c r="D980" s="12" t="s">
        <v>18</v>
      </c>
      <c r="E980" s="13">
        <v>54066</v>
      </c>
      <c r="F980" s="14">
        <v>32</v>
      </c>
      <c r="G980" s="15">
        <v>11851</v>
      </c>
      <c r="H980" s="16">
        <v>0.2</v>
      </c>
      <c r="I980" s="13">
        <v>1</v>
      </c>
      <c r="J980" s="15">
        <v>75846.400000000009</v>
      </c>
      <c r="K980" s="15">
        <v>303385.59999999998</v>
      </c>
      <c r="L980" s="15">
        <v>272282.30582634901</v>
      </c>
      <c r="M980" s="15">
        <v>31103.294173651029</v>
      </c>
    </row>
    <row r="981" spans="1:13" x14ac:dyDescent="0.25">
      <c r="A981" s="12">
        <v>45906</v>
      </c>
      <c r="B981" s="12" t="s">
        <v>24</v>
      </c>
      <c r="C981" s="12" t="s">
        <v>23</v>
      </c>
      <c r="D981" s="12" t="s">
        <v>18</v>
      </c>
      <c r="E981" s="13">
        <v>71826</v>
      </c>
      <c r="F981" s="14">
        <v>24</v>
      </c>
      <c r="G981" s="15">
        <v>38591</v>
      </c>
      <c r="H981" s="16">
        <v>0.15</v>
      </c>
      <c r="I981" s="13">
        <v>4</v>
      </c>
      <c r="J981" s="15">
        <v>138927.6</v>
      </c>
      <c r="K981" s="15">
        <v>787256.4</v>
      </c>
      <c r="L981" s="15">
        <v>704566.76342264283</v>
      </c>
      <c r="M981" s="15">
        <v>82689.636577357189</v>
      </c>
    </row>
    <row r="982" spans="1:13" x14ac:dyDescent="0.25">
      <c r="A982" s="12">
        <v>45907</v>
      </c>
      <c r="B982" s="12" t="s">
        <v>16</v>
      </c>
      <c r="C982" s="12" t="s">
        <v>20</v>
      </c>
      <c r="D982" s="12" t="s">
        <v>27</v>
      </c>
      <c r="E982" s="13">
        <v>30213</v>
      </c>
      <c r="F982" s="14">
        <v>48</v>
      </c>
      <c r="G982" s="15">
        <v>46156</v>
      </c>
      <c r="H982" s="16">
        <v>0</v>
      </c>
      <c r="I982" s="13">
        <v>1</v>
      </c>
      <c r="J982" s="15">
        <v>0</v>
      </c>
      <c r="K982" s="15">
        <v>2215488</v>
      </c>
      <c r="L982" s="15">
        <v>1751359.591797583</v>
      </c>
      <c r="M982" s="15">
        <v>464128.40820241719</v>
      </c>
    </row>
    <row r="983" spans="1:13" x14ac:dyDescent="0.25">
      <c r="A983" s="12">
        <v>45908</v>
      </c>
      <c r="B983" s="12" t="s">
        <v>16</v>
      </c>
      <c r="C983" s="12" t="s">
        <v>23</v>
      </c>
      <c r="D983" s="12" t="s">
        <v>18</v>
      </c>
      <c r="E983" s="13">
        <v>81916</v>
      </c>
      <c r="F983" s="14">
        <v>47</v>
      </c>
      <c r="G983" s="15">
        <v>30671</v>
      </c>
      <c r="H983" s="16">
        <v>0.15</v>
      </c>
      <c r="I983" s="13">
        <v>3</v>
      </c>
      <c r="J983" s="15">
        <v>216230.55</v>
      </c>
      <c r="K983" s="15">
        <v>1225306.45</v>
      </c>
      <c r="L983" s="15">
        <v>897979.49629389355</v>
      </c>
      <c r="M983" s="15">
        <v>327326.9537061064</v>
      </c>
    </row>
    <row r="984" spans="1:13" x14ac:dyDescent="0.25">
      <c r="A984" s="12">
        <v>45909</v>
      </c>
      <c r="B984" s="12" t="s">
        <v>16</v>
      </c>
      <c r="C984" s="12" t="s">
        <v>20</v>
      </c>
      <c r="D984" s="12" t="s">
        <v>27</v>
      </c>
      <c r="E984" s="13">
        <v>76151</v>
      </c>
      <c r="F984" s="14">
        <v>44</v>
      </c>
      <c r="G984" s="15">
        <v>4144</v>
      </c>
      <c r="H984" s="16">
        <v>0.05</v>
      </c>
      <c r="I984" s="13">
        <v>3</v>
      </c>
      <c r="J984" s="15">
        <v>9116.8000000000011</v>
      </c>
      <c r="K984" s="15">
        <v>173219.20000000001</v>
      </c>
      <c r="L984" s="15">
        <v>129454.03372821931</v>
      </c>
      <c r="M984" s="15">
        <v>43765.166271780749</v>
      </c>
    </row>
    <row r="985" spans="1:13" x14ac:dyDescent="0.25">
      <c r="A985" s="12">
        <v>45910</v>
      </c>
      <c r="B985" s="12" t="s">
        <v>19</v>
      </c>
      <c r="C985" s="12" t="s">
        <v>21</v>
      </c>
      <c r="D985" s="12" t="s">
        <v>18</v>
      </c>
      <c r="E985" s="13">
        <v>60906</v>
      </c>
      <c r="F985" s="14">
        <v>9</v>
      </c>
      <c r="G985" s="15">
        <v>16642</v>
      </c>
      <c r="H985" s="16">
        <v>0.1</v>
      </c>
      <c r="I985" s="13">
        <v>1</v>
      </c>
      <c r="J985" s="15">
        <v>14977.8</v>
      </c>
      <c r="K985" s="15">
        <v>134800.20000000001</v>
      </c>
      <c r="L985" s="15">
        <v>108479.6143873627</v>
      </c>
      <c r="M985" s="15">
        <v>26320.58561263734</v>
      </c>
    </row>
    <row r="986" spans="1:13" x14ac:dyDescent="0.25">
      <c r="A986" s="12">
        <v>45911</v>
      </c>
      <c r="B986" s="12" t="s">
        <v>16</v>
      </c>
      <c r="C986" s="12" t="s">
        <v>21</v>
      </c>
      <c r="D986" s="12" t="s">
        <v>26</v>
      </c>
      <c r="E986" s="13">
        <v>10463</v>
      </c>
      <c r="F986" s="14">
        <v>40</v>
      </c>
      <c r="G986" s="15">
        <v>8273</v>
      </c>
      <c r="H986" s="16">
        <v>0.2</v>
      </c>
      <c r="I986" s="13">
        <v>2</v>
      </c>
      <c r="J986" s="15">
        <v>66184</v>
      </c>
      <c r="K986" s="15">
        <v>264736</v>
      </c>
      <c r="L986" s="15">
        <v>166908.73156280941</v>
      </c>
      <c r="M986" s="15">
        <v>97827.268437190622</v>
      </c>
    </row>
    <row r="987" spans="1:13" x14ac:dyDescent="0.25">
      <c r="A987" s="12">
        <v>45912</v>
      </c>
      <c r="B987" s="12" t="s">
        <v>24</v>
      </c>
      <c r="C987" s="12" t="s">
        <v>21</v>
      </c>
      <c r="D987" s="12" t="s">
        <v>22</v>
      </c>
      <c r="E987" s="13">
        <v>41973</v>
      </c>
      <c r="F987" s="14">
        <v>23</v>
      </c>
      <c r="G987" s="15">
        <v>28966</v>
      </c>
      <c r="H987" s="16">
        <v>0</v>
      </c>
      <c r="I987" s="13">
        <v>3</v>
      </c>
      <c r="J987" s="15">
        <v>0</v>
      </c>
      <c r="K987" s="15">
        <v>666218</v>
      </c>
      <c r="L987" s="15">
        <v>465357.01857300871</v>
      </c>
      <c r="M987" s="15">
        <v>200860.98142699129</v>
      </c>
    </row>
    <row r="988" spans="1:13" x14ac:dyDescent="0.25">
      <c r="A988" s="12">
        <v>45913</v>
      </c>
      <c r="B988" s="12" t="s">
        <v>16</v>
      </c>
      <c r="C988" s="12" t="s">
        <v>21</v>
      </c>
      <c r="D988" s="12" t="s">
        <v>26</v>
      </c>
      <c r="E988" s="13">
        <v>84694</v>
      </c>
      <c r="F988" s="14">
        <v>13</v>
      </c>
      <c r="G988" s="15">
        <v>11278</v>
      </c>
      <c r="H988" s="16">
        <v>0.2</v>
      </c>
      <c r="I988" s="13">
        <v>2</v>
      </c>
      <c r="J988" s="15">
        <v>29322.799999999999</v>
      </c>
      <c r="K988" s="15">
        <v>117291.2</v>
      </c>
      <c r="L988" s="15">
        <v>73023.351442200568</v>
      </c>
      <c r="M988" s="15">
        <v>44267.848557799429</v>
      </c>
    </row>
    <row r="989" spans="1:13" x14ac:dyDescent="0.25">
      <c r="A989" s="12">
        <v>45914</v>
      </c>
      <c r="B989" s="12" t="s">
        <v>16</v>
      </c>
      <c r="C989" s="12" t="s">
        <v>21</v>
      </c>
      <c r="D989" s="12" t="s">
        <v>18</v>
      </c>
      <c r="E989" s="13">
        <v>30651</v>
      </c>
      <c r="F989" s="14">
        <v>32</v>
      </c>
      <c r="G989" s="15">
        <v>13001</v>
      </c>
      <c r="H989" s="16">
        <v>0.2</v>
      </c>
      <c r="I989" s="13">
        <v>4</v>
      </c>
      <c r="J989" s="15">
        <v>83206.400000000009</v>
      </c>
      <c r="K989" s="15">
        <v>332825.59999999998</v>
      </c>
      <c r="L989" s="15">
        <v>207020.26164080229</v>
      </c>
      <c r="M989" s="15">
        <v>125805.3383591977</v>
      </c>
    </row>
    <row r="990" spans="1:13" x14ac:dyDescent="0.25">
      <c r="A990" s="12">
        <v>45915</v>
      </c>
      <c r="B990" s="12" t="s">
        <v>24</v>
      </c>
      <c r="C990" s="12" t="s">
        <v>21</v>
      </c>
      <c r="D990" s="12" t="s">
        <v>22</v>
      </c>
      <c r="E990" s="13">
        <v>78694</v>
      </c>
      <c r="F990" s="14">
        <v>15</v>
      </c>
      <c r="G990" s="15">
        <v>47677</v>
      </c>
      <c r="H990" s="16">
        <v>0.2</v>
      </c>
      <c r="I990" s="13">
        <v>3</v>
      </c>
      <c r="J990" s="15">
        <v>143031</v>
      </c>
      <c r="K990" s="15">
        <v>572124</v>
      </c>
      <c r="L990" s="15">
        <v>376887.69912884902</v>
      </c>
      <c r="M990" s="15">
        <v>195236.300871151</v>
      </c>
    </row>
    <row r="991" spans="1:13" x14ac:dyDescent="0.25">
      <c r="A991" s="12">
        <v>45916</v>
      </c>
      <c r="B991" s="12" t="s">
        <v>16</v>
      </c>
      <c r="C991" s="12" t="s">
        <v>23</v>
      </c>
      <c r="D991" s="12" t="s">
        <v>22</v>
      </c>
      <c r="E991" s="13">
        <v>30008</v>
      </c>
      <c r="F991" s="14">
        <v>36</v>
      </c>
      <c r="G991" s="15">
        <v>2608</v>
      </c>
      <c r="H991" s="16">
        <v>0</v>
      </c>
      <c r="I991" s="13">
        <v>2</v>
      </c>
      <c r="J991" s="15">
        <v>0</v>
      </c>
      <c r="K991" s="15">
        <v>93888</v>
      </c>
      <c r="L991" s="15">
        <v>70000.637270174673</v>
      </c>
      <c r="M991" s="15">
        <v>23887.36272982533</v>
      </c>
    </row>
    <row r="992" spans="1:13" x14ac:dyDescent="0.25">
      <c r="A992" s="12">
        <v>45917</v>
      </c>
      <c r="B992" s="12" t="s">
        <v>24</v>
      </c>
      <c r="C992" s="12" t="s">
        <v>14</v>
      </c>
      <c r="D992" s="12" t="s">
        <v>15</v>
      </c>
      <c r="E992" s="13">
        <v>80474</v>
      </c>
      <c r="F992" s="14">
        <v>49</v>
      </c>
      <c r="G992" s="15">
        <v>29869</v>
      </c>
      <c r="H992" s="16">
        <v>0</v>
      </c>
      <c r="I992" s="13">
        <v>1</v>
      </c>
      <c r="J992" s="15">
        <v>0</v>
      </c>
      <c r="K992" s="15">
        <v>1463581</v>
      </c>
      <c r="L992" s="15">
        <v>1222722.835722527</v>
      </c>
      <c r="M992" s="15">
        <v>240858.1642774732</v>
      </c>
    </row>
    <row r="993" spans="1:13" x14ac:dyDescent="0.25">
      <c r="A993" s="12">
        <v>45918</v>
      </c>
      <c r="B993" s="12" t="s">
        <v>16</v>
      </c>
      <c r="C993" s="12" t="s">
        <v>20</v>
      </c>
      <c r="D993" s="12" t="s">
        <v>26</v>
      </c>
      <c r="E993" s="13">
        <v>48185</v>
      </c>
      <c r="F993" s="14">
        <v>5</v>
      </c>
      <c r="G993" s="15">
        <v>36882</v>
      </c>
      <c r="H993" s="16">
        <v>0.2</v>
      </c>
      <c r="I993" s="13">
        <v>4</v>
      </c>
      <c r="J993" s="15">
        <v>36882</v>
      </c>
      <c r="K993" s="15">
        <v>147528</v>
      </c>
      <c r="L993" s="15">
        <v>110004.07134957569</v>
      </c>
      <c r="M993" s="15">
        <v>37523.928650424343</v>
      </c>
    </row>
    <row r="994" spans="1:13" x14ac:dyDescent="0.25">
      <c r="A994" s="12">
        <v>45919</v>
      </c>
      <c r="B994" s="12" t="s">
        <v>24</v>
      </c>
      <c r="C994" s="12" t="s">
        <v>21</v>
      </c>
      <c r="D994" s="12" t="s">
        <v>15</v>
      </c>
      <c r="E994" s="13">
        <v>97924</v>
      </c>
      <c r="F994" s="14">
        <v>22</v>
      </c>
      <c r="G994" s="15">
        <v>26318</v>
      </c>
      <c r="H994" s="16">
        <v>0.1</v>
      </c>
      <c r="I994" s="13">
        <v>5</v>
      </c>
      <c r="J994" s="15">
        <v>57899.600000000013</v>
      </c>
      <c r="K994" s="15">
        <v>521096.4</v>
      </c>
      <c r="L994" s="15">
        <v>365102.53621424141</v>
      </c>
      <c r="M994" s="15">
        <v>155993.8637857587</v>
      </c>
    </row>
    <row r="995" spans="1:13" x14ac:dyDescent="0.25">
      <c r="A995" s="12">
        <v>45920</v>
      </c>
      <c r="B995" s="12" t="s">
        <v>16</v>
      </c>
      <c r="C995" s="12" t="s">
        <v>23</v>
      </c>
      <c r="D995" s="12" t="s">
        <v>22</v>
      </c>
      <c r="E995" s="13">
        <v>84417</v>
      </c>
      <c r="F995" s="14">
        <v>16</v>
      </c>
      <c r="G995" s="15">
        <v>10751</v>
      </c>
      <c r="H995" s="16">
        <v>0.15</v>
      </c>
      <c r="I995" s="13">
        <v>5</v>
      </c>
      <c r="J995" s="15">
        <v>25802.400000000001</v>
      </c>
      <c r="K995" s="15">
        <v>146213.6</v>
      </c>
      <c r="L995" s="15">
        <v>91340.498156370784</v>
      </c>
      <c r="M995" s="15">
        <v>54873.101843629222</v>
      </c>
    </row>
    <row r="996" spans="1:13" x14ac:dyDescent="0.25">
      <c r="A996" s="12">
        <v>45921</v>
      </c>
      <c r="B996" s="12" t="s">
        <v>16</v>
      </c>
      <c r="C996" s="12" t="s">
        <v>23</v>
      </c>
      <c r="D996" s="12" t="s">
        <v>27</v>
      </c>
      <c r="E996" s="13">
        <v>81139</v>
      </c>
      <c r="F996" s="14">
        <v>41</v>
      </c>
      <c r="G996" s="15">
        <v>23841</v>
      </c>
      <c r="H996" s="16">
        <v>0.2</v>
      </c>
      <c r="I996" s="13">
        <v>1</v>
      </c>
      <c r="J996" s="15">
        <v>195496.2</v>
      </c>
      <c r="K996" s="15">
        <v>781984.8</v>
      </c>
      <c r="L996" s="15">
        <v>598287.70039117651</v>
      </c>
      <c r="M996" s="15">
        <v>183697.09960882351</v>
      </c>
    </row>
    <row r="997" spans="1:13" x14ac:dyDescent="0.25">
      <c r="A997" s="12">
        <v>45922</v>
      </c>
      <c r="B997" s="12" t="s">
        <v>19</v>
      </c>
      <c r="C997" s="12" t="s">
        <v>23</v>
      </c>
      <c r="D997" s="12" t="s">
        <v>22</v>
      </c>
      <c r="E997" s="13">
        <v>44980</v>
      </c>
      <c r="F997" s="14">
        <v>10</v>
      </c>
      <c r="G997" s="15">
        <v>12178</v>
      </c>
      <c r="H997" s="16">
        <v>0.05</v>
      </c>
      <c r="I997" s="13">
        <v>4</v>
      </c>
      <c r="J997" s="15">
        <v>6089</v>
      </c>
      <c r="K997" s="15">
        <v>115691</v>
      </c>
      <c r="L997" s="15">
        <v>78829.600211647557</v>
      </c>
      <c r="M997" s="15">
        <v>36861.399788352443</v>
      </c>
    </row>
    <row r="998" spans="1:13" x14ac:dyDescent="0.25">
      <c r="A998" s="12">
        <v>45923</v>
      </c>
      <c r="B998" s="12" t="s">
        <v>19</v>
      </c>
      <c r="C998" s="12" t="s">
        <v>14</v>
      </c>
      <c r="D998" s="12" t="s">
        <v>15</v>
      </c>
      <c r="E998" s="13">
        <v>32504</v>
      </c>
      <c r="F998" s="14">
        <v>24</v>
      </c>
      <c r="G998" s="15">
        <v>14867</v>
      </c>
      <c r="H998" s="16">
        <v>0.2</v>
      </c>
      <c r="I998" s="13">
        <v>4</v>
      </c>
      <c r="J998" s="15">
        <v>71361.600000000006</v>
      </c>
      <c r="K998" s="15">
        <v>285446.40000000002</v>
      </c>
      <c r="L998" s="15">
        <v>223927.06419702279</v>
      </c>
      <c r="M998" s="15">
        <v>61519.335802977243</v>
      </c>
    </row>
    <row r="999" spans="1:13" x14ac:dyDescent="0.25">
      <c r="A999" s="12">
        <v>45924</v>
      </c>
      <c r="B999" s="12" t="s">
        <v>16</v>
      </c>
      <c r="C999" s="12" t="s">
        <v>20</v>
      </c>
      <c r="D999" s="12" t="s">
        <v>26</v>
      </c>
      <c r="E999" s="13">
        <v>64970</v>
      </c>
      <c r="F999" s="14">
        <v>18</v>
      </c>
      <c r="G999" s="15">
        <v>30172</v>
      </c>
      <c r="H999" s="16">
        <v>0</v>
      </c>
      <c r="I999" s="13">
        <v>4</v>
      </c>
      <c r="J999" s="15">
        <v>0</v>
      </c>
      <c r="K999" s="15">
        <v>543096</v>
      </c>
      <c r="L999" s="15">
        <v>485069.62571155798</v>
      </c>
      <c r="M999" s="15">
        <v>58026.374288441963</v>
      </c>
    </row>
    <row r="1000" spans="1:13" x14ac:dyDescent="0.25">
      <c r="A1000" s="12">
        <v>45925</v>
      </c>
      <c r="B1000" s="12" t="s">
        <v>16</v>
      </c>
      <c r="C1000" s="12" t="s">
        <v>14</v>
      </c>
      <c r="D1000" s="12" t="s">
        <v>18</v>
      </c>
      <c r="E1000" s="13">
        <v>26766</v>
      </c>
      <c r="F1000" s="14">
        <v>49</v>
      </c>
      <c r="G1000" s="15">
        <v>4832</v>
      </c>
      <c r="H1000" s="16">
        <v>0.15</v>
      </c>
      <c r="I1000" s="13">
        <v>4</v>
      </c>
      <c r="J1000" s="15">
        <v>35515.199999999997</v>
      </c>
      <c r="K1000" s="15">
        <v>201252.8</v>
      </c>
      <c r="L1000" s="15">
        <v>127472.37566323709</v>
      </c>
      <c r="M1000" s="15">
        <v>73780.424336762866</v>
      </c>
    </row>
    <row r="1001" spans="1:13" x14ac:dyDescent="0.25">
      <c r="A1001" s="12">
        <v>45926</v>
      </c>
      <c r="B1001" s="12" t="s">
        <v>13</v>
      </c>
      <c r="C1001" s="12" t="s">
        <v>17</v>
      </c>
      <c r="D1001" s="12" t="s">
        <v>18</v>
      </c>
      <c r="E1001" s="13">
        <v>21695</v>
      </c>
      <c r="F1001" s="14">
        <v>18</v>
      </c>
      <c r="G1001" s="15">
        <v>12502</v>
      </c>
      <c r="H1001" s="16">
        <v>0.05</v>
      </c>
      <c r="I1001" s="13">
        <v>5</v>
      </c>
      <c r="J1001" s="15">
        <v>11251.8</v>
      </c>
      <c r="K1001" s="15">
        <v>213784.2</v>
      </c>
      <c r="L1001" s="15">
        <v>141875.23759963529</v>
      </c>
      <c r="M1001" s="15">
        <v>71908.962400364719</v>
      </c>
    </row>
    <row r="1002" spans="1:13" x14ac:dyDescent="0.25">
      <c r="A1002" s="12">
        <v>45927</v>
      </c>
      <c r="B1002" s="12" t="s">
        <v>24</v>
      </c>
      <c r="C1002" s="12" t="s">
        <v>23</v>
      </c>
      <c r="D1002" s="12" t="s">
        <v>26</v>
      </c>
      <c r="E1002" s="13">
        <v>27796</v>
      </c>
      <c r="F1002" s="14">
        <v>7</v>
      </c>
      <c r="G1002" s="15">
        <v>20784</v>
      </c>
      <c r="H1002" s="16">
        <v>0.15</v>
      </c>
      <c r="I1002" s="13">
        <v>2</v>
      </c>
      <c r="J1002" s="15">
        <v>21823.200000000001</v>
      </c>
      <c r="K1002" s="15">
        <v>123664.8</v>
      </c>
      <c r="L1002" s="15">
        <v>91750.42243054547</v>
      </c>
      <c r="M1002" s="15">
        <v>31914.377569454529</v>
      </c>
    </row>
    <row r="1003" spans="1:13" x14ac:dyDescent="0.25">
      <c r="A1003" s="12">
        <v>45928</v>
      </c>
      <c r="B1003" s="12" t="s">
        <v>13</v>
      </c>
      <c r="C1003" s="12" t="s">
        <v>17</v>
      </c>
      <c r="D1003" s="12" t="s">
        <v>18</v>
      </c>
      <c r="E1003" s="13">
        <v>52543</v>
      </c>
      <c r="F1003" s="14">
        <v>4</v>
      </c>
      <c r="G1003" s="15">
        <v>16200</v>
      </c>
      <c r="H1003" s="16">
        <v>0.15</v>
      </c>
      <c r="I1003" s="13">
        <v>4</v>
      </c>
      <c r="J1003" s="15">
        <v>9720</v>
      </c>
      <c r="K1003" s="15">
        <v>55080</v>
      </c>
      <c r="L1003" s="15">
        <v>49053.374684776143</v>
      </c>
      <c r="M1003" s="15">
        <v>6026.6253152238569</v>
      </c>
    </row>
    <row r="1004" spans="1:13" x14ac:dyDescent="0.25">
      <c r="A1004" s="12">
        <v>45929</v>
      </c>
      <c r="B1004" s="12" t="s">
        <v>19</v>
      </c>
      <c r="C1004" s="12" t="s">
        <v>21</v>
      </c>
      <c r="D1004" s="12" t="s">
        <v>18</v>
      </c>
      <c r="E1004" s="13">
        <v>24559</v>
      </c>
      <c r="F1004" s="14">
        <v>26</v>
      </c>
      <c r="G1004" s="15">
        <v>14269</v>
      </c>
      <c r="H1004" s="16">
        <v>0.05</v>
      </c>
      <c r="I1004" s="13">
        <v>2</v>
      </c>
      <c r="J1004" s="15">
        <v>18549.7</v>
      </c>
      <c r="K1004" s="15">
        <v>352444.3</v>
      </c>
      <c r="L1004" s="15">
        <v>293072.56689919048</v>
      </c>
      <c r="M1004" s="15">
        <v>59371.733100809448</v>
      </c>
    </row>
    <row r="1005" spans="1:13" x14ac:dyDescent="0.25">
      <c r="A1005" s="12">
        <v>45930</v>
      </c>
      <c r="B1005" s="12" t="s">
        <v>19</v>
      </c>
      <c r="C1005" s="12" t="s">
        <v>21</v>
      </c>
      <c r="D1005" s="12" t="s">
        <v>15</v>
      </c>
      <c r="E1005" s="13">
        <v>43139</v>
      </c>
      <c r="F1005" s="14">
        <v>5</v>
      </c>
      <c r="G1005" s="15">
        <v>29818</v>
      </c>
      <c r="H1005" s="16">
        <v>0.2</v>
      </c>
      <c r="I1005" s="13">
        <v>4</v>
      </c>
      <c r="J1005" s="15">
        <v>29818</v>
      </c>
      <c r="K1005" s="15">
        <v>119272</v>
      </c>
      <c r="L1005" s="15">
        <v>103703.27769807509</v>
      </c>
      <c r="M1005" s="15">
        <v>15568.72230192488</v>
      </c>
    </row>
    <row r="1006" spans="1:13" x14ac:dyDescent="0.25">
      <c r="A1006" s="12">
        <v>45931</v>
      </c>
      <c r="B1006" s="12" t="s">
        <v>19</v>
      </c>
      <c r="C1006" s="12" t="s">
        <v>14</v>
      </c>
      <c r="D1006" s="12" t="s">
        <v>26</v>
      </c>
      <c r="E1006" s="13">
        <v>18802</v>
      </c>
      <c r="F1006" s="14">
        <v>16</v>
      </c>
      <c r="G1006" s="15">
        <v>24823</v>
      </c>
      <c r="H1006" s="16">
        <v>0.2</v>
      </c>
      <c r="I1006" s="13">
        <v>3</v>
      </c>
      <c r="J1006" s="15">
        <v>79433.600000000006</v>
      </c>
      <c r="K1006" s="15">
        <v>317734.40000000002</v>
      </c>
      <c r="L1006" s="15">
        <v>222450.44614546411</v>
      </c>
      <c r="M1006" s="15">
        <v>95283.95385453591</v>
      </c>
    </row>
    <row r="1007" spans="1:13" x14ac:dyDescent="0.25">
      <c r="A1007" s="12">
        <v>45932</v>
      </c>
      <c r="B1007" s="12" t="s">
        <v>19</v>
      </c>
      <c r="C1007" s="12" t="s">
        <v>20</v>
      </c>
      <c r="D1007" s="12" t="s">
        <v>25</v>
      </c>
      <c r="E1007" s="13">
        <v>83843</v>
      </c>
      <c r="F1007" s="14">
        <v>35</v>
      </c>
      <c r="G1007" s="15">
        <v>28110</v>
      </c>
      <c r="H1007" s="16">
        <v>0.2</v>
      </c>
      <c r="I1007" s="13">
        <v>3</v>
      </c>
      <c r="J1007" s="15">
        <v>196770</v>
      </c>
      <c r="K1007" s="15">
        <v>787080</v>
      </c>
      <c r="L1007" s="15">
        <v>706492.09258249693</v>
      </c>
      <c r="M1007" s="15">
        <v>80587.907417503069</v>
      </c>
    </row>
    <row r="1008" spans="1:13" x14ac:dyDescent="0.25">
      <c r="A1008" s="12">
        <v>45933</v>
      </c>
      <c r="B1008" s="12" t="s">
        <v>16</v>
      </c>
      <c r="C1008" s="12" t="s">
        <v>17</v>
      </c>
      <c r="D1008" s="12" t="s">
        <v>27</v>
      </c>
      <c r="E1008" s="13">
        <v>50205</v>
      </c>
      <c r="F1008" s="14">
        <v>26</v>
      </c>
      <c r="G1008" s="15">
        <v>7463</v>
      </c>
      <c r="H1008" s="16">
        <v>0.1</v>
      </c>
      <c r="I1008" s="13">
        <v>3</v>
      </c>
      <c r="J1008" s="15">
        <v>19403.8</v>
      </c>
      <c r="K1008" s="15">
        <v>174634.2</v>
      </c>
      <c r="L1008" s="15">
        <v>110167.9579701334</v>
      </c>
      <c r="M1008" s="15">
        <v>64466.242029866633</v>
      </c>
    </row>
    <row r="1009" spans="1:13" x14ac:dyDescent="0.25">
      <c r="A1009" s="12">
        <v>45934</v>
      </c>
      <c r="B1009" s="12" t="s">
        <v>19</v>
      </c>
      <c r="C1009" s="12" t="s">
        <v>20</v>
      </c>
      <c r="D1009" s="12" t="s">
        <v>27</v>
      </c>
      <c r="E1009" s="13">
        <v>44159</v>
      </c>
      <c r="F1009" s="14">
        <v>18</v>
      </c>
      <c r="G1009" s="15">
        <v>8338</v>
      </c>
      <c r="H1009" s="16">
        <v>0.2</v>
      </c>
      <c r="I1009" s="13">
        <v>4</v>
      </c>
      <c r="J1009" s="15">
        <v>30016.799999999999</v>
      </c>
      <c r="K1009" s="15">
        <v>120067.2</v>
      </c>
      <c r="L1009" s="15">
        <v>73948.412551445508</v>
      </c>
      <c r="M1009" s="15">
        <v>46118.787448554489</v>
      </c>
    </row>
    <row r="1010" spans="1:13" x14ac:dyDescent="0.25">
      <c r="A1010" s="12">
        <v>45935</v>
      </c>
      <c r="B1010" s="12" t="s">
        <v>16</v>
      </c>
      <c r="C1010" s="12" t="s">
        <v>14</v>
      </c>
      <c r="D1010" s="12" t="s">
        <v>18</v>
      </c>
      <c r="E1010" s="13">
        <v>21516</v>
      </c>
      <c r="F1010" s="14">
        <v>29</v>
      </c>
      <c r="G1010" s="15">
        <v>45667</v>
      </c>
      <c r="H1010" s="16">
        <v>0.05</v>
      </c>
      <c r="I1010" s="13">
        <v>2</v>
      </c>
      <c r="J1010" s="15">
        <v>66217.150000000009</v>
      </c>
      <c r="K1010" s="15">
        <v>1258125.8500000001</v>
      </c>
      <c r="L1010" s="15">
        <v>1077812.244727375</v>
      </c>
      <c r="M1010" s="15">
        <v>180313.60527262531</v>
      </c>
    </row>
    <row r="1011" spans="1:13" x14ac:dyDescent="0.25">
      <c r="A1011" s="12">
        <v>45936</v>
      </c>
      <c r="B1011" s="12" t="s">
        <v>16</v>
      </c>
      <c r="C1011" s="12" t="s">
        <v>21</v>
      </c>
      <c r="D1011" s="12" t="s">
        <v>27</v>
      </c>
      <c r="E1011" s="13">
        <v>60492</v>
      </c>
      <c r="F1011" s="14">
        <v>23</v>
      </c>
      <c r="G1011" s="15">
        <v>12743</v>
      </c>
      <c r="H1011" s="16">
        <v>0.1</v>
      </c>
      <c r="I1011" s="13">
        <v>5</v>
      </c>
      <c r="J1011" s="15">
        <v>29308.9</v>
      </c>
      <c r="K1011" s="15">
        <v>263780.09999999998</v>
      </c>
      <c r="L1011" s="15">
        <v>231646.2660569057</v>
      </c>
      <c r="M1011" s="15">
        <v>32133.83394309424</v>
      </c>
    </row>
    <row r="1012" spans="1:13" x14ac:dyDescent="0.25">
      <c r="A1012" s="12">
        <v>45937</v>
      </c>
      <c r="B1012" s="12" t="s">
        <v>19</v>
      </c>
      <c r="C1012" s="12" t="s">
        <v>20</v>
      </c>
      <c r="D1012" s="12" t="s">
        <v>26</v>
      </c>
      <c r="E1012" s="13">
        <v>39086</v>
      </c>
      <c r="F1012" s="14">
        <v>14</v>
      </c>
      <c r="G1012" s="15">
        <v>28439</v>
      </c>
      <c r="H1012" s="16">
        <v>0.2</v>
      </c>
      <c r="I1012" s="13">
        <v>1</v>
      </c>
      <c r="J1012" s="15">
        <v>79629.200000000012</v>
      </c>
      <c r="K1012" s="15">
        <v>318516.8</v>
      </c>
      <c r="L1012" s="15">
        <v>199765.967463732</v>
      </c>
      <c r="M1012" s="15">
        <v>118750.832536268</v>
      </c>
    </row>
    <row r="1013" spans="1:13" x14ac:dyDescent="0.25">
      <c r="A1013" s="12">
        <v>45938</v>
      </c>
      <c r="B1013" s="12" t="s">
        <v>19</v>
      </c>
      <c r="C1013" s="12" t="s">
        <v>20</v>
      </c>
      <c r="D1013" s="12" t="s">
        <v>26</v>
      </c>
      <c r="E1013" s="13">
        <v>40480</v>
      </c>
      <c r="F1013" s="14">
        <v>15</v>
      </c>
      <c r="G1013" s="15">
        <v>2345</v>
      </c>
      <c r="H1013" s="16">
        <v>0.1</v>
      </c>
      <c r="I1013" s="13">
        <v>5</v>
      </c>
      <c r="J1013" s="15">
        <v>3517.5</v>
      </c>
      <c r="K1013" s="15">
        <v>31657.5</v>
      </c>
      <c r="L1013" s="15">
        <v>20071.748628661939</v>
      </c>
      <c r="M1013" s="15">
        <v>11585.751371338059</v>
      </c>
    </row>
    <row r="1014" spans="1:13" x14ac:dyDescent="0.25">
      <c r="A1014" s="12">
        <v>45939</v>
      </c>
      <c r="B1014" s="12" t="s">
        <v>24</v>
      </c>
      <c r="C1014" s="12" t="s">
        <v>21</v>
      </c>
      <c r="D1014" s="12" t="s">
        <v>22</v>
      </c>
      <c r="E1014" s="13">
        <v>62091</v>
      </c>
      <c r="F1014" s="14">
        <v>49</v>
      </c>
      <c r="G1014" s="15">
        <v>47210</v>
      </c>
      <c r="H1014" s="16">
        <v>0.05</v>
      </c>
      <c r="I1014" s="13">
        <v>4</v>
      </c>
      <c r="J1014" s="15">
        <v>115664.5</v>
      </c>
      <c r="K1014" s="15">
        <v>2197625.5</v>
      </c>
      <c r="L1014" s="15">
        <v>1340446.612507533</v>
      </c>
      <c r="M1014" s="15">
        <v>857178.88749246672</v>
      </c>
    </row>
    <row r="1015" spans="1:13" x14ac:dyDescent="0.25">
      <c r="A1015" s="12">
        <v>45940</v>
      </c>
      <c r="B1015" s="12" t="s">
        <v>13</v>
      </c>
      <c r="C1015" s="12" t="s">
        <v>17</v>
      </c>
      <c r="D1015" s="12" t="s">
        <v>22</v>
      </c>
      <c r="E1015" s="13">
        <v>57766</v>
      </c>
      <c r="F1015" s="14">
        <v>33</v>
      </c>
      <c r="G1015" s="15">
        <v>17266</v>
      </c>
      <c r="H1015" s="16">
        <v>0.2</v>
      </c>
      <c r="I1015" s="13">
        <v>3</v>
      </c>
      <c r="J1015" s="15">
        <v>113955.6</v>
      </c>
      <c r="K1015" s="15">
        <v>455822.4</v>
      </c>
      <c r="L1015" s="15">
        <v>287784.50640658708</v>
      </c>
      <c r="M1015" s="15">
        <v>168037.89359341291</v>
      </c>
    </row>
    <row r="1016" spans="1:13" x14ac:dyDescent="0.25">
      <c r="A1016" s="12">
        <v>45941</v>
      </c>
      <c r="B1016" s="12" t="s">
        <v>19</v>
      </c>
      <c r="C1016" s="12" t="s">
        <v>21</v>
      </c>
      <c r="D1016" s="12" t="s">
        <v>27</v>
      </c>
      <c r="E1016" s="13">
        <v>48737</v>
      </c>
      <c r="F1016" s="14">
        <v>25</v>
      </c>
      <c r="G1016" s="15">
        <v>37380</v>
      </c>
      <c r="H1016" s="16">
        <v>0</v>
      </c>
      <c r="I1016" s="13">
        <v>3</v>
      </c>
      <c r="J1016" s="15">
        <v>0</v>
      </c>
      <c r="K1016" s="15">
        <v>934500</v>
      </c>
      <c r="L1016" s="15">
        <v>619410.84563995874</v>
      </c>
      <c r="M1016" s="15">
        <v>315089.15436004131</v>
      </c>
    </row>
    <row r="1017" spans="1:13" x14ac:dyDescent="0.25">
      <c r="A1017" s="12">
        <v>45942</v>
      </c>
      <c r="B1017" s="12" t="s">
        <v>24</v>
      </c>
      <c r="C1017" s="12" t="s">
        <v>20</v>
      </c>
      <c r="D1017" s="12" t="s">
        <v>25</v>
      </c>
      <c r="E1017" s="13">
        <v>19265</v>
      </c>
      <c r="F1017" s="14">
        <v>21</v>
      </c>
      <c r="G1017" s="15">
        <v>13280</v>
      </c>
      <c r="H1017" s="16">
        <v>0.05</v>
      </c>
      <c r="I1017" s="13">
        <v>2</v>
      </c>
      <c r="J1017" s="15">
        <v>13944</v>
      </c>
      <c r="K1017" s="15">
        <v>264936</v>
      </c>
      <c r="L1017" s="15">
        <v>236064.06573226201</v>
      </c>
      <c r="M1017" s="15">
        <v>28871.93426773799</v>
      </c>
    </row>
    <row r="1018" spans="1:13" x14ac:dyDescent="0.25">
      <c r="A1018" s="12">
        <v>45943</v>
      </c>
      <c r="B1018" s="12" t="s">
        <v>24</v>
      </c>
      <c r="C1018" s="12" t="s">
        <v>17</v>
      </c>
      <c r="D1018" s="12" t="s">
        <v>22</v>
      </c>
      <c r="E1018" s="13">
        <v>80990</v>
      </c>
      <c r="F1018" s="14">
        <v>17</v>
      </c>
      <c r="G1018" s="15">
        <v>48958</v>
      </c>
      <c r="H1018" s="16">
        <v>0.15</v>
      </c>
      <c r="I1018" s="13">
        <v>4</v>
      </c>
      <c r="J1018" s="15">
        <v>124842.9</v>
      </c>
      <c r="K1018" s="15">
        <v>707443.1</v>
      </c>
      <c r="L1018" s="15">
        <v>566207.79179637856</v>
      </c>
      <c r="M1018" s="15">
        <v>141235.30820362139</v>
      </c>
    </row>
    <row r="1019" spans="1:13" x14ac:dyDescent="0.25">
      <c r="A1019" s="12">
        <v>45944</v>
      </c>
      <c r="B1019" s="12" t="s">
        <v>13</v>
      </c>
      <c r="C1019" s="12" t="s">
        <v>17</v>
      </c>
      <c r="D1019" s="12" t="s">
        <v>22</v>
      </c>
      <c r="E1019" s="13">
        <v>25386</v>
      </c>
      <c r="F1019" s="14">
        <v>23</v>
      </c>
      <c r="G1019" s="15">
        <v>43356</v>
      </c>
      <c r="H1019" s="16">
        <v>0.15</v>
      </c>
      <c r="I1019" s="13">
        <v>5</v>
      </c>
      <c r="J1019" s="15">
        <v>149578.20000000001</v>
      </c>
      <c r="K1019" s="15">
        <v>847609.8</v>
      </c>
      <c r="L1019" s="15">
        <v>706538.63227474992</v>
      </c>
      <c r="M1019" s="15">
        <v>141071.1677252501</v>
      </c>
    </row>
    <row r="1020" spans="1:13" x14ac:dyDescent="0.25">
      <c r="A1020" s="12">
        <v>45945</v>
      </c>
      <c r="B1020" s="12" t="s">
        <v>16</v>
      </c>
      <c r="C1020" s="12" t="s">
        <v>21</v>
      </c>
      <c r="D1020" s="12" t="s">
        <v>26</v>
      </c>
      <c r="E1020" s="13">
        <v>47425</v>
      </c>
      <c r="F1020" s="14">
        <v>43</v>
      </c>
      <c r="G1020" s="15">
        <v>2009</v>
      </c>
      <c r="H1020" s="16">
        <v>0.05</v>
      </c>
      <c r="I1020" s="13">
        <v>4</v>
      </c>
      <c r="J1020" s="15">
        <v>4319.3500000000004</v>
      </c>
      <c r="K1020" s="15">
        <v>82067.649999999994</v>
      </c>
      <c r="L1020" s="15">
        <v>68349.371080009354</v>
      </c>
      <c r="M1020" s="15">
        <v>13718.27891999064</v>
      </c>
    </row>
    <row r="1021" spans="1:13" x14ac:dyDescent="0.25">
      <c r="A1021" s="12">
        <v>45946</v>
      </c>
      <c r="B1021" s="12" t="s">
        <v>19</v>
      </c>
      <c r="C1021" s="12" t="s">
        <v>20</v>
      </c>
      <c r="D1021" s="12" t="s">
        <v>25</v>
      </c>
      <c r="E1021" s="13">
        <v>53254</v>
      </c>
      <c r="F1021" s="14">
        <v>17</v>
      </c>
      <c r="G1021" s="15">
        <v>24457</v>
      </c>
      <c r="H1021" s="16">
        <v>0.15</v>
      </c>
      <c r="I1021" s="13">
        <v>4</v>
      </c>
      <c r="J1021" s="15">
        <v>62365.35</v>
      </c>
      <c r="K1021" s="15">
        <v>353403.65</v>
      </c>
      <c r="L1021" s="15">
        <v>268771.29485734837</v>
      </c>
      <c r="M1021" s="15">
        <v>84632.35514265165</v>
      </c>
    </row>
    <row r="1022" spans="1:13" x14ac:dyDescent="0.25">
      <c r="A1022" s="12">
        <v>45947</v>
      </c>
      <c r="B1022" s="12" t="s">
        <v>13</v>
      </c>
      <c r="C1022" s="12" t="s">
        <v>14</v>
      </c>
      <c r="D1022" s="12" t="s">
        <v>18</v>
      </c>
      <c r="E1022" s="13">
        <v>99863</v>
      </c>
      <c r="F1022" s="14">
        <v>14</v>
      </c>
      <c r="G1022" s="15">
        <v>45672</v>
      </c>
      <c r="H1022" s="16">
        <v>0.05</v>
      </c>
      <c r="I1022" s="13">
        <v>3</v>
      </c>
      <c r="J1022" s="15">
        <v>31970.400000000001</v>
      </c>
      <c r="K1022" s="15">
        <v>607437.6</v>
      </c>
      <c r="L1022" s="15">
        <v>509789.99719453458</v>
      </c>
      <c r="M1022" s="15">
        <v>97647.602805465402</v>
      </c>
    </row>
    <row r="1023" spans="1:13" x14ac:dyDescent="0.25">
      <c r="A1023" s="12">
        <v>45948</v>
      </c>
      <c r="B1023" s="12" t="s">
        <v>19</v>
      </c>
      <c r="C1023" s="12" t="s">
        <v>20</v>
      </c>
      <c r="D1023" s="12" t="s">
        <v>27</v>
      </c>
      <c r="E1023" s="13">
        <v>63634</v>
      </c>
      <c r="F1023" s="14">
        <v>29</v>
      </c>
      <c r="G1023" s="15">
        <v>34846</v>
      </c>
      <c r="H1023" s="16">
        <v>0</v>
      </c>
      <c r="I1023" s="13">
        <v>5</v>
      </c>
      <c r="J1023" s="15">
        <v>0</v>
      </c>
      <c r="K1023" s="15">
        <v>1010534</v>
      </c>
      <c r="L1023" s="15">
        <v>786945.53068084968</v>
      </c>
      <c r="M1023" s="15">
        <v>223588.46931915029</v>
      </c>
    </row>
    <row r="1024" spans="1:13" x14ac:dyDescent="0.25">
      <c r="A1024" s="12">
        <v>45949</v>
      </c>
      <c r="B1024" s="12" t="s">
        <v>24</v>
      </c>
      <c r="C1024" s="12" t="s">
        <v>23</v>
      </c>
      <c r="D1024" s="12" t="s">
        <v>22</v>
      </c>
      <c r="E1024" s="13">
        <v>96717</v>
      </c>
      <c r="F1024" s="14">
        <v>20</v>
      </c>
      <c r="G1024" s="15">
        <v>17763</v>
      </c>
      <c r="H1024" s="16">
        <v>0.05</v>
      </c>
      <c r="I1024" s="13">
        <v>1</v>
      </c>
      <c r="J1024" s="15">
        <v>17763</v>
      </c>
      <c r="K1024" s="15">
        <v>337497</v>
      </c>
      <c r="L1024" s="15">
        <v>234345.7092908521</v>
      </c>
      <c r="M1024" s="15">
        <v>103151.2907091479</v>
      </c>
    </row>
    <row r="1025" spans="1:13" x14ac:dyDescent="0.25">
      <c r="A1025" s="12">
        <v>45950</v>
      </c>
      <c r="B1025" s="12" t="s">
        <v>24</v>
      </c>
      <c r="C1025" s="12" t="s">
        <v>14</v>
      </c>
      <c r="D1025" s="12" t="s">
        <v>25</v>
      </c>
      <c r="E1025" s="13">
        <v>57662</v>
      </c>
      <c r="F1025" s="14">
        <v>30</v>
      </c>
      <c r="G1025" s="15">
        <v>47374</v>
      </c>
      <c r="H1025" s="16">
        <v>0.2</v>
      </c>
      <c r="I1025" s="13">
        <v>3</v>
      </c>
      <c r="J1025" s="15">
        <v>284244</v>
      </c>
      <c r="K1025" s="15">
        <v>1136976</v>
      </c>
      <c r="L1025" s="15">
        <v>873576.2181081184</v>
      </c>
      <c r="M1025" s="15">
        <v>263399.7818918816</v>
      </c>
    </row>
    <row r="1026" spans="1:13" x14ac:dyDescent="0.25">
      <c r="A1026" s="12">
        <v>45951</v>
      </c>
      <c r="B1026" s="12" t="s">
        <v>16</v>
      </c>
      <c r="C1026" s="12" t="s">
        <v>17</v>
      </c>
      <c r="D1026" s="12" t="s">
        <v>25</v>
      </c>
      <c r="E1026" s="13">
        <v>96988</v>
      </c>
      <c r="F1026" s="14">
        <v>19</v>
      </c>
      <c r="G1026" s="15">
        <v>26648</v>
      </c>
      <c r="H1026" s="16">
        <v>0.2</v>
      </c>
      <c r="I1026" s="13">
        <v>5</v>
      </c>
      <c r="J1026" s="15">
        <v>101262.39999999999</v>
      </c>
      <c r="K1026" s="15">
        <v>405049.59999999998</v>
      </c>
      <c r="L1026" s="15">
        <v>307858.99182310503</v>
      </c>
      <c r="M1026" s="15">
        <v>97190.608176894952</v>
      </c>
    </row>
    <row r="1027" spans="1:13" x14ac:dyDescent="0.25">
      <c r="A1027" s="12">
        <v>45952</v>
      </c>
      <c r="B1027" s="12" t="s">
        <v>24</v>
      </c>
      <c r="C1027" s="12" t="s">
        <v>14</v>
      </c>
      <c r="D1027" s="12" t="s">
        <v>27</v>
      </c>
      <c r="E1027" s="13">
        <v>97527</v>
      </c>
      <c r="F1027" s="14">
        <v>39</v>
      </c>
      <c r="G1027" s="15">
        <v>32033</v>
      </c>
      <c r="H1027" s="16">
        <v>0.1</v>
      </c>
      <c r="I1027" s="13">
        <v>2</v>
      </c>
      <c r="J1027" s="15">
        <v>124928.7</v>
      </c>
      <c r="K1027" s="15">
        <v>1124358.3</v>
      </c>
      <c r="L1027" s="15">
        <v>952371.86269639165</v>
      </c>
      <c r="M1027" s="15">
        <v>171986.4373036084</v>
      </c>
    </row>
    <row r="1028" spans="1:13" x14ac:dyDescent="0.25">
      <c r="A1028" s="12">
        <v>45953</v>
      </c>
      <c r="B1028" s="12" t="s">
        <v>24</v>
      </c>
      <c r="C1028" s="12" t="s">
        <v>17</v>
      </c>
      <c r="D1028" s="12" t="s">
        <v>25</v>
      </c>
      <c r="E1028" s="13">
        <v>85452</v>
      </c>
      <c r="F1028" s="14">
        <v>13</v>
      </c>
      <c r="G1028" s="15">
        <v>43108</v>
      </c>
      <c r="H1028" s="16">
        <v>0.15</v>
      </c>
      <c r="I1028" s="13">
        <v>3</v>
      </c>
      <c r="J1028" s="15">
        <v>84060.599999999991</v>
      </c>
      <c r="K1028" s="15">
        <v>476343.4</v>
      </c>
      <c r="L1028" s="15">
        <v>426097.82418003562</v>
      </c>
      <c r="M1028" s="15">
        <v>50245.575819964397</v>
      </c>
    </row>
    <row r="1029" spans="1:13" x14ac:dyDescent="0.25">
      <c r="A1029" s="12">
        <v>45954</v>
      </c>
      <c r="B1029" s="12" t="s">
        <v>13</v>
      </c>
      <c r="C1029" s="12" t="s">
        <v>17</v>
      </c>
      <c r="D1029" s="12" t="s">
        <v>25</v>
      </c>
      <c r="E1029" s="13">
        <v>20143</v>
      </c>
      <c r="F1029" s="14">
        <v>18</v>
      </c>
      <c r="G1029" s="15">
        <v>13431</v>
      </c>
      <c r="H1029" s="16">
        <v>0.15</v>
      </c>
      <c r="I1029" s="13">
        <v>2</v>
      </c>
      <c r="J1029" s="15">
        <v>36263.699999999997</v>
      </c>
      <c r="K1029" s="15">
        <v>205494.3</v>
      </c>
      <c r="L1029" s="15">
        <v>148636.65127541349</v>
      </c>
      <c r="M1029" s="15">
        <v>56857.648724586499</v>
      </c>
    </row>
    <row r="1030" spans="1:13" x14ac:dyDescent="0.25">
      <c r="A1030" s="12">
        <v>45955</v>
      </c>
      <c r="B1030" s="12" t="s">
        <v>19</v>
      </c>
      <c r="C1030" s="12" t="s">
        <v>14</v>
      </c>
      <c r="D1030" s="12" t="s">
        <v>25</v>
      </c>
      <c r="E1030" s="13">
        <v>25581</v>
      </c>
      <c r="F1030" s="14">
        <v>23</v>
      </c>
      <c r="G1030" s="15">
        <v>1859</v>
      </c>
      <c r="H1030" s="16">
        <v>0.05</v>
      </c>
      <c r="I1030" s="13">
        <v>3</v>
      </c>
      <c r="J1030" s="15">
        <v>2137.85</v>
      </c>
      <c r="K1030" s="15">
        <v>40619.15</v>
      </c>
      <c r="L1030" s="15">
        <v>33673.974142863408</v>
      </c>
      <c r="M1030" s="15">
        <v>6945.1758571365935</v>
      </c>
    </row>
    <row r="1031" spans="1:13" x14ac:dyDescent="0.25">
      <c r="A1031" s="12">
        <v>45956</v>
      </c>
      <c r="B1031" s="12" t="s">
        <v>19</v>
      </c>
      <c r="C1031" s="12" t="s">
        <v>17</v>
      </c>
      <c r="D1031" s="12" t="s">
        <v>22</v>
      </c>
      <c r="E1031" s="13">
        <v>77443</v>
      </c>
      <c r="F1031" s="14">
        <v>46</v>
      </c>
      <c r="G1031" s="15">
        <v>25032</v>
      </c>
      <c r="H1031" s="16">
        <v>0.15</v>
      </c>
      <c r="I1031" s="13">
        <v>4</v>
      </c>
      <c r="J1031" s="15">
        <v>172720.8</v>
      </c>
      <c r="K1031" s="15">
        <v>978751.2</v>
      </c>
      <c r="L1031" s="15">
        <v>616543.66797537834</v>
      </c>
      <c r="M1031" s="15">
        <v>362207.53202462161</v>
      </c>
    </row>
    <row r="1032" spans="1:13" x14ac:dyDescent="0.25">
      <c r="A1032" s="12">
        <v>45957</v>
      </c>
      <c r="B1032" s="12" t="s">
        <v>13</v>
      </c>
      <c r="C1032" s="12" t="s">
        <v>17</v>
      </c>
      <c r="D1032" s="12" t="s">
        <v>27</v>
      </c>
      <c r="E1032" s="13">
        <v>39424</v>
      </c>
      <c r="F1032" s="14">
        <v>33</v>
      </c>
      <c r="G1032" s="15">
        <v>20844</v>
      </c>
      <c r="H1032" s="16">
        <v>0.2</v>
      </c>
      <c r="I1032" s="13">
        <v>5</v>
      </c>
      <c r="J1032" s="15">
        <v>137570.4</v>
      </c>
      <c r="K1032" s="15">
        <v>550281.6</v>
      </c>
      <c r="L1032" s="15">
        <v>458411.76267305861</v>
      </c>
      <c r="M1032" s="15">
        <v>91869.837326941371</v>
      </c>
    </row>
    <row r="1033" spans="1:13" x14ac:dyDescent="0.25">
      <c r="A1033" s="12">
        <v>45958</v>
      </c>
      <c r="B1033" s="12" t="s">
        <v>16</v>
      </c>
      <c r="C1033" s="12" t="s">
        <v>23</v>
      </c>
      <c r="D1033" s="12" t="s">
        <v>25</v>
      </c>
      <c r="E1033" s="13">
        <v>98844</v>
      </c>
      <c r="F1033" s="14">
        <v>39</v>
      </c>
      <c r="G1033" s="15">
        <v>4742</v>
      </c>
      <c r="H1033" s="16">
        <v>0</v>
      </c>
      <c r="I1033" s="13">
        <v>2</v>
      </c>
      <c r="J1033" s="15">
        <v>0</v>
      </c>
      <c r="K1033" s="15">
        <v>184938</v>
      </c>
      <c r="L1033" s="15">
        <v>131569.5302610613</v>
      </c>
      <c r="M1033" s="15">
        <v>53368.469738938671</v>
      </c>
    </row>
    <row r="1034" spans="1:13" x14ac:dyDescent="0.25">
      <c r="A1034" s="12">
        <v>45959</v>
      </c>
      <c r="B1034" s="12" t="s">
        <v>19</v>
      </c>
      <c r="C1034" s="12" t="s">
        <v>20</v>
      </c>
      <c r="D1034" s="12" t="s">
        <v>25</v>
      </c>
      <c r="E1034" s="13">
        <v>51984</v>
      </c>
      <c r="F1034" s="14">
        <v>40</v>
      </c>
      <c r="G1034" s="15">
        <v>21101</v>
      </c>
      <c r="H1034" s="16">
        <v>0.05</v>
      </c>
      <c r="I1034" s="13">
        <v>3</v>
      </c>
      <c r="J1034" s="15">
        <v>42202</v>
      </c>
      <c r="K1034" s="15">
        <v>801838</v>
      </c>
      <c r="L1034" s="15">
        <v>490578.15882934222</v>
      </c>
      <c r="M1034" s="15">
        <v>311259.84117065778</v>
      </c>
    </row>
    <row r="1035" spans="1:13" x14ac:dyDescent="0.25">
      <c r="A1035" s="12">
        <v>45960</v>
      </c>
      <c r="B1035" s="12" t="s">
        <v>24</v>
      </c>
      <c r="C1035" s="12" t="s">
        <v>20</v>
      </c>
      <c r="D1035" s="12" t="s">
        <v>22</v>
      </c>
      <c r="E1035" s="13">
        <v>51505</v>
      </c>
      <c r="F1035" s="14">
        <v>18</v>
      </c>
      <c r="G1035" s="15">
        <v>49732</v>
      </c>
      <c r="H1035" s="16">
        <v>0.15</v>
      </c>
      <c r="I1035" s="13">
        <v>2</v>
      </c>
      <c r="J1035" s="15">
        <v>134276.4</v>
      </c>
      <c r="K1035" s="15">
        <v>760899.6</v>
      </c>
      <c r="L1035" s="15">
        <v>539457.92159084673</v>
      </c>
      <c r="M1035" s="15">
        <v>221441.67840915319</v>
      </c>
    </row>
    <row r="1036" spans="1:13" x14ac:dyDescent="0.25">
      <c r="A1036" s="12">
        <v>45961</v>
      </c>
      <c r="B1036" s="12" t="s">
        <v>19</v>
      </c>
      <c r="C1036" s="12" t="s">
        <v>23</v>
      </c>
      <c r="D1036" s="12" t="s">
        <v>27</v>
      </c>
      <c r="E1036" s="13">
        <v>72699</v>
      </c>
      <c r="F1036" s="14">
        <v>9</v>
      </c>
      <c r="G1036" s="15">
        <v>19616</v>
      </c>
      <c r="H1036" s="16">
        <v>0.2</v>
      </c>
      <c r="I1036" s="13">
        <v>3</v>
      </c>
      <c r="J1036" s="15">
        <v>35308.800000000003</v>
      </c>
      <c r="K1036" s="15">
        <v>141235.20000000001</v>
      </c>
      <c r="L1036" s="15">
        <v>110614.3953164906</v>
      </c>
      <c r="M1036" s="15">
        <v>30620.804683509381</v>
      </c>
    </row>
    <row r="1037" spans="1:13" x14ac:dyDescent="0.25">
      <c r="A1037" s="12">
        <v>45962</v>
      </c>
      <c r="B1037" s="12" t="s">
        <v>24</v>
      </c>
      <c r="C1037" s="12" t="s">
        <v>14</v>
      </c>
      <c r="D1037" s="12" t="s">
        <v>26</v>
      </c>
      <c r="E1037" s="13">
        <v>36957</v>
      </c>
      <c r="F1037" s="14">
        <v>33</v>
      </c>
      <c r="G1037" s="15">
        <v>35977</v>
      </c>
      <c r="H1037" s="16">
        <v>0.1</v>
      </c>
      <c r="I1037" s="13">
        <v>3</v>
      </c>
      <c r="J1037" s="15">
        <v>118724.1</v>
      </c>
      <c r="K1037" s="15">
        <v>1068516.8999999999</v>
      </c>
      <c r="L1037" s="15">
        <v>679336.38584864419</v>
      </c>
      <c r="M1037" s="15">
        <v>389180.51415135572</v>
      </c>
    </row>
    <row r="1038" spans="1:13" x14ac:dyDescent="0.25">
      <c r="A1038" s="12">
        <v>45963</v>
      </c>
      <c r="B1038" s="12" t="s">
        <v>16</v>
      </c>
      <c r="C1038" s="12" t="s">
        <v>21</v>
      </c>
      <c r="D1038" s="12" t="s">
        <v>22</v>
      </c>
      <c r="E1038" s="13">
        <v>35464</v>
      </c>
      <c r="F1038" s="14">
        <v>32</v>
      </c>
      <c r="G1038" s="15">
        <v>31282</v>
      </c>
      <c r="H1038" s="16">
        <v>0.15</v>
      </c>
      <c r="I1038" s="13">
        <v>1</v>
      </c>
      <c r="J1038" s="15">
        <v>150153.60000000001</v>
      </c>
      <c r="K1038" s="15">
        <v>850870.4</v>
      </c>
      <c r="L1038" s="15">
        <v>746392.31945637846</v>
      </c>
      <c r="M1038" s="15">
        <v>104478.0805436216</v>
      </c>
    </row>
    <row r="1039" spans="1:13" x14ac:dyDescent="0.25">
      <c r="A1039" s="12">
        <v>45964</v>
      </c>
      <c r="B1039" s="12" t="s">
        <v>13</v>
      </c>
      <c r="C1039" s="12" t="s">
        <v>21</v>
      </c>
      <c r="D1039" s="12" t="s">
        <v>27</v>
      </c>
      <c r="E1039" s="13">
        <v>33649</v>
      </c>
      <c r="F1039" s="14">
        <v>17</v>
      </c>
      <c r="G1039" s="15">
        <v>46059</v>
      </c>
      <c r="H1039" s="16">
        <v>0</v>
      </c>
      <c r="I1039" s="13">
        <v>1</v>
      </c>
      <c r="J1039" s="15">
        <v>0</v>
      </c>
      <c r="K1039" s="15">
        <v>783003</v>
      </c>
      <c r="L1039" s="15">
        <v>488047.11978296167</v>
      </c>
      <c r="M1039" s="15">
        <v>294955.88021703833</v>
      </c>
    </row>
    <row r="1040" spans="1:13" x14ac:dyDescent="0.25">
      <c r="A1040" s="12">
        <v>45965</v>
      </c>
      <c r="B1040" s="12" t="s">
        <v>19</v>
      </c>
      <c r="C1040" s="12" t="s">
        <v>21</v>
      </c>
      <c r="D1040" s="12" t="s">
        <v>25</v>
      </c>
      <c r="E1040" s="13">
        <v>52065</v>
      </c>
      <c r="F1040" s="14">
        <v>19</v>
      </c>
      <c r="G1040" s="15">
        <v>19380</v>
      </c>
      <c r="H1040" s="16">
        <v>0</v>
      </c>
      <c r="I1040" s="13">
        <v>1</v>
      </c>
      <c r="J1040" s="15">
        <v>0</v>
      </c>
      <c r="K1040" s="15">
        <v>368220</v>
      </c>
      <c r="L1040" s="15">
        <v>323666.12231309048</v>
      </c>
      <c r="M1040" s="15">
        <v>44553.877686909458</v>
      </c>
    </row>
    <row r="1041" spans="1:13" x14ac:dyDescent="0.25">
      <c r="A1041" s="12">
        <v>45966</v>
      </c>
      <c r="B1041" s="12" t="s">
        <v>13</v>
      </c>
      <c r="C1041" s="12" t="s">
        <v>23</v>
      </c>
      <c r="D1041" s="12" t="s">
        <v>27</v>
      </c>
      <c r="E1041" s="13">
        <v>44758</v>
      </c>
      <c r="F1041" s="14">
        <v>27</v>
      </c>
      <c r="G1041" s="15">
        <v>3999</v>
      </c>
      <c r="H1041" s="16">
        <v>0.15</v>
      </c>
      <c r="I1041" s="13">
        <v>2</v>
      </c>
      <c r="J1041" s="15">
        <v>16195.95</v>
      </c>
      <c r="K1041" s="15">
        <v>91777.05</v>
      </c>
      <c r="L1041" s="15">
        <v>74535.928602137821</v>
      </c>
      <c r="M1041" s="15">
        <v>17241.121397862182</v>
      </c>
    </row>
    <row r="1042" spans="1:13" x14ac:dyDescent="0.25">
      <c r="A1042" s="12">
        <v>45967</v>
      </c>
      <c r="B1042" s="12" t="s">
        <v>19</v>
      </c>
      <c r="C1042" s="12" t="s">
        <v>23</v>
      </c>
      <c r="D1042" s="12" t="s">
        <v>27</v>
      </c>
      <c r="E1042" s="13">
        <v>15596</v>
      </c>
      <c r="F1042" s="14">
        <v>6</v>
      </c>
      <c r="G1042" s="15">
        <v>32087</v>
      </c>
      <c r="H1042" s="16">
        <v>0.15</v>
      </c>
      <c r="I1042" s="13">
        <v>4</v>
      </c>
      <c r="J1042" s="15">
        <v>28878.3</v>
      </c>
      <c r="K1042" s="15">
        <v>163643.70000000001</v>
      </c>
      <c r="L1042" s="15">
        <v>114372.8160959488</v>
      </c>
      <c r="M1042" s="15">
        <v>49270.88390405121</v>
      </c>
    </row>
    <row r="1043" spans="1:13" x14ac:dyDescent="0.25">
      <c r="A1043" s="12">
        <v>45968</v>
      </c>
      <c r="B1043" s="12" t="s">
        <v>24</v>
      </c>
      <c r="C1043" s="12" t="s">
        <v>17</v>
      </c>
      <c r="D1043" s="12" t="s">
        <v>18</v>
      </c>
      <c r="E1043" s="13">
        <v>26374</v>
      </c>
      <c r="F1043" s="14">
        <v>35</v>
      </c>
      <c r="G1043" s="15">
        <v>44958</v>
      </c>
      <c r="H1043" s="16">
        <v>0.2</v>
      </c>
      <c r="I1043" s="13">
        <v>3</v>
      </c>
      <c r="J1043" s="15">
        <v>314706</v>
      </c>
      <c r="K1043" s="15">
        <v>1258824</v>
      </c>
      <c r="L1043" s="15">
        <v>902860.17471136549</v>
      </c>
      <c r="M1043" s="15">
        <v>355963.82528863451</v>
      </c>
    </row>
    <row r="1044" spans="1:13" x14ac:dyDescent="0.25">
      <c r="A1044" s="12">
        <v>45969</v>
      </c>
      <c r="B1044" s="12" t="s">
        <v>13</v>
      </c>
      <c r="C1044" s="12" t="s">
        <v>21</v>
      </c>
      <c r="D1044" s="12" t="s">
        <v>27</v>
      </c>
      <c r="E1044" s="13">
        <v>13775</v>
      </c>
      <c r="F1044" s="14">
        <v>37</v>
      </c>
      <c r="G1044" s="15">
        <v>26520</v>
      </c>
      <c r="H1044" s="16">
        <v>0.15</v>
      </c>
      <c r="I1044" s="13">
        <v>5</v>
      </c>
      <c r="J1044" s="15">
        <v>147186</v>
      </c>
      <c r="K1044" s="15">
        <v>834054</v>
      </c>
      <c r="L1044" s="15">
        <v>685794.90416784131</v>
      </c>
      <c r="M1044" s="15">
        <v>148259.09583215869</v>
      </c>
    </row>
    <row r="1045" spans="1:13" x14ac:dyDescent="0.25">
      <c r="A1045" s="12">
        <v>45970</v>
      </c>
      <c r="B1045" s="12" t="s">
        <v>19</v>
      </c>
      <c r="C1045" s="12" t="s">
        <v>14</v>
      </c>
      <c r="D1045" s="12" t="s">
        <v>26</v>
      </c>
      <c r="E1045" s="13">
        <v>37388</v>
      </c>
      <c r="F1045" s="14">
        <v>34</v>
      </c>
      <c r="G1045" s="15">
        <v>8580</v>
      </c>
      <c r="H1045" s="16">
        <v>0.1</v>
      </c>
      <c r="I1045" s="13">
        <v>1</v>
      </c>
      <c r="J1045" s="15">
        <v>29172</v>
      </c>
      <c r="K1045" s="15">
        <v>262548</v>
      </c>
      <c r="L1045" s="15">
        <v>204903.31037824781</v>
      </c>
      <c r="M1045" s="15">
        <v>57644.689621752223</v>
      </c>
    </row>
    <row r="1046" spans="1:13" x14ac:dyDescent="0.25">
      <c r="A1046" s="12">
        <v>45971</v>
      </c>
      <c r="B1046" s="12" t="s">
        <v>24</v>
      </c>
      <c r="C1046" s="12" t="s">
        <v>14</v>
      </c>
      <c r="D1046" s="12" t="s">
        <v>27</v>
      </c>
      <c r="E1046" s="13">
        <v>31029</v>
      </c>
      <c r="F1046" s="14">
        <v>20</v>
      </c>
      <c r="G1046" s="15">
        <v>23707</v>
      </c>
      <c r="H1046" s="16">
        <v>0.2</v>
      </c>
      <c r="I1046" s="13">
        <v>2</v>
      </c>
      <c r="J1046" s="15">
        <v>94828</v>
      </c>
      <c r="K1046" s="15">
        <v>379312</v>
      </c>
      <c r="L1046" s="15">
        <v>304015.86594687548</v>
      </c>
      <c r="M1046" s="15">
        <v>75296.134053124522</v>
      </c>
    </row>
    <row r="1047" spans="1:13" x14ac:dyDescent="0.25">
      <c r="A1047" s="12">
        <v>45972</v>
      </c>
      <c r="B1047" s="12" t="s">
        <v>13</v>
      </c>
      <c r="C1047" s="12" t="s">
        <v>21</v>
      </c>
      <c r="D1047" s="12" t="s">
        <v>26</v>
      </c>
      <c r="E1047" s="13">
        <v>93981</v>
      </c>
      <c r="F1047" s="14">
        <v>25</v>
      </c>
      <c r="G1047" s="15">
        <v>34457</v>
      </c>
      <c r="H1047" s="16">
        <v>0.05</v>
      </c>
      <c r="I1047" s="13">
        <v>2</v>
      </c>
      <c r="J1047" s="15">
        <v>43071.25</v>
      </c>
      <c r="K1047" s="15">
        <v>818353.75</v>
      </c>
      <c r="L1047" s="15">
        <v>586554.54698733555</v>
      </c>
      <c r="M1047" s="15">
        <v>231799.20301266451</v>
      </c>
    </row>
    <row r="1048" spans="1:13" x14ac:dyDescent="0.25">
      <c r="A1048" s="12">
        <v>45973</v>
      </c>
      <c r="B1048" s="12" t="s">
        <v>13</v>
      </c>
      <c r="C1048" s="12" t="s">
        <v>21</v>
      </c>
      <c r="D1048" s="12" t="s">
        <v>25</v>
      </c>
      <c r="E1048" s="13">
        <v>63639</v>
      </c>
      <c r="F1048" s="14">
        <v>4</v>
      </c>
      <c r="G1048" s="15">
        <v>14408</v>
      </c>
      <c r="H1048" s="16">
        <v>0.1</v>
      </c>
      <c r="I1048" s="13">
        <v>2</v>
      </c>
      <c r="J1048" s="15">
        <v>5763.2000000000007</v>
      </c>
      <c r="K1048" s="15">
        <v>51868.800000000003</v>
      </c>
      <c r="L1048" s="15">
        <v>38711.969977554603</v>
      </c>
      <c r="M1048" s="15">
        <v>13156.8300224454</v>
      </c>
    </row>
    <row r="1049" spans="1:13" x14ac:dyDescent="0.25">
      <c r="A1049" s="12">
        <v>45974</v>
      </c>
      <c r="B1049" s="12" t="s">
        <v>19</v>
      </c>
      <c r="C1049" s="12" t="s">
        <v>21</v>
      </c>
      <c r="D1049" s="12" t="s">
        <v>26</v>
      </c>
      <c r="E1049" s="13">
        <v>24645</v>
      </c>
      <c r="F1049" s="14">
        <v>10</v>
      </c>
      <c r="G1049" s="15">
        <v>31152</v>
      </c>
      <c r="H1049" s="16">
        <v>0.2</v>
      </c>
      <c r="I1049" s="13">
        <v>5</v>
      </c>
      <c r="J1049" s="15">
        <v>62304</v>
      </c>
      <c r="K1049" s="15">
        <v>249216</v>
      </c>
      <c r="L1049" s="15">
        <v>223536.84447059629</v>
      </c>
      <c r="M1049" s="15">
        <v>25679.155529403681</v>
      </c>
    </row>
    <row r="1050" spans="1:13" x14ac:dyDescent="0.25">
      <c r="A1050" s="12">
        <v>45975</v>
      </c>
      <c r="B1050" s="12" t="s">
        <v>19</v>
      </c>
      <c r="C1050" s="12" t="s">
        <v>23</v>
      </c>
      <c r="D1050" s="12" t="s">
        <v>25</v>
      </c>
      <c r="E1050" s="13">
        <v>41105</v>
      </c>
      <c r="F1050" s="14">
        <v>10</v>
      </c>
      <c r="G1050" s="15">
        <v>30844</v>
      </c>
      <c r="H1050" s="16">
        <v>0.2</v>
      </c>
      <c r="I1050" s="13">
        <v>5</v>
      </c>
      <c r="J1050" s="15">
        <v>61688</v>
      </c>
      <c r="K1050" s="15">
        <v>246752</v>
      </c>
      <c r="L1050" s="15">
        <v>163886.96884246389</v>
      </c>
      <c r="M1050" s="15">
        <v>82865.031157536112</v>
      </c>
    </row>
    <row r="1051" spans="1:13" x14ac:dyDescent="0.25">
      <c r="A1051" s="12">
        <v>45976</v>
      </c>
      <c r="B1051" s="12" t="s">
        <v>19</v>
      </c>
      <c r="C1051" s="12" t="s">
        <v>23</v>
      </c>
      <c r="D1051" s="12" t="s">
        <v>25</v>
      </c>
      <c r="E1051" s="13">
        <v>23668</v>
      </c>
      <c r="F1051" s="14">
        <v>24</v>
      </c>
      <c r="G1051" s="15">
        <v>25534</v>
      </c>
      <c r="H1051" s="16">
        <v>0</v>
      </c>
      <c r="I1051" s="13">
        <v>1</v>
      </c>
      <c r="J1051" s="15">
        <v>0</v>
      </c>
      <c r="K1051" s="15">
        <v>612816</v>
      </c>
      <c r="L1051" s="15">
        <v>444510.28703992389</v>
      </c>
      <c r="M1051" s="15">
        <v>168305.71296007611</v>
      </c>
    </row>
    <row r="1052" spans="1:13" x14ac:dyDescent="0.25">
      <c r="A1052" s="12">
        <v>45977</v>
      </c>
      <c r="B1052" s="12" t="s">
        <v>24</v>
      </c>
      <c r="C1052" s="12" t="s">
        <v>23</v>
      </c>
      <c r="D1052" s="12" t="s">
        <v>26</v>
      </c>
      <c r="E1052" s="13">
        <v>25960</v>
      </c>
      <c r="F1052" s="14">
        <v>21</v>
      </c>
      <c r="G1052" s="15">
        <v>26288</v>
      </c>
      <c r="H1052" s="16">
        <v>0.2</v>
      </c>
      <c r="I1052" s="13">
        <v>5</v>
      </c>
      <c r="J1052" s="15">
        <v>110409.60000000001</v>
      </c>
      <c r="K1052" s="15">
        <v>441638.40000000002</v>
      </c>
      <c r="L1052" s="15">
        <v>303647.13769291999</v>
      </c>
      <c r="M1052" s="15">
        <v>137991.26230708</v>
      </c>
    </row>
    <row r="1053" spans="1:13" x14ac:dyDescent="0.25">
      <c r="A1053" s="12">
        <v>45978</v>
      </c>
      <c r="B1053" s="12" t="s">
        <v>19</v>
      </c>
      <c r="C1053" s="12" t="s">
        <v>20</v>
      </c>
      <c r="D1053" s="12" t="s">
        <v>22</v>
      </c>
      <c r="E1053" s="13">
        <v>21357</v>
      </c>
      <c r="F1053" s="14">
        <v>11</v>
      </c>
      <c r="G1053" s="15">
        <v>13251</v>
      </c>
      <c r="H1053" s="16">
        <v>0.1</v>
      </c>
      <c r="I1053" s="13">
        <v>1</v>
      </c>
      <c r="J1053" s="15">
        <v>14576.1</v>
      </c>
      <c r="K1053" s="15">
        <v>131184.9</v>
      </c>
      <c r="L1053" s="15">
        <v>108822.26309577021</v>
      </c>
      <c r="M1053" s="15">
        <v>22362.636904229799</v>
      </c>
    </row>
    <row r="1054" spans="1:13" x14ac:dyDescent="0.25">
      <c r="A1054" s="12">
        <v>45979</v>
      </c>
      <c r="B1054" s="12" t="s">
        <v>13</v>
      </c>
      <c r="C1054" s="12" t="s">
        <v>14</v>
      </c>
      <c r="D1054" s="12" t="s">
        <v>15</v>
      </c>
      <c r="E1054" s="13">
        <v>74604</v>
      </c>
      <c r="F1054" s="14">
        <v>27</v>
      </c>
      <c r="G1054" s="15">
        <v>47982</v>
      </c>
      <c r="H1054" s="16">
        <v>0.15</v>
      </c>
      <c r="I1054" s="13">
        <v>5</v>
      </c>
      <c r="J1054" s="15">
        <v>194327.1</v>
      </c>
      <c r="K1054" s="15">
        <v>1101186.8999999999</v>
      </c>
      <c r="L1054" s="15">
        <v>913108.34844530863</v>
      </c>
      <c r="M1054" s="15">
        <v>188078.55155469131</v>
      </c>
    </row>
    <row r="1055" spans="1:13" x14ac:dyDescent="0.25">
      <c r="A1055" s="12">
        <v>45980</v>
      </c>
      <c r="B1055" s="12" t="s">
        <v>13</v>
      </c>
      <c r="C1055" s="12" t="s">
        <v>14</v>
      </c>
      <c r="D1055" s="12" t="s">
        <v>27</v>
      </c>
      <c r="E1055" s="13">
        <v>61796</v>
      </c>
      <c r="F1055" s="14">
        <v>16</v>
      </c>
      <c r="G1055" s="15">
        <v>34293</v>
      </c>
      <c r="H1055" s="16">
        <v>0.1</v>
      </c>
      <c r="I1055" s="13">
        <v>5</v>
      </c>
      <c r="J1055" s="15">
        <v>54868.800000000003</v>
      </c>
      <c r="K1055" s="15">
        <v>493819.2</v>
      </c>
      <c r="L1055" s="15">
        <v>339616.07507800963</v>
      </c>
      <c r="M1055" s="15">
        <v>154203.12492199041</v>
      </c>
    </row>
    <row r="1056" spans="1:13" x14ac:dyDescent="0.25">
      <c r="A1056" s="12">
        <v>45981</v>
      </c>
      <c r="B1056" s="12" t="s">
        <v>19</v>
      </c>
      <c r="C1056" s="12" t="s">
        <v>17</v>
      </c>
      <c r="D1056" s="12" t="s">
        <v>18</v>
      </c>
      <c r="E1056" s="13">
        <v>25804</v>
      </c>
      <c r="F1056" s="14">
        <v>26</v>
      </c>
      <c r="G1056" s="15">
        <v>33339</v>
      </c>
      <c r="H1056" s="16">
        <v>0.05</v>
      </c>
      <c r="I1056" s="13">
        <v>5</v>
      </c>
      <c r="J1056" s="15">
        <v>43340.7</v>
      </c>
      <c r="K1056" s="15">
        <v>823473.3</v>
      </c>
      <c r="L1056" s="15">
        <v>514190.8057877422</v>
      </c>
      <c r="M1056" s="15">
        <v>309282.49421225791</v>
      </c>
    </row>
    <row r="1057" spans="1:13" x14ac:dyDescent="0.25">
      <c r="A1057" s="12">
        <v>45982</v>
      </c>
      <c r="B1057" s="12" t="s">
        <v>19</v>
      </c>
      <c r="C1057" s="12" t="s">
        <v>23</v>
      </c>
      <c r="D1057" s="12" t="s">
        <v>15</v>
      </c>
      <c r="E1057" s="13">
        <v>24626</v>
      </c>
      <c r="F1057" s="14">
        <v>30</v>
      </c>
      <c r="G1057" s="15">
        <v>38814</v>
      </c>
      <c r="H1057" s="16">
        <v>0.2</v>
      </c>
      <c r="I1057" s="13">
        <v>1</v>
      </c>
      <c r="J1057" s="15">
        <v>232884</v>
      </c>
      <c r="K1057" s="15">
        <v>931536</v>
      </c>
      <c r="L1057" s="15">
        <v>562116.58496895537</v>
      </c>
      <c r="M1057" s="15">
        <v>369419.41503104463</v>
      </c>
    </row>
    <row r="1058" spans="1:13" x14ac:dyDescent="0.25">
      <c r="A1058" s="12">
        <v>45983</v>
      </c>
      <c r="B1058" s="12" t="s">
        <v>16</v>
      </c>
      <c r="C1058" s="12" t="s">
        <v>20</v>
      </c>
      <c r="D1058" s="12" t="s">
        <v>27</v>
      </c>
      <c r="E1058" s="13">
        <v>38132</v>
      </c>
      <c r="F1058" s="14">
        <v>49</v>
      </c>
      <c r="G1058" s="15">
        <v>35953</v>
      </c>
      <c r="H1058" s="16">
        <v>0.2</v>
      </c>
      <c r="I1058" s="13">
        <v>3</v>
      </c>
      <c r="J1058" s="15">
        <v>352339.4</v>
      </c>
      <c r="K1058" s="15">
        <v>1409357.6</v>
      </c>
      <c r="L1058" s="15">
        <v>1026343.757294805</v>
      </c>
      <c r="M1058" s="15">
        <v>383013.84270519507</v>
      </c>
    </row>
    <row r="1059" spans="1:13" x14ac:dyDescent="0.25">
      <c r="A1059" s="12">
        <v>45984</v>
      </c>
      <c r="B1059" s="12" t="s">
        <v>13</v>
      </c>
      <c r="C1059" s="12" t="s">
        <v>20</v>
      </c>
      <c r="D1059" s="12" t="s">
        <v>27</v>
      </c>
      <c r="E1059" s="13">
        <v>17951</v>
      </c>
      <c r="F1059" s="14">
        <v>16</v>
      </c>
      <c r="G1059" s="15">
        <v>9885</v>
      </c>
      <c r="H1059" s="16">
        <v>0.2</v>
      </c>
      <c r="I1059" s="13">
        <v>1</v>
      </c>
      <c r="J1059" s="15">
        <v>31632</v>
      </c>
      <c r="K1059" s="15">
        <v>126528</v>
      </c>
      <c r="L1059" s="15">
        <v>91492.558540834914</v>
      </c>
      <c r="M1059" s="15">
        <v>35035.441459165093</v>
      </c>
    </row>
    <row r="1060" spans="1:13" x14ac:dyDescent="0.25">
      <c r="A1060" s="12">
        <v>45985</v>
      </c>
      <c r="B1060" s="12" t="s">
        <v>24</v>
      </c>
      <c r="C1060" s="12" t="s">
        <v>14</v>
      </c>
      <c r="D1060" s="12" t="s">
        <v>25</v>
      </c>
      <c r="E1060" s="13">
        <v>16449</v>
      </c>
      <c r="F1060" s="14">
        <v>7</v>
      </c>
      <c r="G1060" s="15">
        <v>18732</v>
      </c>
      <c r="H1060" s="16">
        <v>0.2</v>
      </c>
      <c r="I1060" s="13">
        <v>3</v>
      </c>
      <c r="J1060" s="15">
        <v>26224.799999999999</v>
      </c>
      <c r="K1060" s="15">
        <v>104899.2</v>
      </c>
      <c r="L1060" s="15">
        <v>94043.91226722562</v>
      </c>
      <c r="M1060" s="15">
        <v>10855.287732774381</v>
      </c>
    </row>
    <row r="1061" spans="1:13" x14ac:dyDescent="0.25">
      <c r="A1061" s="12">
        <v>45986</v>
      </c>
      <c r="B1061" s="12" t="s">
        <v>16</v>
      </c>
      <c r="C1061" s="12" t="s">
        <v>23</v>
      </c>
      <c r="D1061" s="12" t="s">
        <v>27</v>
      </c>
      <c r="E1061" s="13">
        <v>29065</v>
      </c>
      <c r="F1061" s="14">
        <v>16</v>
      </c>
      <c r="G1061" s="15">
        <v>43844</v>
      </c>
      <c r="H1061" s="16">
        <v>0</v>
      </c>
      <c r="I1061" s="13">
        <v>2</v>
      </c>
      <c r="J1061" s="15">
        <v>0</v>
      </c>
      <c r="K1061" s="15">
        <v>701504</v>
      </c>
      <c r="L1061" s="15">
        <v>519772.81059306749</v>
      </c>
      <c r="M1061" s="15">
        <v>181731.18940693251</v>
      </c>
    </row>
    <row r="1062" spans="1:13" x14ac:dyDescent="0.25">
      <c r="A1062" s="12">
        <v>45987</v>
      </c>
      <c r="B1062" s="12" t="s">
        <v>19</v>
      </c>
      <c r="C1062" s="12" t="s">
        <v>17</v>
      </c>
      <c r="D1062" s="12" t="s">
        <v>18</v>
      </c>
      <c r="E1062" s="13">
        <v>19130</v>
      </c>
      <c r="F1062" s="14">
        <v>35</v>
      </c>
      <c r="G1062" s="15">
        <v>35290</v>
      </c>
      <c r="H1062" s="16">
        <v>0</v>
      </c>
      <c r="I1062" s="13">
        <v>2</v>
      </c>
      <c r="J1062" s="15">
        <v>0</v>
      </c>
      <c r="K1062" s="15">
        <v>1235150</v>
      </c>
      <c r="L1062" s="15">
        <v>836104.54475432425</v>
      </c>
      <c r="M1062" s="15">
        <v>399045.45524567581</v>
      </c>
    </row>
    <row r="1063" spans="1:13" x14ac:dyDescent="0.25">
      <c r="A1063" s="12">
        <v>45988</v>
      </c>
      <c r="B1063" s="12" t="s">
        <v>19</v>
      </c>
      <c r="C1063" s="12" t="s">
        <v>23</v>
      </c>
      <c r="D1063" s="12" t="s">
        <v>27</v>
      </c>
      <c r="E1063" s="13">
        <v>99360</v>
      </c>
      <c r="F1063" s="14">
        <v>16</v>
      </c>
      <c r="G1063" s="15">
        <v>16331</v>
      </c>
      <c r="H1063" s="16">
        <v>0.15</v>
      </c>
      <c r="I1063" s="13">
        <v>1</v>
      </c>
      <c r="J1063" s="15">
        <v>39194.400000000001</v>
      </c>
      <c r="K1063" s="15">
        <v>222101.6</v>
      </c>
      <c r="L1063" s="15">
        <v>192644.00544605829</v>
      </c>
      <c r="M1063" s="15">
        <v>29457.594553941661</v>
      </c>
    </row>
    <row r="1064" spans="1:13" x14ac:dyDescent="0.25">
      <c r="A1064" s="12">
        <v>45989</v>
      </c>
      <c r="B1064" s="12" t="s">
        <v>13</v>
      </c>
      <c r="C1064" s="12" t="s">
        <v>21</v>
      </c>
      <c r="D1064" s="12" t="s">
        <v>26</v>
      </c>
      <c r="E1064" s="13">
        <v>72287</v>
      </c>
      <c r="F1064" s="14">
        <v>40</v>
      </c>
      <c r="G1064" s="15">
        <v>20625</v>
      </c>
      <c r="H1064" s="16">
        <v>0.2</v>
      </c>
      <c r="I1064" s="13">
        <v>3</v>
      </c>
      <c r="J1064" s="15">
        <v>165000</v>
      </c>
      <c r="K1064" s="15">
        <v>660000</v>
      </c>
      <c r="L1064" s="15">
        <v>493231.45403140847</v>
      </c>
      <c r="M1064" s="15">
        <v>166768.5459685915</v>
      </c>
    </row>
    <row r="1065" spans="1:13" x14ac:dyDescent="0.25">
      <c r="A1065" s="12">
        <v>45990</v>
      </c>
      <c r="B1065" s="12" t="s">
        <v>19</v>
      </c>
      <c r="C1065" s="12" t="s">
        <v>23</v>
      </c>
      <c r="D1065" s="12" t="s">
        <v>15</v>
      </c>
      <c r="E1065" s="13">
        <v>61702</v>
      </c>
      <c r="F1065" s="14">
        <v>12</v>
      </c>
      <c r="G1065" s="15">
        <v>46208</v>
      </c>
      <c r="H1065" s="16">
        <v>0.05</v>
      </c>
      <c r="I1065" s="13">
        <v>3</v>
      </c>
      <c r="J1065" s="15">
        <v>27724.799999999999</v>
      </c>
      <c r="K1065" s="15">
        <v>526771.19999999995</v>
      </c>
      <c r="L1065" s="15">
        <v>410751.26051119139</v>
      </c>
      <c r="M1065" s="15">
        <v>116019.93948880849</v>
      </c>
    </row>
    <row r="1066" spans="1:13" x14ac:dyDescent="0.25">
      <c r="A1066" s="12">
        <v>45991</v>
      </c>
      <c r="B1066" s="12" t="s">
        <v>24</v>
      </c>
      <c r="C1066" s="12" t="s">
        <v>21</v>
      </c>
      <c r="D1066" s="12" t="s">
        <v>26</v>
      </c>
      <c r="E1066" s="13">
        <v>46993</v>
      </c>
      <c r="F1066" s="14">
        <v>35</v>
      </c>
      <c r="G1066" s="15">
        <v>18182</v>
      </c>
      <c r="H1066" s="16">
        <v>0.15</v>
      </c>
      <c r="I1066" s="13">
        <v>3</v>
      </c>
      <c r="J1066" s="15">
        <v>95455.5</v>
      </c>
      <c r="K1066" s="15">
        <v>540914.5</v>
      </c>
      <c r="L1066" s="15">
        <v>340073.27780007652</v>
      </c>
      <c r="M1066" s="15">
        <v>200841.2221999235</v>
      </c>
    </row>
    <row r="1067" spans="1:13" x14ac:dyDescent="0.25">
      <c r="A1067" s="12">
        <v>45992</v>
      </c>
      <c r="B1067" s="12" t="s">
        <v>13</v>
      </c>
      <c r="C1067" s="12" t="s">
        <v>21</v>
      </c>
      <c r="D1067" s="12" t="s">
        <v>18</v>
      </c>
      <c r="E1067" s="13">
        <v>41875</v>
      </c>
      <c r="F1067" s="14">
        <v>49</v>
      </c>
      <c r="G1067" s="15">
        <v>37370</v>
      </c>
      <c r="H1067" s="16">
        <v>0.2</v>
      </c>
      <c r="I1067" s="13">
        <v>2</v>
      </c>
      <c r="J1067" s="15">
        <v>366226</v>
      </c>
      <c r="K1067" s="15">
        <v>1464904</v>
      </c>
      <c r="L1067" s="15">
        <v>1047223.133028905</v>
      </c>
      <c r="M1067" s="15">
        <v>417680.86697109538</v>
      </c>
    </row>
    <row r="1068" spans="1:13" x14ac:dyDescent="0.25">
      <c r="A1068" s="12">
        <v>45993</v>
      </c>
      <c r="B1068" s="12" t="s">
        <v>19</v>
      </c>
      <c r="C1068" s="12" t="s">
        <v>17</v>
      </c>
      <c r="D1068" s="12" t="s">
        <v>27</v>
      </c>
      <c r="E1068" s="13">
        <v>16054</v>
      </c>
      <c r="F1068" s="14">
        <v>21</v>
      </c>
      <c r="G1068" s="15">
        <v>17788</v>
      </c>
      <c r="H1068" s="16">
        <v>0</v>
      </c>
      <c r="I1068" s="13">
        <v>1</v>
      </c>
      <c r="J1068" s="15">
        <v>0</v>
      </c>
      <c r="K1068" s="15">
        <v>373548</v>
      </c>
      <c r="L1068" s="15">
        <v>329942.65954570018</v>
      </c>
      <c r="M1068" s="15">
        <v>43605.34045429976</v>
      </c>
    </row>
    <row r="1069" spans="1:13" x14ac:dyDescent="0.25">
      <c r="A1069" s="12">
        <v>45994</v>
      </c>
      <c r="B1069" s="12" t="s">
        <v>13</v>
      </c>
      <c r="C1069" s="12" t="s">
        <v>14</v>
      </c>
      <c r="D1069" s="12" t="s">
        <v>18</v>
      </c>
      <c r="E1069" s="13">
        <v>58517</v>
      </c>
      <c r="F1069" s="14">
        <v>43</v>
      </c>
      <c r="G1069" s="15">
        <v>36294</v>
      </c>
      <c r="H1069" s="16">
        <v>0.05</v>
      </c>
      <c r="I1069" s="13">
        <v>4</v>
      </c>
      <c r="J1069" s="15">
        <v>78032.100000000006</v>
      </c>
      <c r="K1069" s="15">
        <v>1482609.9</v>
      </c>
      <c r="L1069" s="15">
        <v>1151767.8956045371</v>
      </c>
      <c r="M1069" s="15">
        <v>330842.00439546327</v>
      </c>
    </row>
    <row r="1070" spans="1:13" x14ac:dyDescent="0.25">
      <c r="A1070" s="12">
        <v>45995</v>
      </c>
      <c r="B1070" s="12" t="s">
        <v>19</v>
      </c>
      <c r="C1070" s="12" t="s">
        <v>23</v>
      </c>
      <c r="D1070" s="12" t="s">
        <v>25</v>
      </c>
      <c r="E1070" s="13">
        <v>86368</v>
      </c>
      <c r="F1070" s="14">
        <v>36</v>
      </c>
      <c r="G1070" s="15">
        <v>39977</v>
      </c>
      <c r="H1070" s="16">
        <v>0.15</v>
      </c>
      <c r="I1070" s="13">
        <v>3</v>
      </c>
      <c r="J1070" s="15">
        <v>215875.8</v>
      </c>
      <c r="K1070" s="15">
        <v>1223296.2</v>
      </c>
      <c r="L1070" s="15">
        <v>860406.06308661704</v>
      </c>
      <c r="M1070" s="15">
        <v>362890.13691338291</v>
      </c>
    </row>
    <row r="1071" spans="1:13" x14ac:dyDescent="0.25">
      <c r="A1071" s="12">
        <v>45996</v>
      </c>
      <c r="B1071" s="12" t="s">
        <v>19</v>
      </c>
      <c r="C1071" s="12" t="s">
        <v>21</v>
      </c>
      <c r="D1071" s="12" t="s">
        <v>26</v>
      </c>
      <c r="E1071" s="13">
        <v>39670</v>
      </c>
      <c r="F1071" s="14">
        <v>48</v>
      </c>
      <c r="G1071" s="15">
        <v>24905</v>
      </c>
      <c r="H1071" s="16">
        <v>0.05</v>
      </c>
      <c r="I1071" s="13">
        <v>3</v>
      </c>
      <c r="J1071" s="15">
        <v>59772</v>
      </c>
      <c r="K1071" s="15">
        <v>1135668</v>
      </c>
      <c r="L1071" s="15">
        <v>894565.85870805604</v>
      </c>
      <c r="M1071" s="15">
        <v>241102.14129194399</v>
      </c>
    </row>
    <row r="1072" spans="1:13" x14ac:dyDescent="0.25">
      <c r="A1072" s="12">
        <v>45997</v>
      </c>
      <c r="B1072" s="12" t="s">
        <v>19</v>
      </c>
      <c r="C1072" s="12" t="s">
        <v>23</v>
      </c>
      <c r="D1072" s="12" t="s">
        <v>26</v>
      </c>
      <c r="E1072" s="13">
        <v>59112</v>
      </c>
      <c r="F1072" s="14">
        <v>17</v>
      </c>
      <c r="G1072" s="15">
        <v>39237</v>
      </c>
      <c r="H1072" s="16">
        <v>0.2</v>
      </c>
      <c r="I1072" s="13">
        <v>4</v>
      </c>
      <c r="J1072" s="15">
        <v>133405.79999999999</v>
      </c>
      <c r="K1072" s="15">
        <v>533623.19999999995</v>
      </c>
      <c r="L1072" s="15">
        <v>465918.86368084833</v>
      </c>
      <c r="M1072" s="15">
        <v>67704.336319151684</v>
      </c>
    </row>
    <row r="1073" spans="1:13" x14ac:dyDescent="0.25">
      <c r="A1073" s="12">
        <v>45998</v>
      </c>
      <c r="B1073" s="12" t="s">
        <v>24</v>
      </c>
      <c r="C1073" s="12" t="s">
        <v>14</v>
      </c>
      <c r="D1073" s="12" t="s">
        <v>22</v>
      </c>
      <c r="E1073" s="13">
        <v>98388</v>
      </c>
      <c r="F1073" s="14">
        <v>32</v>
      </c>
      <c r="G1073" s="15">
        <v>3120</v>
      </c>
      <c r="H1073" s="16">
        <v>0.1</v>
      </c>
      <c r="I1073" s="13">
        <v>1</v>
      </c>
      <c r="J1073" s="15">
        <v>9984</v>
      </c>
      <c r="K1073" s="15">
        <v>89856</v>
      </c>
      <c r="L1073" s="15">
        <v>61299.509818819512</v>
      </c>
      <c r="M1073" s="15">
        <v>28556.490181180488</v>
      </c>
    </row>
    <row r="1074" spans="1:13" x14ac:dyDescent="0.25">
      <c r="A1074" s="12">
        <v>45999</v>
      </c>
      <c r="B1074" s="12" t="s">
        <v>24</v>
      </c>
      <c r="C1074" s="12" t="s">
        <v>14</v>
      </c>
      <c r="D1074" s="12" t="s">
        <v>27</v>
      </c>
      <c r="E1074" s="13">
        <v>99156</v>
      </c>
      <c r="F1074" s="14">
        <v>41</v>
      </c>
      <c r="G1074" s="15">
        <v>35914</v>
      </c>
      <c r="H1074" s="16">
        <v>0.05</v>
      </c>
      <c r="I1074" s="13">
        <v>3</v>
      </c>
      <c r="J1074" s="15">
        <v>73623.7</v>
      </c>
      <c r="K1074" s="15">
        <v>1398850.3</v>
      </c>
      <c r="L1074" s="15">
        <v>1051284.9819503161</v>
      </c>
      <c r="M1074" s="15">
        <v>347565.3180496844</v>
      </c>
    </row>
    <row r="1075" spans="1:13" x14ac:dyDescent="0.25">
      <c r="A1075" s="12">
        <v>46000</v>
      </c>
      <c r="B1075" s="12" t="s">
        <v>13</v>
      </c>
      <c r="C1075" s="12" t="s">
        <v>20</v>
      </c>
      <c r="D1075" s="12" t="s">
        <v>25</v>
      </c>
      <c r="E1075" s="13">
        <v>38307</v>
      </c>
      <c r="F1075" s="14">
        <v>6</v>
      </c>
      <c r="G1075" s="15">
        <v>38133</v>
      </c>
      <c r="H1075" s="16">
        <v>0.05</v>
      </c>
      <c r="I1075" s="13">
        <v>1</v>
      </c>
      <c r="J1075" s="15">
        <v>11439.9</v>
      </c>
      <c r="K1075" s="15">
        <v>217358.1</v>
      </c>
      <c r="L1075" s="15">
        <v>192928.61370660501</v>
      </c>
      <c r="M1075" s="15">
        <v>24429.486293394992</v>
      </c>
    </row>
    <row r="1076" spans="1:13" x14ac:dyDescent="0.25">
      <c r="A1076" s="12">
        <v>46001</v>
      </c>
      <c r="B1076" s="12" t="s">
        <v>19</v>
      </c>
      <c r="C1076" s="12" t="s">
        <v>14</v>
      </c>
      <c r="D1076" s="12" t="s">
        <v>26</v>
      </c>
      <c r="E1076" s="13">
        <v>77087</v>
      </c>
      <c r="F1076" s="14">
        <v>24</v>
      </c>
      <c r="G1076" s="15">
        <v>35557</v>
      </c>
      <c r="H1076" s="16">
        <v>0</v>
      </c>
      <c r="I1076" s="13">
        <v>3</v>
      </c>
      <c r="J1076" s="15">
        <v>0</v>
      </c>
      <c r="K1076" s="15">
        <v>853368</v>
      </c>
      <c r="L1076" s="15">
        <v>556156.00560429413</v>
      </c>
      <c r="M1076" s="15">
        <v>297211.99439570587</v>
      </c>
    </row>
    <row r="1077" spans="1:13" x14ac:dyDescent="0.25">
      <c r="A1077" s="12">
        <v>46002</v>
      </c>
      <c r="B1077" s="12" t="s">
        <v>19</v>
      </c>
      <c r="C1077" s="12" t="s">
        <v>17</v>
      </c>
      <c r="D1077" s="12" t="s">
        <v>26</v>
      </c>
      <c r="E1077" s="13">
        <v>57922</v>
      </c>
      <c r="F1077" s="14">
        <v>27</v>
      </c>
      <c r="G1077" s="15">
        <v>40638</v>
      </c>
      <c r="H1077" s="16">
        <v>0.2</v>
      </c>
      <c r="I1077" s="13">
        <v>5</v>
      </c>
      <c r="J1077" s="15">
        <v>219445.2</v>
      </c>
      <c r="K1077" s="15">
        <v>877780.8</v>
      </c>
      <c r="L1077" s="15">
        <v>716180.63290242665</v>
      </c>
      <c r="M1077" s="15">
        <v>161600.1670975734</v>
      </c>
    </row>
    <row r="1078" spans="1:13" x14ac:dyDescent="0.25">
      <c r="A1078" s="12">
        <v>46003</v>
      </c>
      <c r="B1078" s="12" t="s">
        <v>24</v>
      </c>
      <c r="C1078" s="12" t="s">
        <v>21</v>
      </c>
      <c r="D1078" s="12" t="s">
        <v>25</v>
      </c>
      <c r="E1078" s="13">
        <v>73080</v>
      </c>
      <c r="F1078" s="14">
        <v>20</v>
      </c>
      <c r="G1078" s="15">
        <v>14354</v>
      </c>
      <c r="H1078" s="16">
        <v>0.05</v>
      </c>
      <c r="I1078" s="13">
        <v>3</v>
      </c>
      <c r="J1078" s="15">
        <v>14354</v>
      </c>
      <c r="K1078" s="15">
        <v>272726</v>
      </c>
      <c r="L1078" s="15">
        <v>213911.08423295</v>
      </c>
      <c r="M1078" s="15">
        <v>58814.915767050028</v>
      </c>
    </row>
    <row r="1079" spans="1:13" x14ac:dyDescent="0.25">
      <c r="A1079" s="12">
        <v>46004</v>
      </c>
      <c r="B1079" s="12" t="s">
        <v>19</v>
      </c>
      <c r="C1079" s="12" t="s">
        <v>20</v>
      </c>
      <c r="D1079" s="12" t="s">
        <v>18</v>
      </c>
      <c r="E1079" s="13">
        <v>89335</v>
      </c>
      <c r="F1079" s="14">
        <v>25</v>
      </c>
      <c r="G1079" s="15">
        <v>10177</v>
      </c>
      <c r="H1079" s="16">
        <v>0.2</v>
      </c>
      <c r="I1079" s="13">
        <v>5</v>
      </c>
      <c r="J1079" s="15">
        <v>50885</v>
      </c>
      <c r="K1079" s="15">
        <v>203540</v>
      </c>
      <c r="L1079" s="15">
        <v>163626.32285770951</v>
      </c>
      <c r="M1079" s="15">
        <v>39913.677142290537</v>
      </c>
    </row>
    <row r="1080" spans="1:13" x14ac:dyDescent="0.25">
      <c r="A1080" s="12">
        <v>46005</v>
      </c>
      <c r="B1080" s="12" t="s">
        <v>24</v>
      </c>
      <c r="C1080" s="12" t="s">
        <v>17</v>
      </c>
      <c r="D1080" s="12" t="s">
        <v>18</v>
      </c>
      <c r="E1080" s="13">
        <v>36312</v>
      </c>
      <c r="F1080" s="14">
        <v>2</v>
      </c>
      <c r="G1080" s="15">
        <v>44611</v>
      </c>
      <c r="H1080" s="16">
        <v>0</v>
      </c>
      <c r="I1080" s="13">
        <v>1</v>
      </c>
      <c r="J1080" s="15">
        <v>0</v>
      </c>
      <c r="K1080" s="15">
        <v>89222</v>
      </c>
      <c r="L1080" s="15">
        <v>62934.155366226572</v>
      </c>
      <c r="M1080" s="15">
        <v>26287.844633773431</v>
      </c>
    </row>
    <row r="1081" spans="1:13" x14ac:dyDescent="0.25">
      <c r="A1081" s="12">
        <v>46006</v>
      </c>
      <c r="B1081" s="12" t="s">
        <v>19</v>
      </c>
      <c r="C1081" s="12" t="s">
        <v>23</v>
      </c>
      <c r="D1081" s="12" t="s">
        <v>27</v>
      </c>
      <c r="E1081" s="13">
        <v>76985</v>
      </c>
      <c r="F1081" s="14">
        <v>9</v>
      </c>
      <c r="G1081" s="15">
        <v>24574</v>
      </c>
      <c r="H1081" s="16">
        <v>0.2</v>
      </c>
      <c r="I1081" s="13">
        <v>3</v>
      </c>
      <c r="J1081" s="15">
        <v>44233.2</v>
      </c>
      <c r="K1081" s="15">
        <v>176932.8</v>
      </c>
      <c r="L1081" s="15">
        <v>122820.34692381851</v>
      </c>
      <c r="M1081" s="15">
        <v>54112.453076181511</v>
      </c>
    </row>
    <row r="1082" spans="1:13" x14ac:dyDescent="0.25">
      <c r="A1082" s="12">
        <v>46007</v>
      </c>
      <c r="B1082" s="12" t="s">
        <v>13</v>
      </c>
      <c r="C1082" s="12" t="s">
        <v>21</v>
      </c>
      <c r="D1082" s="12" t="s">
        <v>22</v>
      </c>
      <c r="E1082" s="13">
        <v>67608</v>
      </c>
      <c r="F1082" s="14">
        <v>28</v>
      </c>
      <c r="G1082" s="15">
        <v>18324</v>
      </c>
      <c r="H1082" s="16">
        <v>0</v>
      </c>
      <c r="I1082" s="13">
        <v>2</v>
      </c>
      <c r="J1082" s="15">
        <v>0</v>
      </c>
      <c r="K1082" s="15">
        <v>513072</v>
      </c>
      <c r="L1082" s="15">
        <v>413157.8472324349</v>
      </c>
      <c r="M1082" s="15">
        <v>99914.152767565101</v>
      </c>
    </row>
    <row r="1083" spans="1:13" x14ac:dyDescent="0.25">
      <c r="A1083" s="12">
        <v>46008</v>
      </c>
      <c r="B1083" s="12" t="s">
        <v>19</v>
      </c>
      <c r="C1083" s="12" t="s">
        <v>14</v>
      </c>
      <c r="D1083" s="12" t="s">
        <v>26</v>
      </c>
      <c r="E1083" s="13">
        <v>99962</v>
      </c>
      <c r="F1083" s="14">
        <v>38</v>
      </c>
      <c r="G1083" s="15">
        <v>1265</v>
      </c>
      <c r="H1083" s="16">
        <v>0</v>
      </c>
      <c r="I1083" s="13">
        <v>2</v>
      </c>
      <c r="J1083" s="15">
        <v>0</v>
      </c>
      <c r="K1083" s="15">
        <v>48070</v>
      </c>
      <c r="L1083" s="15">
        <v>31950.349714492651</v>
      </c>
      <c r="M1083" s="15">
        <v>16119.65028550735</v>
      </c>
    </row>
    <row r="1084" spans="1:13" x14ac:dyDescent="0.25">
      <c r="A1084" s="12">
        <v>46009</v>
      </c>
      <c r="B1084" s="12" t="s">
        <v>19</v>
      </c>
      <c r="C1084" s="12" t="s">
        <v>21</v>
      </c>
      <c r="D1084" s="12" t="s">
        <v>22</v>
      </c>
      <c r="E1084" s="13">
        <v>50277</v>
      </c>
      <c r="F1084" s="14">
        <v>3</v>
      </c>
      <c r="G1084" s="15">
        <v>45939</v>
      </c>
      <c r="H1084" s="16">
        <v>0.15</v>
      </c>
      <c r="I1084" s="13">
        <v>4</v>
      </c>
      <c r="J1084" s="15">
        <v>20672.55</v>
      </c>
      <c r="K1084" s="15">
        <v>117144.45</v>
      </c>
      <c r="L1084" s="15">
        <v>85034.737282919552</v>
      </c>
      <c r="M1084" s="15">
        <v>32109.712717080449</v>
      </c>
    </row>
    <row r="1085" spans="1:13" x14ac:dyDescent="0.25">
      <c r="A1085" s="12">
        <v>46010</v>
      </c>
      <c r="B1085" s="12" t="s">
        <v>16</v>
      </c>
      <c r="C1085" s="12" t="s">
        <v>23</v>
      </c>
      <c r="D1085" s="12" t="s">
        <v>18</v>
      </c>
      <c r="E1085" s="13">
        <v>41551</v>
      </c>
      <c r="F1085" s="14">
        <v>20</v>
      </c>
      <c r="G1085" s="15">
        <v>32115</v>
      </c>
      <c r="H1085" s="16">
        <v>0.2</v>
      </c>
      <c r="I1085" s="13">
        <v>2</v>
      </c>
      <c r="J1085" s="15">
        <v>128460</v>
      </c>
      <c r="K1085" s="15">
        <v>513840</v>
      </c>
      <c r="L1085" s="15">
        <v>337311.49803834938</v>
      </c>
      <c r="M1085" s="15">
        <v>176528.50196165059</v>
      </c>
    </row>
    <row r="1086" spans="1:13" x14ac:dyDescent="0.25">
      <c r="A1086" s="12">
        <v>46011</v>
      </c>
      <c r="B1086" s="12" t="s">
        <v>24</v>
      </c>
      <c r="C1086" s="12" t="s">
        <v>20</v>
      </c>
      <c r="D1086" s="12" t="s">
        <v>18</v>
      </c>
      <c r="E1086" s="13">
        <v>99813</v>
      </c>
      <c r="F1086" s="14">
        <v>6</v>
      </c>
      <c r="G1086" s="15">
        <v>49426</v>
      </c>
      <c r="H1086" s="16">
        <v>0.1</v>
      </c>
      <c r="I1086" s="13">
        <v>5</v>
      </c>
      <c r="J1086" s="15">
        <v>29655.599999999999</v>
      </c>
      <c r="K1086" s="15">
        <v>266900.40000000002</v>
      </c>
      <c r="L1086" s="15">
        <v>160805.20962532601</v>
      </c>
      <c r="M1086" s="15">
        <v>106095.1903746741</v>
      </c>
    </row>
    <row r="1087" spans="1:13" x14ac:dyDescent="0.25">
      <c r="A1087" s="12">
        <v>46012</v>
      </c>
      <c r="B1087" s="12" t="s">
        <v>19</v>
      </c>
      <c r="C1087" s="12" t="s">
        <v>20</v>
      </c>
      <c r="D1087" s="12" t="s">
        <v>15</v>
      </c>
      <c r="E1087" s="13">
        <v>66597</v>
      </c>
      <c r="F1087" s="14">
        <v>39</v>
      </c>
      <c r="G1087" s="15">
        <v>37360</v>
      </c>
      <c r="H1087" s="16">
        <v>0.15</v>
      </c>
      <c r="I1087" s="13">
        <v>2</v>
      </c>
      <c r="J1087" s="15">
        <v>218556</v>
      </c>
      <c r="K1087" s="15">
        <v>1238484</v>
      </c>
      <c r="L1087" s="15">
        <v>1103510.5558468171</v>
      </c>
      <c r="M1087" s="15">
        <v>134973.4441531834</v>
      </c>
    </row>
    <row r="1088" spans="1:13" x14ac:dyDescent="0.25">
      <c r="A1088" s="12">
        <v>46013</v>
      </c>
      <c r="B1088" s="12" t="s">
        <v>19</v>
      </c>
      <c r="C1088" s="12" t="s">
        <v>20</v>
      </c>
      <c r="D1088" s="12" t="s">
        <v>27</v>
      </c>
      <c r="E1088" s="13">
        <v>55212</v>
      </c>
      <c r="F1088" s="14">
        <v>33</v>
      </c>
      <c r="G1088" s="15">
        <v>13475</v>
      </c>
      <c r="H1088" s="16">
        <v>0</v>
      </c>
      <c r="I1088" s="13">
        <v>2</v>
      </c>
      <c r="J1088" s="15">
        <v>0</v>
      </c>
      <c r="K1088" s="15">
        <v>444675</v>
      </c>
      <c r="L1088" s="15">
        <v>324395.25661021291</v>
      </c>
      <c r="M1088" s="15">
        <v>120279.74338978709</v>
      </c>
    </row>
    <row r="1089" spans="1:13" x14ac:dyDescent="0.25">
      <c r="A1089" s="12">
        <v>46014</v>
      </c>
      <c r="B1089" s="12" t="s">
        <v>16</v>
      </c>
      <c r="C1089" s="12" t="s">
        <v>14</v>
      </c>
      <c r="D1089" s="12" t="s">
        <v>15</v>
      </c>
      <c r="E1089" s="13">
        <v>19637</v>
      </c>
      <c r="F1089" s="14">
        <v>1</v>
      </c>
      <c r="G1089" s="15">
        <v>9841</v>
      </c>
      <c r="H1089" s="16">
        <v>0.1</v>
      </c>
      <c r="I1089" s="13">
        <v>2</v>
      </c>
      <c r="J1089" s="15">
        <v>984.1</v>
      </c>
      <c r="K1089" s="15">
        <v>8856.9</v>
      </c>
      <c r="L1089" s="15">
        <v>7889.7697799864854</v>
      </c>
      <c r="M1089" s="15">
        <v>967.13022001351419</v>
      </c>
    </row>
    <row r="1090" spans="1:13" x14ac:dyDescent="0.25">
      <c r="A1090" s="12">
        <v>46015</v>
      </c>
      <c r="B1090" s="12" t="s">
        <v>16</v>
      </c>
      <c r="C1090" s="12" t="s">
        <v>17</v>
      </c>
      <c r="D1090" s="12" t="s">
        <v>15</v>
      </c>
      <c r="E1090" s="13">
        <v>53258</v>
      </c>
      <c r="F1090" s="14">
        <v>37</v>
      </c>
      <c r="G1090" s="15">
        <v>28641</v>
      </c>
      <c r="H1090" s="16">
        <v>0.05</v>
      </c>
      <c r="I1090" s="13">
        <v>3</v>
      </c>
      <c r="J1090" s="15">
        <v>52985.850000000013</v>
      </c>
      <c r="K1090" s="15">
        <v>1006731.15</v>
      </c>
      <c r="L1090" s="15">
        <v>646419.10752837337</v>
      </c>
      <c r="M1090" s="15">
        <v>360312.04247162672</v>
      </c>
    </row>
    <row r="1091" spans="1:13" x14ac:dyDescent="0.25">
      <c r="A1091" s="12">
        <v>46016</v>
      </c>
      <c r="B1091" s="12" t="s">
        <v>24</v>
      </c>
      <c r="C1091" s="12" t="s">
        <v>17</v>
      </c>
      <c r="D1091" s="12" t="s">
        <v>15</v>
      </c>
      <c r="E1091" s="13">
        <v>45693</v>
      </c>
      <c r="F1091" s="14">
        <v>6</v>
      </c>
      <c r="G1091" s="15">
        <v>12834</v>
      </c>
      <c r="H1091" s="16">
        <v>0.05</v>
      </c>
      <c r="I1091" s="13">
        <v>4</v>
      </c>
      <c r="J1091" s="15">
        <v>3850.2</v>
      </c>
      <c r="K1091" s="15">
        <v>73153.8</v>
      </c>
      <c r="L1091" s="15">
        <v>56782.713573323119</v>
      </c>
      <c r="M1091" s="15">
        <v>16371.08642667688</v>
      </c>
    </row>
    <row r="1092" spans="1:13" x14ac:dyDescent="0.25">
      <c r="A1092" s="12">
        <v>46017</v>
      </c>
      <c r="B1092" s="12" t="s">
        <v>16</v>
      </c>
      <c r="C1092" s="12" t="s">
        <v>21</v>
      </c>
      <c r="D1092" s="12" t="s">
        <v>27</v>
      </c>
      <c r="E1092" s="13">
        <v>19824</v>
      </c>
      <c r="F1092" s="14">
        <v>45</v>
      </c>
      <c r="G1092" s="15">
        <v>49345</v>
      </c>
      <c r="H1092" s="16">
        <v>0.15</v>
      </c>
      <c r="I1092" s="13">
        <v>1</v>
      </c>
      <c r="J1092" s="15">
        <v>333078.75</v>
      </c>
      <c r="K1092" s="15">
        <v>1887446.25</v>
      </c>
      <c r="L1092" s="15">
        <v>1246266.055361761</v>
      </c>
      <c r="M1092" s="15">
        <v>641180.19463823922</v>
      </c>
    </row>
    <row r="1093" spans="1:13" x14ac:dyDescent="0.25">
      <c r="A1093" s="12">
        <v>46018</v>
      </c>
      <c r="B1093" s="12" t="s">
        <v>13</v>
      </c>
      <c r="C1093" s="12" t="s">
        <v>14</v>
      </c>
      <c r="D1093" s="12" t="s">
        <v>27</v>
      </c>
      <c r="E1093" s="13">
        <v>36950</v>
      </c>
      <c r="F1093" s="14">
        <v>34</v>
      </c>
      <c r="G1093" s="15">
        <v>16335</v>
      </c>
      <c r="H1093" s="16">
        <v>0.1</v>
      </c>
      <c r="I1093" s="13">
        <v>4</v>
      </c>
      <c r="J1093" s="15">
        <v>55539</v>
      </c>
      <c r="K1093" s="15">
        <v>499851</v>
      </c>
      <c r="L1093" s="15">
        <v>418386.40273101599</v>
      </c>
      <c r="M1093" s="15">
        <v>81464.597268984013</v>
      </c>
    </row>
    <row r="1094" spans="1:13" x14ac:dyDescent="0.25">
      <c r="A1094" s="12">
        <v>46019</v>
      </c>
      <c r="B1094" s="12" t="s">
        <v>16</v>
      </c>
      <c r="C1094" s="12" t="s">
        <v>20</v>
      </c>
      <c r="D1094" s="12" t="s">
        <v>25</v>
      </c>
      <c r="E1094" s="13">
        <v>33488</v>
      </c>
      <c r="F1094" s="14">
        <v>47</v>
      </c>
      <c r="G1094" s="15">
        <v>27048</v>
      </c>
      <c r="H1094" s="16">
        <v>0.2</v>
      </c>
      <c r="I1094" s="13">
        <v>5</v>
      </c>
      <c r="J1094" s="15">
        <v>254251.2</v>
      </c>
      <c r="K1094" s="15">
        <v>1017004.8</v>
      </c>
      <c r="L1094" s="15">
        <v>849311.79040327738</v>
      </c>
      <c r="M1094" s="15">
        <v>167693.0095967227</v>
      </c>
    </row>
    <row r="1095" spans="1:13" x14ac:dyDescent="0.25">
      <c r="A1095" s="12">
        <v>46020</v>
      </c>
      <c r="B1095" s="12" t="s">
        <v>13</v>
      </c>
      <c r="C1095" s="12" t="s">
        <v>20</v>
      </c>
      <c r="D1095" s="12" t="s">
        <v>22</v>
      </c>
      <c r="E1095" s="13">
        <v>10215</v>
      </c>
      <c r="F1095" s="14">
        <v>15</v>
      </c>
      <c r="G1095" s="15">
        <v>35934</v>
      </c>
      <c r="H1095" s="16">
        <v>0.1</v>
      </c>
      <c r="I1095" s="13">
        <v>3</v>
      </c>
      <c r="J1095" s="15">
        <v>53901</v>
      </c>
      <c r="K1095" s="15">
        <v>485109</v>
      </c>
      <c r="L1095" s="15">
        <v>307453.42243899341</v>
      </c>
      <c r="M1095" s="15">
        <v>177655.57756100659</v>
      </c>
    </row>
    <row r="1096" spans="1:13" x14ac:dyDescent="0.25">
      <c r="A1096" s="12">
        <v>46021</v>
      </c>
      <c r="B1096" s="12" t="s">
        <v>24</v>
      </c>
      <c r="C1096" s="12" t="s">
        <v>23</v>
      </c>
      <c r="D1096" s="12" t="s">
        <v>22</v>
      </c>
      <c r="E1096" s="13">
        <v>21523</v>
      </c>
      <c r="F1096" s="14">
        <v>45</v>
      </c>
      <c r="G1096" s="15">
        <v>25539</v>
      </c>
      <c r="H1096" s="16">
        <v>0.15</v>
      </c>
      <c r="I1096" s="13">
        <v>3</v>
      </c>
      <c r="J1096" s="15">
        <v>172388.25</v>
      </c>
      <c r="K1096" s="15">
        <v>976866.75</v>
      </c>
      <c r="L1096" s="15">
        <v>853409.68136156595</v>
      </c>
      <c r="M1096" s="15">
        <v>123457.0686384341</v>
      </c>
    </row>
    <row r="1097" spans="1:13" x14ac:dyDescent="0.25">
      <c r="A1097" s="12">
        <v>46022</v>
      </c>
      <c r="B1097" s="12" t="s">
        <v>24</v>
      </c>
      <c r="C1097" s="12" t="s">
        <v>23</v>
      </c>
      <c r="D1097" s="12" t="s">
        <v>25</v>
      </c>
      <c r="E1097" s="13">
        <v>85900</v>
      </c>
      <c r="F1097" s="14">
        <v>26</v>
      </c>
      <c r="G1097" s="15">
        <v>33030</v>
      </c>
      <c r="H1097" s="16">
        <v>0.2</v>
      </c>
      <c r="I1097" s="13">
        <v>2</v>
      </c>
      <c r="J1097" s="15">
        <v>171756</v>
      </c>
      <c r="K1097" s="15">
        <v>687024</v>
      </c>
      <c r="L1097" s="15">
        <v>452328.97162204451</v>
      </c>
      <c r="M1097" s="15">
        <v>234695.02837795549</v>
      </c>
    </row>
    <row r="1098" spans="1:13" x14ac:dyDescent="0.25">
      <c r="A1098" s="12">
        <v>46023</v>
      </c>
      <c r="B1098" s="12" t="s">
        <v>24</v>
      </c>
      <c r="C1098" s="12" t="s">
        <v>20</v>
      </c>
      <c r="D1098" s="12" t="s">
        <v>25</v>
      </c>
      <c r="E1098" s="13">
        <v>78689</v>
      </c>
      <c r="F1098" s="14">
        <v>14</v>
      </c>
      <c r="G1098" s="15">
        <v>39236</v>
      </c>
      <c r="H1098" s="16">
        <v>0.2</v>
      </c>
      <c r="I1098" s="13">
        <v>2</v>
      </c>
      <c r="J1098" s="15">
        <v>109860.8</v>
      </c>
      <c r="K1098" s="15">
        <v>439443.20000000001</v>
      </c>
      <c r="L1098" s="15">
        <v>344476.5373546565</v>
      </c>
      <c r="M1098" s="15">
        <v>94966.662645343516</v>
      </c>
    </row>
    <row r="1099" spans="1:13" x14ac:dyDescent="0.25">
      <c r="A1099" s="12">
        <v>46024</v>
      </c>
      <c r="B1099" s="12" t="s">
        <v>24</v>
      </c>
      <c r="C1099" s="12" t="s">
        <v>20</v>
      </c>
      <c r="D1099" s="12" t="s">
        <v>18</v>
      </c>
      <c r="E1099" s="13">
        <v>33834</v>
      </c>
      <c r="F1099" s="14">
        <v>7</v>
      </c>
      <c r="G1099" s="15">
        <v>40909</v>
      </c>
      <c r="H1099" s="16">
        <v>0.05</v>
      </c>
      <c r="I1099" s="13">
        <v>5</v>
      </c>
      <c r="J1099" s="15">
        <v>14318.15</v>
      </c>
      <c r="K1099" s="15">
        <v>272044.84999999998</v>
      </c>
      <c r="L1099" s="15">
        <v>243667.8750995149</v>
      </c>
      <c r="M1099" s="15">
        <v>28376.974900485049</v>
      </c>
    </row>
    <row r="1100" spans="1:13" x14ac:dyDescent="0.25">
      <c r="A1100" s="12">
        <v>46025</v>
      </c>
      <c r="B1100" s="12" t="s">
        <v>24</v>
      </c>
      <c r="C1100" s="12" t="s">
        <v>14</v>
      </c>
      <c r="D1100" s="12" t="s">
        <v>15</v>
      </c>
      <c r="E1100" s="13">
        <v>44474</v>
      </c>
      <c r="F1100" s="14">
        <v>46</v>
      </c>
      <c r="G1100" s="15">
        <v>19065</v>
      </c>
      <c r="H1100" s="16">
        <v>0.1</v>
      </c>
      <c r="I1100" s="13">
        <v>3</v>
      </c>
      <c r="J1100" s="15">
        <v>87699</v>
      </c>
      <c r="K1100" s="15">
        <v>789291</v>
      </c>
      <c r="L1100" s="15">
        <v>682514.89299668337</v>
      </c>
      <c r="M1100" s="15">
        <v>106776.1070033166</v>
      </c>
    </row>
    <row r="1101" spans="1:13" x14ac:dyDescent="0.25">
      <c r="A1101" s="12">
        <v>46026</v>
      </c>
      <c r="B1101" s="12" t="s">
        <v>13</v>
      </c>
      <c r="C1101" s="12" t="s">
        <v>17</v>
      </c>
      <c r="D1101" s="12" t="s">
        <v>25</v>
      </c>
      <c r="E1101" s="13">
        <v>53066</v>
      </c>
      <c r="F1101" s="14">
        <v>31</v>
      </c>
      <c r="G1101" s="15">
        <v>10334</v>
      </c>
      <c r="H1101" s="16">
        <v>0.2</v>
      </c>
      <c r="I1101" s="13">
        <v>1</v>
      </c>
      <c r="J1101" s="15">
        <v>64070.8</v>
      </c>
      <c r="K1101" s="15">
        <v>256283.2</v>
      </c>
      <c r="L1101" s="15">
        <v>227315.2993848683</v>
      </c>
      <c r="M1101" s="15">
        <v>28967.90061513169</v>
      </c>
    </row>
    <row r="1102" spans="1:13" x14ac:dyDescent="0.25">
      <c r="A1102" s="12">
        <v>46027</v>
      </c>
      <c r="B1102" s="12" t="s">
        <v>13</v>
      </c>
      <c r="C1102" s="12" t="s">
        <v>23</v>
      </c>
      <c r="D1102" s="12" t="s">
        <v>26</v>
      </c>
      <c r="E1102" s="13">
        <v>20400</v>
      </c>
      <c r="F1102" s="14">
        <v>24</v>
      </c>
      <c r="G1102" s="15">
        <v>37156</v>
      </c>
      <c r="H1102" s="16">
        <v>0.15</v>
      </c>
      <c r="I1102" s="13">
        <v>4</v>
      </c>
      <c r="J1102" s="15">
        <v>133761.60000000001</v>
      </c>
      <c r="K1102" s="15">
        <v>757982.4</v>
      </c>
      <c r="L1102" s="15">
        <v>532694.59165348834</v>
      </c>
      <c r="M1102" s="15">
        <v>225287.80834651171</v>
      </c>
    </row>
    <row r="1103" spans="1:13" x14ac:dyDescent="0.25">
      <c r="A1103" s="12">
        <v>46028</v>
      </c>
      <c r="B1103" s="12" t="s">
        <v>24</v>
      </c>
      <c r="C1103" s="12" t="s">
        <v>17</v>
      </c>
      <c r="D1103" s="12" t="s">
        <v>22</v>
      </c>
      <c r="E1103" s="13">
        <v>20345</v>
      </c>
      <c r="F1103" s="14">
        <v>31</v>
      </c>
      <c r="G1103" s="15">
        <v>1340</v>
      </c>
      <c r="H1103" s="16">
        <v>0.05</v>
      </c>
      <c r="I1103" s="13">
        <v>3</v>
      </c>
      <c r="J1103" s="15">
        <v>2077</v>
      </c>
      <c r="K1103" s="15">
        <v>39463</v>
      </c>
      <c r="L1103" s="15">
        <v>24927.699470672011</v>
      </c>
      <c r="M1103" s="15">
        <v>14535.300529327989</v>
      </c>
    </row>
    <row r="1104" spans="1:13" x14ac:dyDescent="0.25">
      <c r="A1104" s="12">
        <v>46029</v>
      </c>
      <c r="B1104" s="12" t="s">
        <v>16</v>
      </c>
      <c r="C1104" s="12" t="s">
        <v>14</v>
      </c>
      <c r="D1104" s="12" t="s">
        <v>25</v>
      </c>
      <c r="E1104" s="13">
        <v>43896</v>
      </c>
      <c r="F1104" s="14">
        <v>29</v>
      </c>
      <c r="G1104" s="15">
        <v>14373</v>
      </c>
      <c r="H1104" s="16">
        <v>0.2</v>
      </c>
      <c r="I1104" s="13">
        <v>1</v>
      </c>
      <c r="J1104" s="15">
        <v>83363.400000000009</v>
      </c>
      <c r="K1104" s="15">
        <v>333453.59999999998</v>
      </c>
      <c r="L1104" s="15">
        <v>218913.6428841333</v>
      </c>
      <c r="M1104" s="15">
        <v>114539.95711586669</v>
      </c>
    </row>
    <row r="1105" spans="1:13" x14ac:dyDescent="0.25">
      <c r="A1105" s="12">
        <v>46030</v>
      </c>
      <c r="B1105" s="12" t="s">
        <v>19</v>
      </c>
      <c r="C1105" s="12" t="s">
        <v>20</v>
      </c>
      <c r="D1105" s="12" t="s">
        <v>26</v>
      </c>
      <c r="E1105" s="13">
        <v>95430</v>
      </c>
      <c r="F1105" s="14">
        <v>42</v>
      </c>
      <c r="G1105" s="15">
        <v>32068</v>
      </c>
      <c r="H1105" s="16">
        <v>0.1</v>
      </c>
      <c r="I1105" s="13">
        <v>1</v>
      </c>
      <c r="J1105" s="15">
        <v>134685.6</v>
      </c>
      <c r="K1105" s="15">
        <v>1212170.3999999999</v>
      </c>
      <c r="L1105" s="15">
        <v>909307.76914889296</v>
      </c>
      <c r="M1105" s="15">
        <v>302862.63085110701</v>
      </c>
    </row>
    <row r="1106" spans="1:13" x14ac:dyDescent="0.25">
      <c r="A1106" s="12">
        <v>46031</v>
      </c>
      <c r="B1106" s="12" t="s">
        <v>24</v>
      </c>
      <c r="C1106" s="12" t="s">
        <v>17</v>
      </c>
      <c r="D1106" s="12" t="s">
        <v>26</v>
      </c>
      <c r="E1106" s="13">
        <v>38899</v>
      </c>
      <c r="F1106" s="14">
        <v>32</v>
      </c>
      <c r="G1106" s="15">
        <v>11346</v>
      </c>
      <c r="H1106" s="16">
        <v>0.05</v>
      </c>
      <c r="I1106" s="13">
        <v>4</v>
      </c>
      <c r="J1106" s="15">
        <v>18153.599999999999</v>
      </c>
      <c r="K1106" s="15">
        <v>344918.4</v>
      </c>
      <c r="L1106" s="15">
        <v>289030.89343876467</v>
      </c>
      <c r="M1106" s="15">
        <v>55887.506561235292</v>
      </c>
    </row>
    <row r="1107" spans="1:13" x14ac:dyDescent="0.25">
      <c r="A1107" s="12">
        <v>46032</v>
      </c>
      <c r="B1107" s="12" t="s">
        <v>16</v>
      </c>
      <c r="C1107" s="12" t="s">
        <v>20</v>
      </c>
      <c r="D1107" s="12" t="s">
        <v>26</v>
      </c>
      <c r="E1107" s="13">
        <v>38229</v>
      </c>
      <c r="F1107" s="14">
        <v>17</v>
      </c>
      <c r="G1107" s="15">
        <v>6399</v>
      </c>
      <c r="H1107" s="16">
        <v>0.1</v>
      </c>
      <c r="I1107" s="13">
        <v>1</v>
      </c>
      <c r="J1107" s="15">
        <v>10878.3</v>
      </c>
      <c r="K1107" s="15">
        <v>97904.7</v>
      </c>
      <c r="L1107" s="15">
        <v>63153.044246318706</v>
      </c>
      <c r="M1107" s="15">
        <v>34751.655753681283</v>
      </c>
    </row>
    <row r="1108" spans="1:13" x14ac:dyDescent="0.25">
      <c r="A1108" s="12">
        <v>46033</v>
      </c>
      <c r="B1108" s="12" t="s">
        <v>19</v>
      </c>
      <c r="C1108" s="12" t="s">
        <v>20</v>
      </c>
      <c r="D1108" s="12" t="s">
        <v>18</v>
      </c>
      <c r="E1108" s="13">
        <v>15583</v>
      </c>
      <c r="F1108" s="14">
        <v>14</v>
      </c>
      <c r="G1108" s="15">
        <v>21002</v>
      </c>
      <c r="H1108" s="16">
        <v>0.1</v>
      </c>
      <c r="I1108" s="13">
        <v>5</v>
      </c>
      <c r="J1108" s="15">
        <v>29402.799999999999</v>
      </c>
      <c r="K1108" s="15">
        <v>264625.2</v>
      </c>
      <c r="L1108" s="15">
        <v>211149.59660124281</v>
      </c>
      <c r="M1108" s="15">
        <v>53475.60339875723</v>
      </c>
    </row>
    <row r="1109" spans="1:13" x14ac:dyDescent="0.25">
      <c r="A1109" s="12">
        <v>46034</v>
      </c>
      <c r="B1109" s="12" t="s">
        <v>24</v>
      </c>
      <c r="C1109" s="12" t="s">
        <v>21</v>
      </c>
      <c r="D1109" s="12" t="s">
        <v>18</v>
      </c>
      <c r="E1109" s="13">
        <v>14897</v>
      </c>
      <c r="F1109" s="14">
        <v>40</v>
      </c>
      <c r="G1109" s="15">
        <v>1065</v>
      </c>
      <c r="H1109" s="16">
        <v>0.1</v>
      </c>
      <c r="I1109" s="13">
        <v>1</v>
      </c>
      <c r="J1109" s="15">
        <v>4260</v>
      </c>
      <c r="K1109" s="15">
        <v>38340</v>
      </c>
      <c r="L1109" s="15">
        <v>26725.789601662469</v>
      </c>
      <c r="M1109" s="15">
        <v>11614.210398337529</v>
      </c>
    </row>
    <row r="1110" spans="1:13" x14ac:dyDescent="0.25">
      <c r="A1110" s="12">
        <v>46035</v>
      </c>
      <c r="B1110" s="12" t="s">
        <v>24</v>
      </c>
      <c r="C1110" s="12" t="s">
        <v>17</v>
      </c>
      <c r="D1110" s="12" t="s">
        <v>26</v>
      </c>
      <c r="E1110" s="13">
        <v>81537</v>
      </c>
      <c r="F1110" s="14">
        <v>36</v>
      </c>
      <c r="G1110" s="15">
        <v>39273</v>
      </c>
      <c r="H1110" s="16">
        <v>0.05</v>
      </c>
      <c r="I1110" s="13">
        <v>5</v>
      </c>
      <c r="J1110" s="15">
        <v>70691.400000000009</v>
      </c>
      <c r="K1110" s="15">
        <v>1343136.6</v>
      </c>
      <c r="L1110" s="15">
        <v>943366.25742772524</v>
      </c>
      <c r="M1110" s="15">
        <v>399770.34257227491</v>
      </c>
    </row>
    <row r="1111" spans="1:13" x14ac:dyDescent="0.25">
      <c r="A1111" s="12">
        <v>46036</v>
      </c>
      <c r="B1111" s="12" t="s">
        <v>13</v>
      </c>
      <c r="C1111" s="12" t="s">
        <v>17</v>
      </c>
      <c r="D1111" s="12" t="s">
        <v>18</v>
      </c>
      <c r="E1111" s="13">
        <v>14567</v>
      </c>
      <c r="F1111" s="14">
        <v>48</v>
      </c>
      <c r="G1111" s="15">
        <v>42424</v>
      </c>
      <c r="H1111" s="16">
        <v>0.2</v>
      </c>
      <c r="I1111" s="13">
        <v>1</v>
      </c>
      <c r="J1111" s="15">
        <v>407270.40000000002</v>
      </c>
      <c r="K1111" s="15">
        <v>1629081.6000000001</v>
      </c>
      <c r="L1111" s="15">
        <v>1300944.3584742129</v>
      </c>
      <c r="M1111" s="15">
        <v>328137.24152578722</v>
      </c>
    </row>
    <row r="1112" spans="1:13" x14ac:dyDescent="0.25">
      <c r="A1112" s="12">
        <v>46037</v>
      </c>
      <c r="B1112" s="12" t="s">
        <v>19</v>
      </c>
      <c r="C1112" s="12" t="s">
        <v>20</v>
      </c>
      <c r="D1112" s="12" t="s">
        <v>15</v>
      </c>
      <c r="E1112" s="13">
        <v>84807</v>
      </c>
      <c r="F1112" s="14">
        <v>24</v>
      </c>
      <c r="G1112" s="15">
        <v>43742</v>
      </c>
      <c r="H1112" s="16">
        <v>0</v>
      </c>
      <c r="I1112" s="13">
        <v>2</v>
      </c>
      <c r="J1112" s="15">
        <v>0</v>
      </c>
      <c r="K1112" s="15">
        <v>1049808</v>
      </c>
      <c r="L1112" s="15">
        <v>776962.71798639919</v>
      </c>
      <c r="M1112" s="15">
        <v>272845.28201360081</v>
      </c>
    </row>
    <row r="1113" spans="1:13" x14ac:dyDescent="0.25">
      <c r="A1113" s="12">
        <v>46038</v>
      </c>
      <c r="B1113" s="12" t="s">
        <v>19</v>
      </c>
      <c r="C1113" s="12" t="s">
        <v>14</v>
      </c>
      <c r="D1113" s="12" t="s">
        <v>26</v>
      </c>
      <c r="E1113" s="13">
        <v>87239</v>
      </c>
      <c r="F1113" s="14">
        <v>45</v>
      </c>
      <c r="G1113" s="15">
        <v>9687</v>
      </c>
      <c r="H1113" s="16">
        <v>0.2</v>
      </c>
      <c r="I1113" s="13">
        <v>1</v>
      </c>
      <c r="J1113" s="15">
        <v>87183</v>
      </c>
      <c r="K1113" s="15">
        <v>348732</v>
      </c>
      <c r="L1113" s="15">
        <v>294193.79830306233</v>
      </c>
      <c r="M1113" s="15">
        <v>54538.201696937729</v>
      </c>
    </row>
    <row r="1114" spans="1:13" x14ac:dyDescent="0.25">
      <c r="A1114" s="12">
        <v>46039</v>
      </c>
      <c r="B1114" s="12" t="s">
        <v>16</v>
      </c>
      <c r="C1114" s="12" t="s">
        <v>21</v>
      </c>
      <c r="D1114" s="12" t="s">
        <v>15</v>
      </c>
      <c r="E1114" s="13">
        <v>23329</v>
      </c>
      <c r="F1114" s="14">
        <v>27</v>
      </c>
      <c r="G1114" s="15">
        <v>7726</v>
      </c>
      <c r="H1114" s="16">
        <v>0.05</v>
      </c>
      <c r="I1114" s="13">
        <v>5</v>
      </c>
      <c r="J1114" s="15">
        <v>10430.1</v>
      </c>
      <c r="K1114" s="15">
        <v>198171.9</v>
      </c>
      <c r="L1114" s="15">
        <v>128172.7401915152</v>
      </c>
      <c r="M1114" s="15">
        <v>69999.15980848475</v>
      </c>
    </row>
    <row r="1115" spans="1:13" x14ac:dyDescent="0.25">
      <c r="A1115" s="12">
        <v>46040</v>
      </c>
      <c r="B1115" s="12" t="s">
        <v>13</v>
      </c>
      <c r="C1115" s="12" t="s">
        <v>20</v>
      </c>
      <c r="D1115" s="12" t="s">
        <v>15</v>
      </c>
      <c r="E1115" s="13">
        <v>81792</v>
      </c>
      <c r="F1115" s="14">
        <v>25</v>
      </c>
      <c r="G1115" s="15">
        <v>42647</v>
      </c>
      <c r="H1115" s="16">
        <v>0</v>
      </c>
      <c r="I1115" s="13">
        <v>1</v>
      </c>
      <c r="J1115" s="15">
        <v>0</v>
      </c>
      <c r="K1115" s="15">
        <v>1066175</v>
      </c>
      <c r="L1115" s="15">
        <v>892371.92895566172</v>
      </c>
      <c r="M1115" s="15">
        <v>173803.07104433831</v>
      </c>
    </row>
    <row r="1116" spans="1:13" x14ac:dyDescent="0.25">
      <c r="A1116" s="12">
        <v>46041</v>
      </c>
      <c r="B1116" s="12" t="s">
        <v>13</v>
      </c>
      <c r="C1116" s="12" t="s">
        <v>23</v>
      </c>
      <c r="D1116" s="12" t="s">
        <v>26</v>
      </c>
      <c r="E1116" s="13">
        <v>10228</v>
      </c>
      <c r="F1116" s="14">
        <v>32</v>
      </c>
      <c r="G1116" s="15">
        <v>39158</v>
      </c>
      <c r="H1116" s="16">
        <v>0</v>
      </c>
      <c r="I1116" s="13">
        <v>1</v>
      </c>
      <c r="J1116" s="15">
        <v>0</v>
      </c>
      <c r="K1116" s="15">
        <v>1253056</v>
      </c>
      <c r="L1116" s="15">
        <v>775980.70889695187</v>
      </c>
      <c r="M1116" s="15">
        <v>477075.29110304808</v>
      </c>
    </row>
    <row r="1117" spans="1:13" x14ac:dyDescent="0.25">
      <c r="A1117" s="12">
        <v>46042</v>
      </c>
      <c r="B1117" s="12" t="s">
        <v>13</v>
      </c>
      <c r="C1117" s="12" t="s">
        <v>23</v>
      </c>
      <c r="D1117" s="12" t="s">
        <v>22</v>
      </c>
      <c r="E1117" s="13">
        <v>92214</v>
      </c>
      <c r="F1117" s="14">
        <v>18</v>
      </c>
      <c r="G1117" s="15">
        <v>46381</v>
      </c>
      <c r="H1117" s="16">
        <v>0</v>
      </c>
      <c r="I1117" s="13">
        <v>1</v>
      </c>
      <c r="J1117" s="15">
        <v>0</v>
      </c>
      <c r="K1117" s="15">
        <v>834858</v>
      </c>
      <c r="L1117" s="15">
        <v>549517.03030622553</v>
      </c>
      <c r="M1117" s="15">
        <v>285340.96969377447</v>
      </c>
    </row>
    <row r="1118" spans="1:13" x14ac:dyDescent="0.25">
      <c r="A1118" s="12">
        <v>46043</v>
      </c>
      <c r="B1118" s="12" t="s">
        <v>13</v>
      </c>
      <c r="C1118" s="12" t="s">
        <v>21</v>
      </c>
      <c r="D1118" s="12" t="s">
        <v>26</v>
      </c>
      <c r="E1118" s="13">
        <v>47052</v>
      </c>
      <c r="F1118" s="14">
        <v>46</v>
      </c>
      <c r="G1118" s="15">
        <v>4811</v>
      </c>
      <c r="H1118" s="16">
        <v>0.15</v>
      </c>
      <c r="I1118" s="13">
        <v>5</v>
      </c>
      <c r="J1118" s="15">
        <v>33195.9</v>
      </c>
      <c r="K1118" s="15">
        <v>188110.1</v>
      </c>
      <c r="L1118" s="15">
        <v>149894.5765230486</v>
      </c>
      <c r="M1118" s="15">
        <v>38215.523476951443</v>
      </c>
    </row>
    <row r="1119" spans="1:13" x14ac:dyDescent="0.25">
      <c r="A1119" s="12">
        <v>46044</v>
      </c>
      <c r="B1119" s="12" t="s">
        <v>19</v>
      </c>
      <c r="C1119" s="12" t="s">
        <v>14</v>
      </c>
      <c r="D1119" s="12" t="s">
        <v>26</v>
      </c>
      <c r="E1119" s="13">
        <v>67769</v>
      </c>
      <c r="F1119" s="14">
        <v>18</v>
      </c>
      <c r="G1119" s="15">
        <v>44714</v>
      </c>
      <c r="H1119" s="16">
        <v>0.05</v>
      </c>
      <c r="I1119" s="13">
        <v>1</v>
      </c>
      <c r="J1119" s="15">
        <v>40242.600000000013</v>
      </c>
      <c r="K1119" s="15">
        <v>764609.4</v>
      </c>
      <c r="L1119" s="15">
        <v>654870.8979808609</v>
      </c>
      <c r="M1119" s="15">
        <v>109738.50201913909</v>
      </c>
    </row>
    <row r="1120" spans="1:13" x14ac:dyDescent="0.25">
      <c r="A1120" s="12">
        <v>46045</v>
      </c>
      <c r="B1120" s="12" t="s">
        <v>19</v>
      </c>
      <c r="C1120" s="12" t="s">
        <v>20</v>
      </c>
      <c r="D1120" s="12" t="s">
        <v>18</v>
      </c>
      <c r="E1120" s="13">
        <v>56032</v>
      </c>
      <c r="F1120" s="14">
        <v>37</v>
      </c>
      <c r="G1120" s="15">
        <v>42116</v>
      </c>
      <c r="H1120" s="16">
        <v>0.15</v>
      </c>
      <c r="I1120" s="13">
        <v>4</v>
      </c>
      <c r="J1120" s="15">
        <v>233743.8</v>
      </c>
      <c r="K1120" s="15">
        <v>1324548.2</v>
      </c>
      <c r="L1120" s="15">
        <v>895134.82382964739</v>
      </c>
      <c r="M1120" s="15">
        <v>429413.37617035263</v>
      </c>
    </row>
    <row r="1121" spans="1:13" x14ac:dyDescent="0.25">
      <c r="A1121" s="12">
        <v>46046</v>
      </c>
      <c r="B1121" s="12" t="s">
        <v>24</v>
      </c>
      <c r="C1121" s="12" t="s">
        <v>17</v>
      </c>
      <c r="D1121" s="12" t="s">
        <v>26</v>
      </c>
      <c r="E1121" s="13">
        <v>98721</v>
      </c>
      <c r="F1121" s="14">
        <v>26</v>
      </c>
      <c r="G1121" s="15">
        <v>26189</v>
      </c>
      <c r="H1121" s="16">
        <v>0</v>
      </c>
      <c r="I1121" s="13">
        <v>4</v>
      </c>
      <c r="J1121" s="15">
        <v>0</v>
      </c>
      <c r="K1121" s="15">
        <v>680914</v>
      </c>
      <c r="L1121" s="15">
        <v>475385.20352741651</v>
      </c>
      <c r="M1121" s="15">
        <v>205528.79647258349</v>
      </c>
    </row>
    <row r="1122" spans="1:13" x14ac:dyDescent="0.25">
      <c r="A1122" s="12">
        <v>46047</v>
      </c>
      <c r="B1122" s="12" t="s">
        <v>24</v>
      </c>
      <c r="C1122" s="12" t="s">
        <v>21</v>
      </c>
      <c r="D1122" s="12" t="s">
        <v>22</v>
      </c>
      <c r="E1122" s="13">
        <v>43686</v>
      </c>
      <c r="F1122" s="14">
        <v>9</v>
      </c>
      <c r="G1122" s="15">
        <v>6583</v>
      </c>
      <c r="H1122" s="16">
        <v>0.15</v>
      </c>
      <c r="I1122" s="13">
        <v>5</v>
      </c>
      <c r="J1122" s="15">
        <v>8887.0499999999993</v>
      </c>
      <c r="K1122" s="15">
        <v>50359.95</v>
      </c>
      <c r="L1122" s="15">
        <v>38330.782208304838</v>
      </c>
      <c r="M1122" s="15">
        <v>12029.16779169515</v>
      </c>
    </row>
    <row r="1123" spans="1:13" x14ac:dyDescent="0.25">
      <c r="A1123" s="12">
        <v>46048</v>
      </c>
      <c r="B1123" s="12" t="s">
        <v>13</v>
      </c>
      <c r="C1123" s="12" t="s">
        <v>14</v>
      </c>
      <c r="D1123" s="12" t="s">
        <v>18</v>
      </c>
      <c r="E1123" s="13">
        <v>86981</v>
      </c>
      <c r="F1123" s="14">
        <v>35</v>
      </c>
      <c r="G1123" s="15">
        <v>13098</v>
      </c>
      <c r="H1123" s="16">
        <v>0.15</v>
      </c>
      <c r="I1123" s="13">
        <v>2</v>
      </c>
      <c r="J1123" s="15">
        <v>68764.5</v>
      </c>
      <c r="K1123" s="15">
        <v>389665.5</v>
      </c>
      <c r="L1123" s="15">
        <v>258532.08702811721</v>
      </c>
      <c r="M1123" s="15">
        <v>131133.41297188279</v>
      </c>
    </row>
    <row r="1124" spans="1:13" x14ac:dyDescent="0.25">
      <c r="A1124" s="12">
        <v>46049</v>
      </c>
      <c r="B1124" s="12" t="s">
        <v>13</v>
      </c>
      <c r="C1124" s="12" t="s">
        <v>17</v>
      </c>
      <c r="D1124" s="12" t="s">
        <v>27</v>
      </c>
      <c r="E1124" s="13">
        <v>73261</v>
      </c>
      <c r="F1124" s="14">
        <v>8</v>
      </c>
      <c r="G1124" s="15">
        <v>17440</v>
      </c>
      <c r="H1124" s="16">
        <v>0.05</v>
      </c>
      <c r="I1124" s="13">
        <v>4</v>
      </c>
      <c r="J1124" s="15">
        <v>6976</v>
      </c>
      <c r="K1124" s="15">
        <v>132544</v>
      </c>
      <c r="L1124" s="15">
        <v>111780.5686607563</v>
      </c>
      <c r="M1124" s="15">
        <v>20763.4313392437</v>
      </c>
    </row>
    <row r="1125" spans="1:13" x14ac:dyDescent="0.25">
      <c r="A1125" s="12">
        <v>46050</v>
      </c>
      <c r="B1125" s="12" t="s">
        <v>13</v>
      </c>
      <c r="C1125" s="12" t="s">
        <v>23</v>
      </c>
      <c r="D1125" s="12" t="s">
        <v>27</v>
      </c>
      <c r="E1125" s="13">
        <v>12809</v>
      </c>
      <c r="F1125" s="14">
        <v>20</v>
      </c>
      <c r="G1125" s="15">
        <v>27380</v>
      </c>
      <c r="H1125" s="16">
        <v>0.1</v>
      </c>
      <c r="I1125" s="13">
        <v>3</v>
      </c>
      <c r="J1125" s="15">
        <v>54760</v>
      </c>
      <c r="K1125" s="15">
        <v>492840</v>
      </c>
      <c r="L1125" s="15">
        <v>410087.72523739171</v>
      </c>
      <c r="M1125" s="15">
        <v>82752.274762608286</v>
      </c>
    </row>
    <row r="1126" spans="1:13" x14ac:dyDescent="0.25">
      <c r="A1126" s="12">
        <v>46051</v>
      </c>
      <c r="B1126" s="12" t="s">
        <v>24</v>
      </c>
      <c r="C1126" s="12" t="s">
        <v>23</v>
      </c>
      <c r="D1126" s="12" t="s">
        <v>15</v>
      </c>
      <c r="E1126" s="13">
        <v>51785</v>
      </c>
      <c r="F1126" s="14">
        <v>42</v>
      </c>
      <c r="G1126" s="15">
        <v>3080</v>
      </c>
      <c r="H1126" s="16">
        <v>0.15</v>
      </c>
      <c r="I1126" s="13">
        <v>4</v>
      </c>
      <c r="J1126" s="15">
        <v>19404</v>
      </c>
      <c r="K1126" s="15">
        <v>109956</v>
      </c>
      <c r="L1126" s="15">
        <v>70766.308644272838</v>
      </c>
      <c r="M1126" s="15">
        <v>39189.691355727162</v>
      </c>
    </row>
    <row r="1127" spans="1:13" x14ac:dyDescent="0.25">
      <c r="A1127" s="12">
        <v>46052</v>
      </c>
      <c r="B1127" s="12" t="s">
        <v>16</v>
      </c>
      <c r="C1127" s="12" t="s">
        <v>17</v>
      </c>
      <c r="D1127" s="12" t="s">
        <v>15</v>
      </c>
      <c r="E1127" s="13">
        <v>46547</v>
      </c>
      <c r="F1127" s="14">
        <v>22</v>
      </c>
      <c r="G1127" s="15">
        <v>47112</v>
      </c>
      <c r="H1127" s="16">
        <v>0.15</v>
      </c>
      <c r="I1127" s="13">
        <v>3</v>
      </c>
      <c r="J1127" s="15">
        <v>155469.6</v>
      </c>
      <c r="K1127" s="15">
        <v>880994.4</v>
      </c>
      <c r="L1127" s="15">
        <v>651186.05888518644</v>
      </c>
      <c r="M1127" s="15">
        <v>229808.34111481361</v>
      </c>
    </row>
    <row r="1128" spans="1:13" x14ac:dyDescent="0.25">
      <c r="A1128" s="12">
        <v>46053</v>
      </c>
      <c r="B1128" s="12" t="s">
        <v>16</v>
      </c>
      <c r="C1128" s="12" t="s">
        <v>21</v>
      </c>
      <c r="D1128" s="12" t="s">
        <v>22</v>
      </c>
      <c r="E1128" s="13">
        <v>52818</v>
      </c>
      <c r="F1128" s="14">
        <v>19</v>
      </c>
      <c r="G1128" s="15">
        <v>42821</v>
      </c>
      <c r="H1128" s="16">
        <v>0</v>
      </c>
      <c r="I1128" s="13">
        <v>5</v>
      </c>
      <c r="J1128" s="15">
        <v>0</v>
      </c>
      <c r="K1128" s="15">
        <v>813599</v>
      </c>
      <c r="L1128" s="15">
        <v>677279.12883673003</v>
      </c>
      <c r="M1128" s="15">
        <v>136319.87116327</v>
      </c>
    </row>
    <row r="1129" spans="1:13" x14ac:dyDescent="0.25">
      <c r="A1129" s="12">
        <v>46054</v>
      </c>
      <c r="B1129" s="12" t="s">
        <v>24</v>
      </c>
      <c r="C1129" s="12" t="s">
        <v>23</v>
      </c>
      <c r="D1129" s="12" t="s">
        <v>25</v>
      </c>
      <c r="E1129" s="13">
        <v>81927</v>
      </c>
      <c r="F1129" s="14">
        <v>30</v>
      </c>
      <c r="G1129" s="15">
        <v>9886</v>
      </c>
      <c r="H1129" s="16">
        <v>0</v>
      </c>
      <c r="I1129" s="13">
        <v>2</v>
      </c>
      <c r="J1129" s="15">
        <v>0</v>
      </c>
      <c r="K1129" s="15">
        <v>296580</v>
      </c>
      <c r="L1129" s="15">
        <v>207961.55770039521</v>
      </c>
      <c r="M1129" s="15">
        <v>88618.442299604765</v>
      </c>
    </row>
    <row r="1130" spans="1:13" x14ac:dyDescent="0.25">
      <c r="A1130" s="12">
        <v>46055</v>
      </c>
      <c r="B1130" s="12" t="s">
        <v>24</v>
      </c>
      <c r="C1130" s="12" t="s">
        <v>20</v>
      </c>
      <c r="D1130" s="12" t="s">
        <v>27</v>
      </c>
      <c r="E1130" s="13">
        <v>75681</v>
      </c>
      <c r="F1130" s="14">
        <v>28</v>
      </c>
      <c r="G1130" s="15">
        <v>20022</v>
      </c>
      <c r="H1130" s="16">
        <v>0</v>
      </c>
      <c r="I1130" s="13">
        <v>3</v>
      </c>
      <c r="J1130" s="15">
        <v>0</v>
      </c>
      <c r="K1130" s="15">
        <v>560616</v>
      </c>
      <c r="L1130" s="15">
        <v>442848.54435741721</v>
      </c>
      <c r="M1130" s="15">
        <v>117767.45564258281</v>
      </c>
    </row>
    <row r="1131" spans="1:13" x14ac:dyDescent="0.25">
      <c r="A1131" s="12">
        <v>46056</v>
      </c>
      <c r="B1131" s="12" t="s">
        <v>24</v>
      </c>
      <c r="C1131" s="12" t="s">
        <v>17</v>
      </c>
      <c r="D1131" s="12" t="s">
        <v>15</v>
      </c>
      <c r="E1131" s="13">
        <v>89465</v>
      </c>
      <c r="F1131" s="14">
        <v>35</v>
      </c>
      <c r="G1131" s="15">
        <v>26724</v>
      </c>
      <c r="H1131" s="16">
        <v>0.2</v>
      </c>
      <c r="I1131" s="13">
        <v>3</v>
      </c>
      <c r="J1131" s="15">
        <v>187068</v>
      </c>
      <c r="K1131" s="15">
        <v>748272</v>
      </c>
      <c r="L1131" s="15">
        <v>460235.12184579019</v>
      </c>
      <c r="M1131" s="15">
        <v>288036.87815420981</v>
      </c>
    </row>
    <row r="1132" spans="1:13" x14ac:dyDescent="0.25">
      <c r="A1132" s="12">
        <v>46057</v>
      </c>
      <c r="B1132" s="12" t="s">
        <v>24</v>
      </c>
      <c r="C1132" s="12" t="s">
        <v>17</v>
      </c>
      <c r="D1132" s="12" t="s">
        <v>27</v>
      </c>
      <c r="E1132" s="13">
        <v>99862</v>
      </c>
      <c r="F1132" s="14">
        <v>43</v>
      </c>
      <c r="G1132" s="15">
        <v>15135</v>
      </c>
      <c r="H1132" s="16">
        <v>0.15</v>
      </c>
      <c r="I1132" s="13">
        <v>4</v>
      </c>
      <c r="J1132" s="15">
        <v>97620.75</v>
      </c>
      <c r="K1132" s="15">
        <v>553184.25</v>
      </c>
      <c r="L1132" s="15">
        <v>432925.66064305208</v>
      </c>
      <c r="M1132" s="15">
        <v>120258.58935694789</v>
      </c>
    </row>
    <row r="1133" spans="1:13" x14ac:dyDescent="0.25">
      <c r="A1133" s="12">
        <v>46058</v>
      </c>
      <c r="B1133" s="12" t="s">
        <v>24</v>
      </c>
      <c r="C1133" s="12" t="s">
        <v>23</v>
      </c>
      <c r="D1133" s="12" t="s">
        <v>22</v>
      </c>
      <c r="E1133" s="13">
        <v>47333</v>
      </c>
      <c r="F1133" s="14">
        <v>11</v>
      </c>
      <c r="G1133" s="15">
        <v>1171</v>
      </c>
      <c r="H1133" s="16">
        <v>0</v>
      </c>
      <c r="I1133" s="13">
        <v>3</v>
      </c>
      <c r="J1133" s="15">
        <v>0</v>
      </c>
      <c r="K1133" s="15">
        <v>12881</v>
      </c>
      <c r="L1133" s="15">
        <v>8318.4969106163462</v>
      </c>
      <c r="M1133" s="15">
        <v>4562.5030893836538</v>
      </c>
    </row>
    <row r="1134" spans="1:13" x14ac:dyDescent="0.25">
      <c r="A1134" s="12">
        <v>46059</v>
      </c>
      <c r="B1134" s="12" t="s">
        <v>24</v>
      </c>
      <c r="C1134" s="12" t="s">
        <v>21</v>
      </c>
      <c r="D1134" s="12" t="s">
        <v>22</v>
      </c>
      <c r="E1134" s="13">
        <v>26576</v>
      </c>
      <c r="F1134" s="14">
        <v>31</v>
      </c>
      <c r="G1134" s="15">
        <v>34045</v>
      </c>
      <c r="H1134" s="16">
        <v>0.05</v>
      </c>
      <c r="I1134" s="13">
        <v>5</v>
      </c>
      <c r="J1134" s="15">
        <v>52769.75</v>
      </c>
      <c r="K1134" s="15">
        <v>1002625.25</v>
      </c>
      <c r="L1134" s="15">
        <v>851404.29419661243</v>
      </c>
      <c r="M1134" s="15">
        <v>151220.95580338759</v>
      </c>
    </row>
    <row r="1135" spans="1:13" x14ac:dyDescent="0.25">
      <c r="A1135" s="12">
        <v>46060</v>
      </c>
      <c r="B1135" s="12" t="s">
        <v>13</v>
      </c>
      <c r="C1135" s="12" t="s">
        <v>20</v>
      </c>
      <c r="D1135" s="12" t="s">
        <v>25</v>
      </c>
      <c r="E1135" s="13">
        <v>49405</v>
      </c>
      <c r="F1135" s="14">
        <v>49</v>
      </c>
      <c r="G1135" s="15">
        <v>27355</v>
      </c>
      <c r="H1135" s="16">
        <v>0.2</v>
      </c>
      <c r="I1135" s="13">
        <v>5</v>
      </c>
      <c r="J1135" s="15">
        <v>268079</v>
      </c>
      <c r="K1135" s="15">
        <v>1072316</v>
      </c>
      <c r="L1135" s="15">
        <v>757735.8440966293</v>
      </c>
      <c r="M1135" s="15">
        <v>314580.1559033707</v>
      </c>
    </row>
    <row r="1136" spans="1:13" x14ac:dyDescent="0.25">
      <c r="A1136" s="12">
        <v>46061</v>
      </c>
      <c r="B1136" s="12" t="s">
        <v>13</v>
      </c>
      <c r="C1136" s="12" t="s">
        <v>21</v>
      </c>
      <c r="D1136" s="12" t="s">
        <v>25</v>
      </c>
      <c r="E1136" s="13">
        <v>83779</v>
      </c>
      <c r="F1136" s="14">
        <v>48</v>
      </c>
      <c r="G1136" s="15">
        <v>36290</v>
      </c>
      <c r="H1136" s="16">
        <v>0.1</v>
      </c>
      <c r="I1136" s="13">
        <v>5</v>
      </c>
      <c r="J1136" s="15">
        <v>174192</v>
      </c>
      <c r="K1136" s="15">
        <v>1567728</v>
      </c>
      <c r="L1136" s="15">
        <v>1073056.7622321451</v>
      </c>
      <c r="M1136" s="15">
        <v>494671.2377678554</v>
      </c>
    </row>
    <row r="1137" spans="1:13" x14ac:dyDescent="0.25">
      <c r="A1137" s="12">
        <v>46062</v>
      </c>
      <c r="B1137" s="12" t="s">
        <v>13</v>
      </c>
      <c r="C1137" s="12" t="s">
        <v>14</v>
      </c>
      <c r="D1137" s="12" t="s">
        <v>18</v>
      </c>
      <c r="E1137" s="13">
        <v>41601</v>
      </c>
      <c r="F1137" s="14">
        <v>39</v>
      </c>
      <c r="G1137" s="15">
        <v>47085</v>
      </c>
      <c r="H1137" s="16">
        <v>0.15</v>
      </c>
      <c r="I1137" s="13">
        <v>4</v>
      </c>
      <c r="J1137" s="15">
        <v>275447.25</v>
      </c>
      <c r="K1137" s="15">
        <v>1560867.75</v>
      </c>
      <c r="L1137" s="15">
        <v>1330275.595523837</v>
      </c>
      <c r="M1137" s="15">
        <v>230592.15447616251</v>
      </c>
    </row>
    <row r="1138" spans="1:13" x14ac:dyDescent="0.25">
      <c r="A1138" s="12">
        <v>46063</v>
      </c>
      <c r="B1138" s="12" t="s">
        <v>13</v>
      </c>
      <c r="C1138" s="12" t="s">
        <v>14</v>
      </c>
      <c r="D1138" s="12" t="s">
        <v>22</v>
      </c>
      <c r="E1138" s="13">
        <v>77946</v>
      </c>
      <c r="F1138" s="14">
        <v>36</v>
      </c>
      <c r="G1138" s="15">
        <v>14760</v>
      </c>
      <c r="H1138" s="16">
        <v>0.15</v>
      </c>
      <c r="I1138" s="13">
        <v>2</v>
      </c>
      <c r="J1138" s="15">
        <v>79704</v>
      </c>
      <c r="K1138" s="15">
        <v>451656</v>
      </c>
      <c r="L1138" s="15">
        <v>277787.95466535637</v>
      </c>
      <c r="M1138" s="15">
        <v>173868.0453346436</v>
      </c>
    </row>
    <row r="1139" spans="1:13" x14ac:dyDescent="0.25">
      <c r="A1139" s="12">
        <v>46064</v>
      </c>
      <c r="B1139" s="12" t="s">
        <v>24</v>
      </c>
      <c r="C1139" s="12" t="s">
        <v>23</v>
      </c>
      <c r="D1139" s="12" t="s">
        <v>15</v>
      </c>
      <c r="E1139" s="13">
        <v>77356</v>
      </c>
      <c r="F1139" s="14">
        <v>30</v>
      </c>
      <c r="G1139" s="15">
        <v>1574</v>
      </c>
      <c r="H1139" s="16">
        <v>0.05</v>
      </c>
      <c r="I1139" s="13">
        <v>4</v>
      </c>
      <c r="J1139" s="15">
        <v>2361</v>
      </c>
      <c r="K1139" s="15">
        <v>44859</v>
      </c>
      <c r="L1139" s="15">
        <v>32252.842238801812</v>
      </c>
      <c r="M1139" s="15">
        <v>12606.15776119819</v>
      </c>
    </row>
    <row r="1140" spans="1:13" x14ac:dyDescent="0.25">
      <c r="A1140" s="12">
        <v>46065</v>
      </c>
      <c r="B1140" s="12" t="s">
        <v>16</v>
      </c>
      <c r="C1140" s="12" t="s">
        <v>23</v>
      </c>
      <c r="D1140" s="12" t="s">
        <v>27</v>
      </c>
      <c r="E1140" s="13">
        <v>62116</v>
      </c>
      <c r="F1140" s="14">
        <v>23</v>
      </c>
      <c r="G1140" s="15">
        <v>43176</v>
      </c>
      <c r="H1140" s="16">
        <v>0.1</v>
      </c>
      <c r="I1140" s="13">
        <v>5</v>
      </c>
      <c r="J1140" s="15">
        <v>99304.8</v>
      </c>
      <c r="K1140" s="15">
        <v>893743.2</v>
      </c>
      <c r="L1140" s="15">
        <v>635452.36450945749</v>
      </c>
      <c r="M1140" s="15">
        <v>258290.83549054249</v>
      </c>
    </row>
    <row r="1141" spans="1:13" x14ac:dyDescent="0.25">
      <c r="A1141" s="12">
        <v>46066</v>
      </c>
      <c r="B1141" s="12" t="s">
        <v>19</v>
      </c>
      <c r="C1141" s="12" t="s">
        <v>23</v>
      </c>
      <c r="D1141" s="12" t="s">
        <v>26</v>
      </c>
      <c r="E1141" s="13">
        <v>72894</v>
      </c>
      <c r="F1141" s="14">
        <v>19</v>
      </c>
      <c r="G1141" s="15">
        <v>9975</v>
      </c>
      <c r="H1141" s="16">
        <v>0.1</v>
      </c>
      <c r="I1141" s="13">
        <v>4</v>
      </c>
      <c r="J1141" s="15">
        <v>18952.5</v>
      </c>
      <c r="K1141" s="15">
        <v>170572.5</v>
      </c>
      <c r="L1141" s="15">
        <v>116917.23355100449</v>
      </c>
      <c r="M1141" s="15">
        <v>53655.26644899555</v>
      </c>
    </row>
    <row r="1142" spans="1:13" x14ac:dyDescent="0.25">
      <c r="A1142" s="12">
        <v>46067</v>
      </c>
      <c r="B1142" s="12" t="s">
        <v>24</v>
      </c>
      <c r="C1142" s="12" t="s">
        <v>14</v>
      </c>
      <c r="D1142" s="12" t="s">
        <v>25</v>
      </c>
      <c r="E1142" s="13">
        <v>44635</v>
      </c>
      <c r="F1142" s="14">
        <v>12</v>
      </c>
      <c r="G1142" s="15">
        <v>13378</v>
      </c>
      <c r="H1142" s="16">
        <v>0.2</v>
      </c>
      <c r="I1142" s="13">
        <v>5</v>
      </c>
      <c r="J1142" s="15">
        <v>32107.200000000001</v>
      </c>
      <c r="K1142" s="15">
        <v>128428.8</v>
      </c>
      <c r="L1142" s="15">
        <v>112185.9344261254</v>
      </c>
      <c r="M1142" s="15">
        <v>16242.8655738746</v>
      </c>
    </row>
    <row r="1143" spans="1:13" x14ac:dyDescent="0.25">
      <c r="A1143" s="12">
        <v>46068</v>
      </c>
      <c r="B1143" s="12" t="s">
        <v>19</v>
      </c>
      <c r="C1143" s="12" t="s">
        <v>21</v>
      </c>
      <c r="D1143" s="12" t="s">
        <v>26</v>
      </c>
      <c r="E1143" s="13">
        <v>17465</v>
      </c>
      <c r="F1143" s="14">
        <v>15</v>
      </c>
      <c r="G1143" s="15">
        <v>15620</v>
      </c>
      <c r="H1143" s="16">
        <v>0.15</v>
      </c>
      <c r="I1143" s="13">
        <v>1</v>
      </c>
      <c r="J1143" s="15">
        <v>35145</v>
      </c>
      <c r="K1143" s="15">
        <v>199155</v>
      </c>
      <c r="L1143" s="15">
        <v>164358.34326324679</v>
      </c>
      <c r="M1143" s="15">
        <v>34796.656736753153</v>
      </c>
    </row>
    <row r="1144" spans="1:13" x14ac:dyDescent="0.25">
      <c r="A1144" s="12">
        <v>46069</v>
      </c>
      <c r="B1144" s="12" t="s">
        <v>16</v>
      </c>
      <c r="C1144" s="12" t="s">
        <v>21</v>
      </c>
      <c r="D1144" s="12" t="s">
        <v>15</v>
      </c>
      <c r="E1144" s="13">
        <v>66754</v>
      </c>
      <c r="F1144" s="14">
        <v>31</v>
      </c>
      <c r="G1144" s="15">
        <v>23647</v>
      </c>
      <c r="H1144" s="16">
        <v>0</v>
      </c>
      <c r="I1144" s="13">
        <v>1</v>
      </c>
      <c r="J1144" s="15">
        <v>0</v>
      </c>
      <c r="K1144" s="15">
        <v>733057</v>
      </c>
      <c r="L1144" s="15">
        <v>453891.99689191498</v>
      </c>
      <c r="M1144" s="15">
        <v>279165.00310808502</v>
      </c>
    </row>
    <row r="1145" spans="1:13" x14ac:dyDescent="0.25">
      <c r="A1145" s="12">
        <v>46070</v>
      </c>
      <c r="B1145" s="12" t="s">
        <v>13</v>
      </c>
      <c r="C1145" s="12" t="s">
        <v>23</v>
      </c>
      <c r="D1145" s="12" t="s">
        <v>25</v>
      </c>
      <c r="E1145" s="13">
        <v>95119</v>
      </c>
      <c r="F1145" s="14">
        <v>43</v>
      </c>
      <c r="G1145" s="15">
        <v>2486</v>
      </c>
      <c r="H1145" s="16">
        <v>0.05</v>
      </c>
      <c r="I1145" s="13">
        <v>3</v>
      </c>
      <c r="J1145" s="15">
        <v>5344.9000000000005</v>
      </c>
      <c r="K1145" s="15">
        <v>101553.1</v>
      </c>
      <c r="L1145" s="15">
        <v>82705.477806363851</v>
      </c>
      <c r="M1145" s="15">
        <v>18847.622193636151</v>
      </c>
    </row>
    <row r="1146" spans="1:13" x14ac:dyDescent="0.25">
      <c r="A1146" s="12">
        <v>46071</v>
      </c>
      <c r="B1146" s="12" t="s">
        <v>16</v>
      </c>
      <c r="C1146" s="12" t="s">
        <v>20</v>
      </c>
      <c r="D1146" s="12" t="s">
        <v>26</v>
      </c>
      <c r="E1146" s="13">
        <v>48871</v>
      </c>
      <c r="F1146" s="14">
        <v>37</v>
      </c>
      <c r="G1146" s="15">
        <v>44093</v>
      </c>
      <c r="H1146" s="16">
        <v>0.05</v>
      </c>
      <c r="I1146" s="13">
        <v>2</v>
      </c>
      <c r="J1146" s="15">
        <v>81572.05</v>
      </c>
      <c r="K1146" s="15">
        <v>1549868.95</v>
      </c>
      <c r="L1146" s="15">
        <v>1175094.73613947</v>
      </c>
      <c r="M1146" s="15">
        <v>374774.21386052988</v>
      </c>
    </row>
    <row r="1147" spans="1:13" x14ac:dyDescent="0.25">
      <c r="A1147" s="12">
        <v>46072</v>
      </c>
      <c r="B1147" s="12" t="s">
        <v>24</v>
      </c>
      <c r="C1147" s="12" t="s">
        <v>21</v>
      </c>
      <c r="D1147" s="12" t="s">
        <v>15</v>
      </c>
      <c r="E1147" s="13">
        <v>72874</v>
      </c>
      <c r="F1147" s="14">
        <v>37</v>
      </c>
      <c r="G1147" s="15">
        <v>32930</v>
      </c>
      <c r="H1147" s="16">
        <v>0.05</v>
      </c>
      <c r="I1147" s="13">
        <v>1</v>
      </c>
      <c r="J1147" s="15">
        <v>60920.5</v>
      </c>
      <c r="K1147" s="15">
        <v>1157489.5</v>
      </c>
      <c r="L1147" s="15">
        <v>1007317.238597081</v>
      </c>
      <c r="M1147" s="15">
        <v>150172.2614029191</v>
      </c>
    </row>
    <row r="1148" spans="1:13" x14ac:dyDescent="0.25">
      <c r="A1148" s="12">
        <v>46073</v>
      </c>
      <c r="B1148" s="12" t="s">
        <v>13</v>
      </c>
      <c r="C1148" s="12" t="s">
        <v>14</v>
      </c>
      <c r="D1148" s="12" t="s">
        <v>27</v>
      </c>
      <c r="E1148" s="13">
        <v>87733</v>
      </c>
      <c r="F1148" s="14">
        <v>15</v>
      </c>
      <c r="G1148" s="15">
        <v>42461</v>
      </c>
      <c r="H1148" s="16">
        <v>0.05</v>
      </c>
      <c r="I1148" s="13">
        <v>5</v>
      </c>
      <c r="J1148" s="15">
        <v>31845.75</v>
      </c>
      <c r="K1148" s="15">
        <v>605069.25</v>
      </c>
      <c r="L1148" s="15">
        <v>419847.68099392753</v>
      </c>
      <c r="M1148" s="15">
        <v>185221.5690060725</v>
      </c>
    </row>
    <row r="1149" spans="1:13" x14ac:dyDescent="0.25">
      <c r="A1149" s="12">
        <v>46074</v>
      </c>
      <c r="B1149" s="12" t="s">
        <v>24</v>
      </c>
      <c r="C1149" s="12" t="s">
        <v>17</v>
      </c>
      <c r="D1149" s="12" t="s">
        <v>15</v>
      </c>
      <c r="E1149" s="13">
        <v>39511</v>
      </c>
      <c r="F1149" s="14">
        <v>29</v>
      </c>
      <c r="G1149" s="15">
        <v>17930</v>
      </c>
      <c r="H1149" s="16">
        <v>0</v>
      </c>
      <c r="I1149" s="13">
        <v>4</v>
      </c>
      <c r="J1149" s="15">
        <v>0</v>
      </c>
      <c r="K1149" s="15">
        <v>519970</v>
      </c>
      <c r="L1149" s="15">
        <v>401546.10448109842</v>
      </c>
      <c r="M1149" s="15">
        <v>118423.8955189016</v>
      </c>
    </row>
    <row r="1150" spans="1:13" x14ac:dyDescent="0.25">
      <c r="A1150" s="12">
        <v>46075</v>
      </c>
      <c r="B1150" s="12" t="s">
        <v>13</v>
      </c>
      <c r="C1150" s="12" t="s">
        <v>17</v>
      </c>
      <c r="D1150" s="12" t="s">
        <v>18</v>
      </c>
      <c r="E1150" s="13">
        <v>90960</v>
      </c>
      <c r="F1150" s="14">
        <v>43</v>
      </c>
      <c r="G1150" s="15">
        <v>2676</v>
      </c>
      <c r="H1150" s="16">
        <v>0</v>
      </c>
      <c r="I1150" s="13">
        <v>4</v>
      </c>
      <c r="J1150" s="15">
        <v>0</v>
      </c>
      <c r="K1150" s="15">
        <v>115068</v>
      </c>
      <c r="L1150" s="15">
        <v>86327.072386168729</v>
      </c>
      <c r="M1150" s="15">
        <v>28740.927613831271</v>
      </c>
    </row>
    <row r="1151" spans="1:13" x14ac:dyDescent="0.25">
      <c r="A1151" s="12">
        <v>46076</v>
      </c>
      <c r="B1151" s="12" t="s">
        <v>19</v>
      </c>
      <c r="C1151" s="12" t="s">
        <v>17</v>
      </c>
      <c r="D1151" s="12" t="s">
        <v>25</v>
      </c>
      <c r="E1151" s="13">
        <v>58821</v>
      </c>
      <c r="F1151" s="14">
        <v>26</v>
      </c>
      <c r="G1151" s="15">
        <v>19222</v>
      </c>
      <c r="H1151" s="16">
        <v>0.2</v>
      </c>
      <c r="I1151" s="13">
        <v>3</v>
      </c>
      <c r="J1151" s="15">
        <v>99954.400000000009</v>
      </c>
      <c r="K1151" s="15">
        <v>399817.6</v>
      </c>
      <c r="L1151" s="15">
        <v>298611.07997452392</v>
      </c>
      <c r="M1151" s="15">
        <v>101206.5200254761</v>
      </c>
    </row>
    <row r="1152" spans="1:13" x14ac:dyDescent="0.25">
      <c r="A1152" s="12">
        <v>46077</v>
      </c>
      <c r="B1152" s="12" t="s">
        <v>19</v>
      </c>
      <c r="C1152" s="12" t="s">
        <v>20</v>
      </c>
      <c r="D1152" s="12" t="s">
        <v>22</v>
      </c>
      <c r="E1152" s="13">
        <v>75776</v>
      </c>
      <c r="F1152" s="14">
        <v>44</v>
      </c>
      <c r="G1152" s="15">
        <v>43315</v>
      </c>
      <c r="H1152" s="16">
        <v>0.15</v>
      </c>
      <c r="I1152" s="13">
        <v>4</v>
      </c>
      <c r="J1152" s="15">
        <v>285879</v>
      </c>
      <c r="K1152" s="15">
        <v>1619981</v>
      </c>
      <c r="L1152" s="15">
        <v>1193653.224364588</v>
      </c>
      <c r="M1152" s="15">
        <v>426327.77563541202</v>
      </c>
    </row>
    <row r="1153" spans="1:13" x14ac:dyDescent="0.25">
      <c r="A1153" s="12">
        <v>46078</v>
      </c>
      <c r="B1153" s="12" t="s">
        <v>19</v>
      </c>
      <c r="C1153" s="12" t="s">
        <v>23</v>
      </c>
      <c r="D1153" s="12" t="s">
        <v>27</v>
      </c>
      <c r="E1153" s="13">
        <v>80167</v>
      </c>
      <c r="F1153" s="14">
        <v>2</v>
      </c>
      <c r="G1153" s="15">
        <v>19117</v>
      </c>
      <c r="H1153" s="16">
        <v>0</v>
      </c>
      <c r="I1153" s="13">
        <v>1</v>
      </c>
      <c r="J1153" s="15">
        <v>0</v>
      </c>
      <c r="K1153" s="15">
        <v>38234</v>
      </c>
      <c r="L1153" s="15">
        <v>25299.01121025037</v>
      </c>
      <c r="M1153" s="15">
        <v>12934.98878974963</v>
      </c>
    </row>
    <row r="1154" spans="1:13" x14ac:dyDescent="0.25">
      <c r="A1154" s="12">
        <v>46079</v>
      </c>
      <c r="B1154" s="12" t="s">
        <v>16</v>
      </c>
      <c r="C1154" s="12" t="s">
        <v>14</v>
      </c>
      <c r="D1154" s="12" t="s">
        <v>26</v>
      </c>
      <c r="E1154" s="13">
        <v>85135</v>
      </c>
      <c r="F1154" s="14">
        <v>20</v>
      </c>
      <c r="G1154" s="15">
        <v>27615</v>
      </c>
      <c r="H1154" s="16">
        <v>0.2</v>
      </c>
      <c r="I1154" s="13">
        <v>4</v>
      </c>
      <c r="J1154" s="15">
        <v>110460</v>
      </c>
      <c r="K1154" s="15">
        <v>441840</v>
      </c>
      <c r="L1154" s="15">
        <v>365274.86164621159</v>
      </c>
      <c r="M1154" s="15">
        <v>76565.138353788352</v>
      </c>
    </row>
    <row r="1155" spans="1:13" x14ac:dyDescent="0.25">
      <c r="A1155" s="12">
        <v>46080</v>
      </c>
      <c r="B1155" s="12" t="s">
        <v>24</v>
      </c>
      <c r="C1155" s="12" t="s">
        <v>20</v>
      </c>
      <c r="D1155" s="12" t="s">
        <v>25</v>
      </c>
      <c r="E1155" s="13">
        <v>54462</v>
      </c>
      <c r="F1155" s="14">
        <v>15</v>
      </c>
      <c r="G1155" s="15">
        <v>37876</v>
      </c>
      <c r="H1155" s="16">
        <v>0.1</v>
      </c>
      <c r="I1155" s="13">
        <v>1</v>
      </c>
      <c r="J1155" s="15">
        <v>56814</v>
      </c>
      <c r="K1155" s="15">
        <v>511326</v>
      </c>
      <c r="L1155" s="15">
        <v>376029.55448293482</v>
      </c>
      <c r="M1155" s="15">
        <v>135296.44551706521</v>
      </c>
    </row>
    <row r="1156" spans="1:13" x14ac:dyDescent="0.25">
      <c r="A1156" s="12">
        <v>46081</v>
      </c>
      <c r="B1156" s="12" t="s">
        <v>16</v>
      </c>
      <c r="C1156" s="12" t="s">
        <v>14</v>
      </c>
      <c r="D1156" s="12" t="s">
        <v>22</v>
      </c>
      <c r="E1156" s="13">
        <v>71382</v>
      </c>
      <c r="F1156" s="14">
        <v>4</v>
      </c>
      <c r="G1156" s="15">
        <v>12406</v>
      </c>
      <c r="H1156" s="16">
        <v>0.15</v>
      </c>
      <c r="I1156" s="13">
        <v>1</v>
      </c>
      <c r="J1156" s="15">
        <v>7443.5999999999995</v>
      </c>
      <c r="K1156" s="15">
        <v>42180.4</v>
      </c>
      <c r="L1156" s="15">
        <v>37437.419965835972</v>
      </c>
      <c r="M1156" s="15">
        <v>4742.9800341640293</v>
      </c>
    </row>
    <row r="1157" spans="1:13" x14ac:dyDescent="0.25">
      <c r="A1157" s="12">
        <v>46082</v>
      </c>
      <c r="B1157" s="12" t="s">
        <v>19</v>
      </c>
      <c r="C1157" s="12" t="s">
        <v>14</v>
      </c>
      <c r="D1157" s="12" t="s">
        <v>15</v>
      </c>
      <c r="E1157" s="13">
        <v>42574</v>
      </c>
      <c r="F1157" s="14">
        <v>22</v>
      </c>
      <c r="G1157" s="15">
        <v>40502</v>
      </c>
      <c r="H1157" s="16">
        <v>0</v>
      </c>
      <c r="I1157" s="13">
        <v>2</v>
      </c>
      <c r="J1157" s="15">
        <v>0</v>
      </c>
      <c r="K1157" s="15">
        <v>891044</v>
      </c>
      <c r="L1157" s="15">
        <v>604343.93525986804</v>
      </c>
      <c r="M1157" s="15">
        <v>286700.06474013202</v>
      </c>
    </row>
    <row r="1158" spans="1:13" x14ac:dyDescent="0.25">
      <c r="A1158" s="12">
        <v>46083</v>
      </c>
      <c r="B1158" s="12" t="s">
        <v>24</v>
      </c>
      <c r="C1158" s="12" t="s">
        <v>23</v>
      </c>
      <c r="D1158" s="12" t="s">
        <v>22</v>
      </c>
      <c r="E1158" s="13">
        <v>51910</v>
      </c>
      <c r="F1158" s="14">
        <v>38</v>
      </c>
      <c r="G1158" s="15">
        <v>7110</v>
      </c>
      <c r="H1158" s="16">
        <v>0.1</v>
      </c>
      <c r="I1158" s="13">
        <v>3</v>
      </c>
      <c r="J1158" s="15">
        <v>27018</v>
      </c>
      <c r="K1158" s="15">
        <v>243162</v>
      </c>
      <c r="L1158" s="15">
        <v>195702.4072594172</v>
      </c>
      <c r="M1158" s="15">
        <v>47459.592740582833</v>
      </c>
    </row>
    <row r="1159" spans="1:13" x14ac:dyDescent="0.25">
      <c r="A1159" s="12">
        <v>46084</v>
      </c>
      <c r="B1159" s="12" t="s">
        <v>19</v>
      </c>
      <c r="C1159" s="12" t="s">
        <v>17</v>
      </c>
      <c r="D1159" s="12" t="s">
        <v>25</v>
      </c>
      <c r="E1159" s="13">
        <v>83531</v>
      </c>
      <c r="F1159" s="14">
        <v>23</v>
      </c>
      <c r="G1159" s="15">
        <v>43792</v>
      </c>
      <c r="H1159" s="16">
        <v>0.2</v>
      </c>
      <c r="I1159" s="13">
        <v>5</v>
      </c>
      <c r="J1159" s="15">
        <v>201443.20000000001</v>
      </c>
      <c r="K1159" s="15">
        <v>805772.80000000005</v>
      </c>
      <c r="L1159" s="15">
        <v>710864.95058058831</v>
      </c>
      <c r="M1159" s="15">
        <v>94907.849419411737</v>
      </c>
    </row>
    <row r="1160" spans="1:13" x14ac:dyDescent="0.25">
      <c r="A1160" s="12">
        <v>46085</v>
      </c>
      <c r="B1160" s="12" t="s">
        <v>16</v>
      </c>
      <c r="C1160" s="12" t="s">
        <v>23</v>
      </c>
      <c r="D1160" s="12" t="s">
        <v>25</v>
      </c>
      <c r="E1160" s="13">
        <v>35186</v>
      </c>
      <c r="F1160" s="14">
        <v>26</v>
      </c>
      <c r="G1160" s="15">
        <v>13911</v>
      </c>
      <c r="H1160" s="16">
        <v>0</v>
      </c>
      <c r="I1160" s="13">
        <v>1</v>
      </c>
      <c r="J1160" s="15">
        <v>0</v>
      </c>
      <c r="K1160" s="15">
        <v>361686</v>
      </c>
      <c r="L1160" s="15">
        <v>289000.67610551952</v>
      </c>
      <c r="M1160" s="15">
        <v>72685.323894480476</v>
      </c>
    </row>
    <row r="1161" spans="1:13" x14ac:dyDescent="0.25">
      <c r="A1161" s="12">
        <v>46086</v>
      </c>
      <c r="B1161" s="12" t="s">
        <v>16</v>
      </c>
      <c r="C1161" s="12" t="s">
        <v>20</v>
      </c>
      <c r="D1161" s="12" t="s">
        <v>18</v>
      </c>
      <c r="E1161" s="13">
        <v>32813</v>
      </c>
      <c r="F1161" s="14">
        <v>11</v>
      </c>
      <c r="G1161" s="15">
        <v>9680</v>
      </c>
      <c r="H1161" s="16">
        <v>0</v>
      </c>
      <c r="I1161" s="13">
        <v>3</v>
      </c>
      <c r="J1161" s="15">
        <v>0</v>
      </c>
      <c r="K1161" s="15">
        <v>106480</v>
      </c>
      <c r="L1161" s="15">
        <v>91719.941760930058</v>
      </c>
      <c r="M1161" s="15">
        <v>14760.05823906994</v>
      </c>
    </row>
    <row r="1162" spans="1:13" x14ac:dyDescent="0.25">
      <c r="A1162" s="12">
        <v>46087</v>
      </c>
      <c r="B1162" s="12" t="s">
        <v>16</v>
      </c>
      <c r="C1162" s="12" t="s">
        <v>20</v>
      </c>
      <c r="D1162" s="12" t="s">
        <v>18</v>
      </c>
      <c r="E1162" s="13">
        <v>88812</v>
      </c>
      <c r="F1162" s="14">
        <v>28</v>
      </c>
      <c r="G1162" s="15">
        <v>48493</v>
      </c>
      <c r="H1162" s="16">
        <v>0.1</v>
      </c>
      <c r="I1162" s="13">
        <v>5</v>
      </c>
      <c r="J1162" s="15">
        <v>135780.4</v>
      </c>
      <c r="K1162" s="15">
        <v>1222023.6000000001</v>
      </c>
      <c r="L1162" s="15">
        <v>1036574.538412114</v>
      </c>
      <c r="M1162" s="15">
        <v>185449.06158788651</v>
      </c>
    </row>
    <row r="1163" spans="1:13" x14ac:dyDescent="0.25">
      <c r="A1163" s="12">
        <v>46088</v>
      </c>
      <c r="B1163" s="12" t="s">
        <v>19</v>
      </c>
      <c r="C1163" s="12" t="s">
        <v>20</v>
      </c>
      <c r="D1163" s="12" t="s">
        <v>22</v>
      </c>
      <c r="E1163" s="13">
        <v>95525</v>
      </c>
      <c r="F1163" s="14">
        <v>2</v>
      </c>
      <c r="G1163" s="15">
        <v>10573</v>
      </c>
      <c r="H1163" s="16">
        <v>0</v>
      </c>
      <c r="I1163" s="13">
        <v>4</v>
      </c>
      <c r="J1163" s="15">
        <v>0</v>
      </c>
      <c r="K1163" s="15">
        <v>21146</v>
      </c>
      <c r="L1163" s="15">
        <v>14972.114763519139</v>
      </c>
      <c r="M1163" s="15">
        <v>6173.885236480859</v>
      </c>
    </row>
    <row r="1164" spans="1:13" x14ac:dyDescent="0.25">
      <c r="A1164" s="12">
        <v>46089</v>
      </c>
      <c r="B1164" s="12" t="s">
        <v>24</v>
      </c>
      <c r="C1164" s="12" t="s">
        <v>23</v>
      </c>
      <c r="D1164" s="12" t="s">
        <v>15</v>
      </c>
      <c r="E1164" s="13">
        <v>88282</v>
      </c>
      <c r="F1164" s="14">
        <v>8</v>
      </c>
      <c r="G1164" s="15">
        <v>37751</v>
      </c>
      <c r="H1164" s="16">
        <v>0.05</v>
      </c>
      <c r="I1164" s="13">
        <v>3</v>
      </c>
      <c r="J1164" s="15">
        <v>15100.4</v>
      </c>
      <c r="K1164" s="15">
        <v>286907.59999999998</v>
      </c>
      <c r="L1164" s="15">
        <v>223798.59579317551</v>
      </c>
      <c r="M1164" s="15">
        <v>63109.004206824437</v>
      </c>
    </row>
    <row r="1165" spans="1:13" x14ac:dyDescent="0.25">
      <c r="A1165" s="12">
        <v>46090</v>
      </c>
      <c r="B1165" s="12" t="s">
        <v>24</v>
      </c>
      <c r="C1165" s="12" t="s">
        <v>14</v>
      </c>
      <c r="D1165" s="12" t="s">
        <v>22</v>
      </c>
      <c r="E1165" s="13">
        <v>28557</v>
      </c>
      <c r="F1165" s="14">
        <v>29</v>
      </c>
      <c r="G1165" s="15">
        <v>31460</v>
      </c>
      <c r="H1165" s="16">
        <v>0</v>
      </c>
      <c r="I1165" s="13">
        <v>3</v>
      </c>
      <c r="J1165" s="15">
        <v>0</v>
      </c>
      <c r="K1165" s="15">
        <v>912340</v>
      </c>
      <c r="L1165" s="15">
        <v>590173.04122904758</v>
      </c>
      <c r="M1165" s="15">
        <v>322166.95877095242</v>
      </c>
    </row>
    <row r="1166" spans="1:13" x14ac:dyDescent="0.25">
      <c r="A1166" s="12">
        <v>46091</v>
      </c>
      <c r="B1166" s="12" t="s">
        <v>19</v>
      </c>
      <c r="C1166" s="12" t="s">
        <v>14</v>
      </c>
      <c r="D1166" s="12" t="s">
        <v>25</v>
      </c>
      <c r="E1166" s="13">
        <v>38060</v>
      </c>
      <c r="F1166" s="14">
        <v>11</v>
      </c>
      <c r="G1166" s="15">
        <v>6401</v>
      </c>
      <c r="H1166" s="16">
        <v>0.15</v>
      </c>
      <c r="I1166" s="13">
        <v>3</v>
      </c>
      <c r="J1166" s="15">
        <v>10561.65</v>
      </c>
      <c r="K1166" s="15">
        <v>59849.35</v>
      </c>
      <c r="L1166" s="15">
        <v>45524.872796252363</v>
      </c>
      <c r="M1166" s="15">
        <v>14324.47720374764</v>
      </c>
    </row>
    <row r="1167" spans="1:13" x14ac:dyDescent="0.25">
      <c r="A1167" s="12">
        <v>46092</v>
      </c>
      <c r="B1167" s="12" t="s">
        <v>24</v>
      </c>
      <c r="C1167" s="12" t="s">
        <v>21</v>
      </c>
      <c r="D1167" s="12" t="s">
        <v>25</v>
      </c>
      <c r="E1167" s="13">
        <v>68866</v>
      </c>
      <c r="F1167" s="14">
        <v>37</v>
      </c>
      <c r="G1167" s="15">
        <v>39397</v>
      </c>
      <c r="H1167" s="16">
        <v>0.1</v>
      </c>
      <c r="I1167" s="13">
        <v>4</v>
      </c>
      <c r="J1167" s="15">
        <v>145768.9</v>
      </c>
      <c r="K1167" s="15">
        <v>1311920.1000000001</v>
      </c>
      <c r="L1167" s="15">
        <v>877840.62489145889</v>
      </c>
      <c r="M1167" s="15">
        <v>434079.4751085412</v>
      </c>
    </row>
    <row r="1168" spans="1:13" x14ac:dyDescent="0.25">
      <c r="A1168" s="12">
        <v>46093</v>
      </c>
      <c r="B1168" s="12" t="s">
        <v>19</v>
      </c>
      <c r="C1168" s="12" t="s">
        <v>20</v>
      </c>
      <c r="D1168" s="12" t="s">
        <v>26</v>
      </c>
      <c r="E1168" s="13">
        <v>82104</v>
      </c>
      <c r="F1168" s="14">
        <v>18</v>
      </c>
      <c r="G1168" s="15">
        <v>43683</v>
      </c>
      <c r="H1168" s="16">
        <v>0.15</v>
      </c>
      <c r="I1168" s="13">
        <v>4</v>
      </c>
      <c r="J1168" s="15">
        <v>117944.1</v>
      </c>
      <c r="K1168" s="15">
        <v>668349.9</v>
      </c>
      <c r="L1168" s="15">
        <v>550132.86776993575</v>
      </c>
      <c r="M1168" s="15">
        <v>118217.0322300643</v>
      </c>
    </row>
    <row r="1169" spans="1:13" x14ac:dyDescent="0.25">
      <c r="A1169" s="12">
        <v>46094</v>
      </c>
      <c r="B1169" s="12" t="s">
        <v>24</v>
      </c>
      <c r="C1169" s="12" t="s">
        <v>14</v>
      </c>
      <c r="D1169" s="12" t="s">
        <v>18</v>
      </c>
      <c r="E1169" s="13">
        <v>94577</v>
      </c>
      <c r="F1169" s="14">
        <v>14</v>
      </c>
      <c r="G1169" s="15">
        <v>4982</v>
      </c>
      <c r="H1169" s="16">
        <v>0.2</v>
      </c>
      <c r="I1169" s="13">
        <v>3</v>
      </c>
      <c r="J1169" s="15">
        <v>13949.6</v>
      </c>
      <c r="K1169" s="15">
        <v>55798.400000000001</v>
      </c>
      <c r="L1169" s="15">
        <v>42318.484514431657</v>
      </c>
      <c r="M1169" s="15">
        <v>13479.915485568339</v>
      </c>
    </row>
    <row r="1170" spans="1:13" x14ac:dyDescent="0.25">
      <c r="A1170" s="12">
        <v>46095</v>
      </c>
      <c r="B1170" s="12" t="s">
        <v>13</v>
      </c>
      <c r="C1170" s="12" t="s">
        <v>21</v>
      </c>
      <c r="D1170" s="12" t="s">
        <v>26</v>
      </c>
      <c r="E1170" s="13">
        <v>16080</v>
      </c>
      <c r="F1170" s="14">
        <v>10</v>
      </c>
      <c r="G1170" s="15">
        <v>42954</v>
      </c>
      <c r="H1170" s="16">
        <v>0.15</v>
      </c>
      <c r="I1170" s="13">
        <v>2</v>
      </c>
      <c r="J1170" s="15">
        <v>64431</v>
      </c>
      <c r="K1170" s="15">
        <v>365109</v>
      </c>
      <c r="L1170" s="15">
        <v>264108.24334292492</v>
      </c>
      <c r="M1170" s="15">
        <v>101000.75665707509</v>
      </c>
    </row>
    <row r="1171" spans="1:13" x14ac:dyDescent="0.25">
      <c r="A1171" s="12">
        <v>46096</v>
      </c>
      <c r="B1171" s="12" t="s">
        <v>13</v>
      </c>
      <c r="C1171" s="12" t="s">
        <v>14</v>
      </c>
      <c r="D1171" s="12" t="s">
        <v>27</v>
      </c>
      <c r="E1171" s="13">
        <v>23854</v>
      </c>
      <c r="F1171" s="14">
        <v>35</v>
      </c>
      <c r="G1171" s="15">
        <v>25928</v>
      </c>
      <c r="H1171" s="16">
        <v>0.05</v>
      </c>
      <c r="I1171" s="13">
        <v>1</v>
      </c>
      <c r="J1171" s="15">
        <v>45374</v>
      </c>
      <c r="K1171" s="15">
        <v>862106</v>
      </c>
      <c r="L1171" s="15">
        <v>586783.07681643846</v>
      </c>
      <c r="M1171" s="15">
        <v>275322.92318356148</v>
      </c>
    </row>
    <row r="1172" spans="1:13" x14ac:dyDescent="0.25">
      <c r="A1172" s="12">
        <v>46097</v>
      </c>
      <c r="B1172" s="12" t="s">
        <v>16</v>
      </c>
      <c r="C1172" s="12" t="s">
        <v>20</v>
      </c>
      <c r="D1172" s="12" t="s">
        <v>25</v>
      </c>
      <c r="E1172" s="13">
        <v>77695</v>
      </c>
      <c r="F1172" s="14">
        <v>9</v>
      </c>
      <c r="G1172" s="15">
        <v>7900</v>
      </c>
      <c r="H1172" s="16">
        <v>0.05</v>
      </c>
      <c r="I1172" s="13">
        <v>4</v>
      </c>
      <c r="J1172" s="15">
        <v>3555</v>
      </c>
      <c r="K1172" s="15">
        <v>67545</v>
      </c>
      <c r="L1172" s="15">
        <v>60764.126686790907</v>
      </c>
      <c r="M1172" s="15">
        <v>6780.8733132090856</v>
      </c>
    </row>
    <row r="1173" spans="1:13" x14ac:dyDescent="0.25">
      <c r="A1173" s="12">
        <v>46098</v>
      </c>
      <c r="B1173" s="12" t="s">
        <v>13</v>
      </c>
      <c r="C1173" s="12" t="s">
        <v>17</v>
      </c>
      <c r="D1173" s="12" t="s">
        <v>26</v>
      </c>
      <c r="E1173" s="13">
        <v>37025</v>
      </c>
      <c r="F1173" s="14">
        <v>35</v>
      </c>
      <c r="G1173" s="15">
        <v>40074</v>
      </c>
      <c r="H1173" s="16">
        <v>0.15</v>
      </c>
      <c r="I1173" s="13">
        <v>2</v>
      </c>
      <c r="J1173" s="15">
        <v>210388.5</v>
      </c>
      <c r="K1173" s="15">
        <v>1192201.5</v>
      </c>
      <c r="L1173" s="15">
        <v>740968.91716943937</v>
      </c>
      <c r="M1173" s="15">
        <v>451232.58283056063</v>
      </c>
    </row>
    <row r="1174" spans="1:13" x14ac:dyDescent="0.25">
      <c r="A1174" s="12">
        <v>46099</v>
      </c>
      <c r="B1174" s="12" t="s">
        <v>13</v>
      </c>
      <c r="C1174" s="12" t="s">
        <v>20</v>
      </c>
      <c r="D1174" s="12" t="s">
        <v>22</v>
      </c>
      <c r="E1174" s="13">
        <v>62982</v>
      </c>
      <c r="F1174" s="14">
        <v>11</v>
      </c>
      <c r="G1174" s="15">
        <v>43784</v>
      </c>
      <c r="H1174" s="16">
        <v>0.2</v>
      </c>
      <c r="I1174" s="13">
        <v>4</v>
      </c>
      <c r="J1174" s="15">
        <v>96324.800000000003</v>
      </c>
      <c r="K1174" s="15">
        <v>385299.20000000001</v>
      </c>
      <c r="L1174" s="15">
        <v>236214.68861280271</v>
      </c>
      <c r="M1174" s="15">
        <v>149084.5113871973</v>
      </c>
    </row>
    <row r="1175" spans="1:13" x14ac:dyDescent="0.25">
      <c r="A1175" s="12">
        <v>46100</v>
      </c>
      <c r="B1175" s="12" t="s">
        <v>13</v>
      </c>
      <c r="C1175" s="12" t="s">
        <v>23</v>
      </c>
      <c r="D1175" s="12" t="s">
        <v>18</v>
      </c>
      <c r="E1175" s="13">
        <v>51081</v>
      </c>
      <c r="F1175" s="14">
        <v>44</v>
      </c>
      <c r="G1175" s="15">
        <v>7896</v>
      </c>
      <c r="H1175" s="16">
        <v>0</v>
      </c>
      <c r="I1175" s="13">
        <v>3</v>
      </c>
      <c r="J1175" s="15">
        <v>0</v>
      </c>
      <c r="K1175" s="15">
        <v>347424</v>
      </c>
      <c r="L1175" s="15">
        <v>231098.53053275411</v>
      </c>
      <c r="M1175" s="15">
        <v>116325.4694672459</v>
      </c>
    </row>
    <row r="1176" spans="1:13" x14ac:dyDescent="0.25">
      <c r="A1176" s="12">
        <v>46101</v>
      </c>
      <c r="B1176" s="12" t="s">
        <v>19</v>
      </c>
      <c r="C1176" s="12" t="s">
        <v>14</v>
      </c>
      <c r="D1176" s="12" t="s">
        <v>18</v>
      </c>
      <c r="E1176" s="13">
        <v>14368</v>
      </c>
      <c r="F1176" s="14">
        <v>12</v>
      </c>
      <c r="G1176" s="15">
        <v>7838</v>
      </c>
      <c r="H1176" s="16">
        <v>0.05</v>
      </c>
      <c r="I1176" s="13">
        <v>2</v>
      </c>
      <c r="J1176" s="15">
        <v>4702.8</v>
      </c>
      <c r="K1176" s="15">
        <v>89353.2</v>
      </c>
      <c r="L1176" s="15">
        <v>79642.449483078992</v>
      </c>
      <c r="M1176" s="15">
        <v>9710.7505169210053</v>
      </c>
    </row>
    <row r="1177" spans="1:13" x14ac:dyDescent="0.25">
      <c r="A1177" s="12">
        <v>46102</v>
      </c>
      <c r="B1177" s="12" t="s">
        <v>13</v>
      </c>
      <c r="C1177" s="12" t="s">
        <v>14</v>
      </c>
      <c r="D1177" s="12" t="s">
        <v>15</v>
      </c>
      <c r="E1177" s="13">
        <v>37094</v>
      </c>
      <c r="F1177" s="14">
        <v>3</v>
      </c>
      <c r="G1177" s="15">
        <v>43218</v>
      </c>
      <c r="H1177" s="16">
        <v>0.15</v>
      </c>
      <c r="I1177" s="13">
        <v>5</v>
      </c>
      <c r="J1177" s="15">
        <v>19448.099999999999</v>
      </c>
      <c r="K1177" s="15">
        <v>110205.9</v>
      </c>
      <c r="L1177" s="15">
        <v>98498.887096216611</v>
      </c>
      <c r="M1177" s="15">
        <v>11707.012903783379</v>
      </c>
    </row>
    <row r="1178" spans="1:13" x14ac:dyDescent="0.25">
      <c r="A1178" s="12">
        <v>46103</v>
      </c>
      <c r="B1178" s="12" t="s">
        <v>13</v>
      </c>
      <c r="C1178" s="12" t="s">
        <v>23</v>
      </c>
      <c r="D1178" s="12" t="s">
        <v>22</v>
      </c>
      <c r="E1178" s="13">
        <v>56040</v>
      </c>
      <c r="F1178" s="14">
        <v>39</v>
      </c>
      <c r="G1178" s="15">
        <v>13000</v>
      </c>
      <c r="H1178" s="16">
        <v>0.15</v>
      </c>
      <c r="I1178" s="13">
        <v>1</v>
      </c>
      <c r="J1178" s="15">
        <v>76050</v>
      </c>
      <c r="K1178" s="15">
        <v>430950</v>
      </c>
      <c r="L1178" s="15">
        <v>343242.33219001559</v>
      </c>
      <c r="M1178" s="15">
        <v>87707.667809984414</v>
      </c>
    </row>
    <row r="1179" spans="1:13" x14ac:dyDescent="0.25">
      <c r="A1179" s="12">
        <v>46104</v>
      </c>
      <c r="B1179" s="12" t="s">
        <v>16</v>
      </c>
      <c r="C1179" s="12" t="s">
        <v>23</v>
      </c>
      <c r="D1179" s="12" t="s">
        <v>15</v>
      </c>
      <c r="E1179" s="13">
        <v>76766</v>
      </c>
      <c r="F1179" s="14">
        <v>14</v>
      </c>
      <c r="G1179" s="15">
        <v>12045</v>
      </c>
      <c r="H1179" s="16">
        <v>0.15</v>
      </c>
      <c r="I1179" s="13">
        <v>1</v>
      </c>
      <c r="J1179" s="15">
        <v>25294.5</v>
      </c>
      <c r="K1179" s="15">
        <v>143335.5</v>
      </c>
      <c r="L1179" s="15">
        <v>123846.4587592091</v>
      </c>
      <c r="M1179" s="15">
        <v>19489.041240790899</v>
      </c>
    </row>
    <row r="1180" spans="1:13" x14ac:dyDescent="0.25">
      <c r="A1180" s="12">
        <v>46105</v>
      </c>
      <c r="B1180" s="12" t="s">
        <v>13</v>
      </c>
      <c r="C1180" s="12" t="s">
        <v>17</v>
      </c>
      <c r="D1180" s="12" t="s">
        <v>26</v>
      </c>
      <c r="E1180" s="13">
        <v>93053</v>
      </c>
      <c r="F1180" s="14">
        <v>28</v>
      </c>
      <c r="G1180" s="15">
        <v>5741</v>
      </c>
      <c r="H1180" s="16">
        <v>0</v>
      </c>
      <c r="I1180" s="13">
        <v>4</v>
      </c>
      <c r="J1180" s="15">
        <v>0</v>
      </c>
      <c r="K1180" s="15">
        <v>160748</v>
      </c>
      <c r="L1180" s="15">
        <v>106766.97609275889</v>
      </c>
      <c r="M1180" s="15">
        <v>53981.023907241142</v>
      </c>
    </row>
    <row r="1181" spans="1:13" x14ac:dyDescent="0.25">
      <c r="A1181" s="12">
        <v>46106</v>
      </c>
      <c r="B1181" s="12" t="s">
        <v>13</v>
      </c>
      <c r="C1181" s="12" t="s">
        <v>14</v>
      </c>
      <c r="D1181" s="12" t="s">
        <v>27</v>
      </c>
      <c r="E1181" s="13">
        <v>33991</v>
      </c>
      <c r="F1181" s="14">
        <v>11</v>
      </c>
      <c r="G1181" s="15">
        <v>24278</v>
      </c>
      <c r="H1181" s="16">
        <v>0.1</v>
      </c>
      <c r="I1181" s="13">
        <v>1</v>
      </c>
      <c r="J1181" s="15">
        <v>26705.8</v>
      </c>
      <c r="K1181" s="15">
        <v>240352.2</v>
      </c>
      <c r="L1181" s="15">
        <v>214301.05674838761</v>
      </c>
      <c r="M1181" s="15">
        <v>26051.1432516124</v>
      </c>
    </row>
    <row r="1182" spans="1:13" x14ac:dyDescent="0.25">
      <c r="A1182" s="12">
        <v>46107</v>
      </c>
      <c r="B1182" s="12" t="s">
        <v>24</v>
      </c>
      <c r="C1182" s="12" t="s">
        <v>14</v>
      </c>
      <c r="D1182" s="12" t="s">
        <v>22</v>
      </c>
      <c r="E1182" s="13">
        <v>11301</v>
      </c>
      <c r="F1182" s="14">
        <v>39</v>
      </c>
      <c r="G1182" s="15">
        <v>23321</v>
      </c>
      <c r="H1182" s="16">
        <v>0.2</v>
      </c>
      <c r="I1182" s="13">
        <v>5</v>
      </c>
      <c r="J1182" s="15">
        <v>181903.8</v>
      </c>
      <c r="K1182" s="15">
        <v>727615.2</v>
      </c>
      <c r="L1182" s="15">
        <v>467736.84818738082</v>
      </c>
      <c r="M1182" s="15">
        <v>259878.35181261919</v>
      </c>
    </row>
    <row r="1183" spans="1:13" x14ac:dyDescent="0.25">
      <c r="A1183" s="12">
        <v>46108</v>
      </c>
      <c r="B1183" s="12" t="s">
        <v>16</v>
      </c>
      <c r="C1183" s="12" t="s">
        <v>17</v>
      </c>
      <c r="D1183" s="12" t="s">
        <v>22</v>
      </c>
      <c r="E1183" s="13">
        <v>38610</v>
      </c>
      <c r="F1183" s="14">
        <v>25</v>
      </c>
      <c r="G1183" s="15">
        <v>5195</v>
      </c>
      <c r="H1183" s="16">
        <v>0.1</v>
      </c>
      <c r="I1183" s="13">
        <v>2</v>
      </c>
      <c r="J1183" s="15">
        <v>12987.5</v>
      </c>
      <c r="K1183" s="15">
        <v>116887.5</v>
      </c>
      <c r="L1183" s="15">
        <v>73678.581130075079</v>
      </c>
      <c r="M1183" s="15">
        <v>43208.918869924921</v>
      </c>
    </row>
    <row r="1184" spans="1:13" x14ac:dyDescent="0.25">
      <c r="A1184" s="12">
        <v>46109</v>
      </c>
      <c r="B1184" s="12" t="s">
        <v>16</v>
      </c>
      <c r="C1184" s="12" t="s">
        <v>21</v>
      </c>
      <c r="D1184" s="12" t="s">
        <v>22</v>
      </c>
      <c r="E1184" s="13">
        <v>91463</v>
      </c>
      <c r="F1184" s="14">
        <v>21</v>
      </c>
      <c r="G1184" s="15">
        <v>12030</v>
      </c>
      <c r="H1184" s="16">
        <v>0.2</v>
      </c>
      <c r="I1184" s="13">
        <v>2</v>
      </c>
      <c r="J1184" s="15">
        <v>50526</v>
      </c>
      <c r="K1184" s="15">
        <v>202104</v>
      </c>
      <c r="L1184" s="15">
        <v>128065.9202784092</v>
      </c>
      <c r="M1184" s="15">
        <v>74038.079721590751</v>
      </c>
    </row>
    <row r="1185" spans="1:13" x14ac:dyDescent="0.25">
      <c r="A1185" s="12">
        <v>46110</v>
      </c>
      <c r="B1185" s="12" t="s">
        <v>16</v>
      </c>
      <c r="C1185" s="12" t="s">
        <v>17</v>
      </c>
      <c r="D1185" s="12" t="s">
        <v>15</v>
      </c>
      <c r="E1185" s="13">
        <v>44678</v>
      </c>
      <c r="F1185" s="14">
        <v>10</v>
      </c>
      <c r="G1185" s="15">
        <v>47580</v>
      </c>
      <c r="H1185" s="16">
        <v>0.2</v>
      </c>
      <c r="I1185" s="13">
        <v>3</v>
      </c>
      <c r="J1185" s="15">
        <v>95160</v>
      </c>
      <c r="K1185" s="15">
        <v>380640</v>
      </c>
      <c r="L1185" s="15">
        <v>293830.62381434068</v>
      </c>
      <c r="M1185" s="15">
        <v>86809.376185659319</v>
      </c>
    </row>
    <row r="1186" spans="1:13" x14ac:dyDescent="0.25">
      <c r="A1186" s="12">
        <v>46111</v>
      </c>
      <c r="B1186" s="12" t="s">
        <v>16</v>
      </c>
      <c r="C1186" s="12" t="s">
        <v>20</v>
      </c>
      <c r="D1186" s="12" t="s">
        <v>26</v>
      </c>
      <c r="E1186" s="13">
        <v>34466</v>
      </c>
      <c r="F1186" s="14">
        <v>43</v>
      </c>
      <c r="G1186" s="15">
        <v>14818</v>
      </c>
      <c r="H1186" s="16">
        <v>0.15</v>
      </c>
      <c r="I1186" s="13">
        <v>2</v>
      </c>
      <c r="J1186" s="15">
        <v>95576.099999999991</v>
      </c>
      <c r="K1186" s="15">
        <v>541597.9</v>
      </c>
      <c r="L1186" s="15">
        <v>451850.96861479682</v>
      </c>
      <c r="M1186" s="15">
        <v>89746.931385203265</v>
      </c>
    </row>
    <row r="1187" spans="1:13" x14ac:dyDescent="0.25">
      <c r="A1187" s="12">
        <v>46112</v>
      </c>
      <c r="B1187" s="12" t="s">
        <v>16</v>
      </c>
      <c r="C1187" s="12" t="s">
        <v>14</v>
      </c>
      <c r="D1187" s="12" t="s">
        <v>22</v>
      </c>
      <c r="E1187" s="13">
        <v>90440</v>
      </c>
      <c r="F1187" s="14">
        <v>15</v>
      </c>
      <c r="G1187" s="15">
        <v>22831</v>
      </c>
      <c r="H1187" s="16">
        <v>0.05</v>
      </c>
      <c r="I1187" s="13">
        <v>4</v>
      </c>
      <c r="J1187" s="15">
        <v>17123.25</v>
      </c>
      <c r="K1187" s="15">
        <v>325341.75</v>
      </c>
      <c r="L1187" s="15">
        <v>230992.69239518829</v>
      </c>
      <c r="M1187" s="15">
        <v>94349.057604811707</v>
      </c>
    </row>
    <row r="1188" spans="1:13" x14ac:dyDescent="0.25">
      <c r="A1188" s="12">
        <v>46113</v>
      </c>
      <c r="B1188" s="12" t="s">
        <v>16</v>
      </c>
      <c r="C1188" s="12" t="s">
        <v>23</v>
      </c>
      <c r="D1188" s="12" t="s">
        <v>22</v>
      </c>
      <c r="E1188" s="13">
        <v>50875</v>
      </c>
      <c r="F1188" s="14">
        <v>19</v>
      </c>
      <c r="G1188" s="15">
        <v>26855</v>
      </c>
      <c r="H1188" s="16">
        <v>0.15</v>
      </c>
      <c r="I1188" s="13">
        <v>5</v>
      </c>
      <c r="J1188" s="15">
        <v>76536.75</v>
      </c>
      <c r="K1188" s="15">
        <v>433708.25</v>
      </c>
      <c r="L1188" s="15">
        <v>387461.41726342269</v>
      </c>
      <c r="M1188" s="15">
        <v>46246.832736577308</v>
      </c>
    </row>
    <row r="1189" spans="1:13" x14ac:dyDescent="0.25">
      <c r="A1189" s="12">
        <v>46114</v>
      </c>
      <c r="B1189" s="12" t="s">
        <v>19</v>
      </c>
      <c r="C1189" s="12" t="s">
        <v>20</v>
      </c>
      <c r="D1189" s="12" t="s">
        <v>18</v>
      </c>
      <c r="E1189" s="13">
        <v>36081</v>
      </c>
      <c r="F1189" s="14">
        <v>48</v>
      </c>
      <c r="G1189" s="15">
        <v>11824</v>
      </c>
      <c r="H1189" s="16">
        <v>0</v>
      </c>
      <c r="I1189" s="13">
        <v>3</v>
      </c>
      <c r="J1189" s="15">
        <v>0</v>
      </c>
      <c r="K1189" s="15">
        <v>567552</v>
      </c>
      <c r="L1189" s="15">
        <v>414498.00546880031</v>
      </c>
      <c r="M1189" s="15">
        <v>153053.99453119971</v>
      </c>
    </row>
    <row r="1190" spans="1:13" x14ac:dyDescent="0.25">
      <c r="A1190" s="12">
        <v>46115</v>
      </c>
      <c r="B1190" s="12" t="s">
        <v>13</v>
      </c>
      <c r="C1190" s="12" t="s">
        <v>14</v>
      </c>
      <c r="D1190" s="12" t="s">
        <v>27</v>
      </c>
      <c r="E1190" s="13">
        <v>34354</v>
      </c>
      <c r="F1190" s="14">
        <v>22</v>
      </c>
      <c r="G1190" s="15">
        <v>28649</v>
      </c>
      <c r="H1190" s="16">
        <v>0.2</v>
      </c>
      <c r="I1190" s="13">
        <v>4</v>
      </c>
      <c r="J1190" s="15">
        <v>126055.6</v>
      </c>
      <c r="K1190" s="15">
        <v>504222.4</v>
      </c>
      <c r="L1190" s="15">
        <v>325291.29880421789</v>
      </c>
      <c r="M1190" s="15">
        <v>178931.1011957821</v>
      </c>
    </row>
    <row r="1191" spans="1:13" x14ac:dyDescent="0.25">
      <c r="A1191" s="12">
        <v>46116</v>
      </c>
      <c r="B1191" s="12" t="s">
        <v>16</v>
      </c>
      <c r="C1191" s="12" t="s">
        <v>17</v>
      </c>
      <c r="D1191" s="12" t="s">
        <v>18</v>
      </c>
      <c r="E1191" s="13">
        <v>28300</v>
      </c>
      <c r="F1191" s="14">
        <v>21</v>
      </c>
      <c r="G1191" s="15">
        <v>3718</v>
      </c>
      <c r="H1191" s="16">
        <v>0.05</v>
      </c>
      <c r="I1191" s="13">
        <v>4</v>
      </c>
      <c r="J1191" s="15">
        <v>3903.9</v>
      </c>
      <c r="K1191" s="15">
        <v>74174.100000000006</v>
      </c>
      <c r="L1191" s="15">
        <v>54873.259252990007</v>
      </c>
      <c r="M1191" s="15">
        <v>19300.840747009999</v>
      </c>
    </row>
    <row r="1192" spans="1:13" x14ac:dyDescent="0.25">
      <c r="A1192" s="12">
        <v>46117</v>
      </c>
      <c r="B1192" s="12" t="s">
        <v>13</v>
      </c>
      <c r="C1192" s="12" t="s">
        <v>20</v>
      </c>
      <c r="D1192" s="12" t="s">
        <v>18</v>
      </c>
      <c r="E1192" s="13">
        <v>74384</v>
      </c>
      <c r="F1192" s="14">
        <v>44</v>
      </c>
      <c r="G1192" s="15">
        <v>20641</v>
      </c>
      <c r="H1192" s="16">
        <v>0.2</v>
      </c>
      <c r="I1192" s="13">
        <v>4</v>
      </c>
      <c r="J1192" s="15">
        <v>181640.8</v>
      </c>
      <c r="K1192" s="15">
        <v>726563.2</v>
      </c>
      <c r="L1192" s="15">
        <v>583946.9447484772</v>
      </c>
      <c r="M1192" s="15">
        <v>142616.25525152279</v>
      </c>
    </row>
    <row r="1193" spans="1:13" x14ac:dyDescent="0.25">
      <c r="A1193" s="12">
        <v>46118</v>
      </c>
      <c r="B1193" s="12" t="s">
        <v>13</v>
      </c>
      <c r="C1193" s="12" t="s">
        <v>14</v>
      </c>
      <c r="D1193" s="12" t="s">
        <v>27</v>
      </c>
      <c r="E1193" s="13">
        <v>70892</v>
      </c>
      <c r="F1193" s="14">
        <v>32</v>
      </c>
      <c r="G1193" s="15">
        <v>37284</v>
      </c>
      <c r="H1193" s="16">
        <v>0.2</v>
      </c>
      <c r="I1193" s="13">
        <v>1</v>
      </c>
      <c r="J1193" s="15">
        <v>238617.60000000001</v>
      </c>
      <c r="K1193" s="15">
        <v>954470.40000000002</v>
      </c>
      <c r="L1193" s="15">
        <v>810982.702082498</v>
      </c>
      <c r="M1193" s="15">
        <v>143487.697917502</v>
      </c>
    </row>
    <row r="1194" spans="1:13" x14ac:dyDescent="0.25">
      <c r="A1194" s="12">
        <v>46119</v>
      </c>
      <c r="B1194" s="12" t="s">
        <v>19</v>
      </c>
      <c r="C1194" s="12" t="s">
        <v>21</v>
      </c>
      <c r="D1194" s="12" t="s">
        <v>26</v>
      </c>
      <c r="E1194" s="13">
        <v>45525</v>
      </c>
      <c r="F1194" s="14">
        <v>23</v>
      </c>
      <c r="G1194" s="15">
        <v>3337</v>
      </c>
      <c r="H1194" s="16">
        <v>0.15</v>
      </c>
      <c r="I1194" s="13">
        <v>4</v>
      </c>
      <c r="J1194" s="15">
        <v>11512.65</v>
      </c>
      <c r="K1194" s="15">
        <v>65238.35</v>
      </c>
      <c r="L1194" s="15">
        <v>48121.79588072691</v>
      </c>
      <c r="M1194" s="15">
        <v>17116.554119273089</v>
      </c>
    </row>
    <row r="1195" spans="1:13" x14ac:dyDescent="0.25">
      <c r="A1195" s="12">
        <v>46120</v>
      </c>
      <c r="B1195" s="12" t="s">
        <v>16</v>
      </c>
      <c r="C1195" s="12" t="s">
        <v>21</v>
      </c>
      <c r="D1195" s="12" t="s">
        <v>18</v>
      </c>
      <c r="E1195" s="13">
        <v>36532</v>
      </c>
      <c r="F1195" s="14">
        <v>13</v>
      </c>
      <c r="G1195" s="15">
        <v>49580</v>
      </c>
      <c r="H1195" s="16">
        <v>0.05</v>
      </c>
      <c r="I1195" s="13">
        <v>1</v>
      </c>
      <c r="J1195" s="15">
        <v>32227</v>
      </c>
      <c r="K1195" s="15">
        <v>612313</v>
      </c>
      <c r="L1195" s="15">
        <v>476429.75294359308</v>
      </c>
      <c r="M1195" s="15">
        <v>135883.24705640689</v>
      </c>
    </row>
    <row r="1196" spans="1:13" x14ac:dyDescent="0.25">
      <c r="A1196" s="12">
        <v>46121</v>
      </c>
      <c r="B1196" s="12" t="s">
        <v>24</v>
      </c>
      <c r="C1196" s="12" t="s">
        <v>23</v>
      </c>
      <c r="D1196" s="12" t="s">
        <v>26</v>
      </c>
      <c r="E1196" s="13">
        <v>16464</v>
      </c>
      <c r="F1196" s="14">
        <v>5</v>
      </c>
      <c r="G1196" s="15">
        <v>40302</v>
      </c>
      <c r="H1196" s="16">
        <v>0.05</v>
      </c>
      <c r="I1196" s="13">
        <v>2</v>
      </c>
      <c r="J1196" s="15">
        <v>10075.5</v>
      </c>
      <c r="K1196" s="15">
        <v>191434.5</v>
      </c>
      <c r="L1196" s="15">
        <v>130214.4003899322</v>
      </c>
      <c r="M1196" s="15">
        <v>61220.099610067788</v>
      </c>
    </row>
    <row r="1197" spans="1:13" x14ac:dyDescent="0.25">
      <c r="A1197" s="12">
        <v>46122</v>
      </c>
      <c r="B1197" s="12" t="s">
        <v>19</v>
      </c>
      <c r="C1197" s="12" t="s">
        <v>14</v>
      </c>
      <c r="D1197" s="12" t="s">
        <v>18</v>
      </c>
      <c r="E1197" s="13">
        <v>26562</v>
      </c>
      <c r="F1197" s="14">
        <v>4</v>
      </c>
      <c r="G1197" s="15">
        <v>40577</v>
      </c>
      <c r="H1197" s="16">
        <v>0.2</v>
      </c>
      <c r="I1197" s="13">
        <v>1</v>
      </c>
      <c r="J1197" s="15">
        <v>32461.599999999999</v>
      </c>
      <c r="K1197" s="15">
        <v>129846.39999999999</v>
      </c>
      <c r="L1197" s="15">
        <v>103068.8206962783</v>
      </c>
      <c r="M1197" s="15">
        <v>26777.579303721719</v>
      </c>
    </row>
    <row r="1198" spans="1:13" x14ac:dyDescent="0.25">
      <c r="A1198" s="12">
        <v>46123</v>
      </c>
      <c r="B1198" s="12" t="s">
        <v>24</v>
      </c>
      <c r="C1198" s="12" t="s">
        <v>21</v>
      </c>
      <c r="D1198" s="12" t="s">
        <v>25</v>
      </c>
      <c r="E1198" s="13">
        <v>65514</v>
      </c>
      <c r="F1198" s="14">
        <v>28</v>
      </c>
      <c r="G1198" s="15">
        <v>14879</v>
      </c>
      <c r="H1198" s="16">
        <v>0.05</v>
      </c>
      <c r="I1198" s="13">
        <v>4</v>
      </c>
      <c r="J1198" s="15">
        <v>20830.599999999999</v>
      </c>
      <c r="K1198" s="15">
        <v>395781.4</v>
      </c>
      <c r="L1198" s="15">
        <v>354537.64690121659</v>
      </c>
      <c r="M1198" s="15">
        <v>41243.753098783433</v>
      </c>
    </row>
    <row r="1199" spans="1:13" x14ac:dyDescent="0.25">
      <c r="A1199" s="12">
        <v>46124</v>
      </c>
      <c r="B1199" s="12" t="s">
        <v>13</v>
      </c>
      <c r="C1199" s="12" t="s">
        <v>17</v>
      </c>
      <c r="D1199" s="12" t="s">
        <v>27</v>
      </c>
      <c r="E1199" s="13">
        <v>84219</v>
      </c>
      <c r="F1199" s="14">
        <v>14</v>
      </c>
      <c r="G1199" s="15">
        <v>4739</v>
      </c>
      <c r="H1199" s="16">
        <v>0.05</v>
      </c>
      <c r="I1199" s="13">
        <v>5</v>
      </c>
      <c r="J1199" s="15">
        <v>3317.3</v>
      </c>
      <c r="K1199" s="15">
        <v>63028.7</v>
      </c>
      <c r="L1199" s="15">
        <v>38744.75487316928</v>
      </c>
      <c r="M1199" s="15">
        <v>24283.94512683072</v>
      </c>
    </row>
    <row r="1200" spans="1:13" x14ac:dyDescent="0.25">
      <c r="A1200" s="12">
        <v>46125</v>
      </c>
      <c r="B1200" s="12" t="s">
        <v>13</v>
      </c>
      <c r="C1200" s="12" t="s">
        <v>14</v>
      </c>
      <c r="D1200" s="12" t="s">
        <v>18</v>
      </c>
      <c r="E1200" s="13">
        <v>42634</v>
      </c>
      <c r="F1200" s="14">
        <v>8</v>
      </c>
      <c r="G1200" s="15">
        <v>45396</v>
      </c>
      <c r="H1200" s="16">
        <v>0.15</v>
      </c>
      <c r="I1200" s="13">
        <v>5</v>
      </c>
      <c r="J1200" s="15">
        <v>54475.199999999997</v>
      </c>
      <c r="K1200" s="15">
        <v>308692.8</v>
      </c>
      <c r="L1200" s="15">
        <v>267315.37050775677</v>
      </c>
      <c r="M1200" s="15">
        <v>41377.429492243158</v>
      </c>
    </row>
    <row r="1201" spans="1:13" x14ac:dyDescent="0.25">
      <c r="A1201" s="12">
        <v>46126</v>
      </c>
      <c r="B1201" s="12" t="s">
        <v>19</v>
      </c>
      <c r="C1201" s="12" t="s">
        <v>17</v>
      </c>
      <c r="D1201" s="12" t="s">
        <v>25</v>
      </c>
      <c r="E1201" s="13">
        <v>10060</v>
      </c>
      <c r="F1201" s="14">
        <v>9</v>
      </c>
      <c r="G1201" s="15">
        <v>21312</v>
      </c>
      <c r="H1201" s="16">
        <v>0.1</v>
      </c>
      <c r="I1201" s="13">
        <v>2</v>
      </c>
      <c r="J1201" s="15">
        <v>19180.8</v>
      </c>
      <c r="K1201" s="15">
        <v>172627.20000000001</v>
      </c>
      <c r="L1201" s="15">
        <v>132695.8962185249</v>
      </c>
      <c r="M1201" s="15">
        <v>39931.303781475093</v>
      </c>
    </row>
    <row r="1202" spans="1:13" x14ac:dyDescent="0.25">
      <c r="A1202" s="12">
        <v>46127</v>
      </c>
      <c r="B1202" s="12" t="s">
        <v>19</v>
      </c>
      <c r="C1202" s="12" t="s">
        <v>17</v>
      </c>
      <c r="D1202" s="12" t="s">
        <v>15</v>
      </c>
      <c r="E1202" s="13">
        <v>19269</v>
      </c>
      <c r="F1202" s="14">
        <v>35</v>
      </c>
      <c r="G1202" s="15">
        <v>30169</v>
      </c>
      <c r="H1202" s="16">
        <v>0</v>
      </c>
      <c r="I1202" s="13">
        <v>4</v>
      </c>
      <c r="J1202" s="15">
        <v>0</v>
      </c>
      <c r="K1202" s="15">
        <v>1055915</v>
      </c>
      <c r="L1202" s="15">
        <v>713407.42683351773</v>
      </c>
      <c r="M1202" s="15">
        <v>342507.57316648233</v>
      </c>
    </row>
    <row r="1203" spans="1:13" x14ac:dyDescent="0.25">
      <c r="A1203" s="12">
        <v>46128</v>
      </c>
      <c r="B1203" s="12" t="s">
        <v>24</v>
      </c>
      <c r="C1203" s="12" t="s">
        <v>21</v>
      </c>
      <c r="D1203" s="12" t="s">
        <v>25</v>
      </c>
      <c r="E1203" s="13">
        <v>73143</v>
      </c>
      <c r="F1203" s="14">
        <v>37</v>
      </c>
      <c r="G1203" s="15">
        <v>49124</v>
      </c>
      <c r="H1203" s="16">
        <v>0.1</v>
      </c>
      <c r="I1203" s="13">
        <v>1</v>
      </c>
      <c r="J1203" s="15">
        <v>181758.8</v>
      </c>
      <c r="K1203" s="15">
        <v>1635829.2</v>
      </c>
      <c r="L1203" s="15">
        <v>1450108.4611238029</v>
      </c>
      <c r="M1203" s="15">
        <v>185720.73887619699</v>
      </c>
    </row>
    <row r="1204" spans="1:13" x14ac:dyDescent="0.25">
      <c r="A1204" s="12">
        <v>46129</v>
      </c>
      <c r="B1204" s="12" t="s">
        <v>16</v>
      </c>
      <c r="C1204" s="12" t="s">
        <v>14</v>
      </c>
      <c r="D1204" s="12" t="s">
        <v>22</v>
      </c>
      <c r="E1204" s="13">
        <v>33065</v>
      </c>
      <c r="F1204" s="14">
        <v>21</v>
      </c>
      <c r="G1204" s="15">
        <v>10111</v>
      </c>
      <c r="H1204" s="16">
        <v>0.05</v>
      </c>
      <c r="I1204" s="13">
        <v>5</v>
      </c>
      <c r="J1204" s="15">
        <v>10616.55</v>
      </c>
      <c r="K1204" s="15">
        <v>201714.45</v>
      </c>
      <c r="L1204" s="15">
        <v>150278.53421899781</v>
      </c>
      <c r="M1204" s="15">
        <v>51435.915781002259</v>
      </c>
    </row>
    <row r="1205" spans="1:13" x14ac:dyDescent="0.25">
      <c r="A1205" s="12">
        <v>46130</v>
      </c>
      <c r="B1205" s="12" t="s">
        <v>24</v>
      </c>
      <c r="C1205" s="12" t="s">
        <v>20</v>
      </c>
      <c r="D1205" s="12" t="s">
        <v>18</v>
      </c>
      <c r="E1205" s="13">
        <v>12895</v>
      </c>
      <c r="F1205" s="14">
        <v>18</v>
      </c>
      <c r="G1205" s="15">
        <v>4650</v>
      </c>
      <c r="H1205" s="16">
        <v>0.2</v>
      </c>
      <c r="I1205" s="13">
        <v>3</v>
      </c>
      <c r="J1205" s="15">
        <v>16740</v>
      </c>
      <c r="K1205" s="15">
        <v>66960</v>
      </c>
      <c r="L1205" s="15">
        <v>46838.993775614967</v>
      </c>
      <c r="M1205" s="15">
        <v>20121.00622438503</v>
      </c>
    </row>
    <row r="1206" spans="1:13" x14ac:dyDescent="0.25">
      <c r="A1206" s="12">
        <v>46131</v>
      </c>
      <c r="B1206" s="12" t="s">
        <v>19</v>
      </c>
      <c r="C1206" s="12" t="s">
        <v>21</v>
      </c>
      <c r="D1206" s="12" t="s">
        <v>25</v>
      </c>
      <c r="E1206" s="13">
        <v>90859</v>
      </c>
      <c r="F1206" s="14">
        <v>33</v>
      </c>
      <c r="G1206" s="15">
        <v>11609</v>
      </c>
      <c r="H1206" s="16">
        <v>0</v>
      </c>
      <c r="I1206" s="13">
        <v>4</v>
      </c>
      <c r="J1206" s="15">
        <v>0</v>
      </c>
      <c r="K1206" s="15">
        <v>383097</v>
      </c>
      <c r="L1206" s="15">
        <v>250717.55906930231</v>
      </c>
      <c r="M1206" s="15">
        <v>132379.44093069769</v>
      </c>
    </row>
    <row r="1207" spans="1:13" x14ac:dyDescent="0.25">
      <c r="A1207" s="12">
        <v>46132</v>
      </c>
      <c r="B1207" s="12" t="s">
        <v>24</v>
      </c>
      <c r="C1207" s="12" t="s">
        <v>21</v>
      </c>
      <c r="D1207" s="12" t="s">
        <v>26</v>
      </c>
      <c r="E1207" s="13">
        <v>22352</v>
      </c>
      <c r="F1207" s="14">
        <v>8</v>
      </c>
      <c r="G1207" s="15">
        <v>34714</v>
      </c>
      <c r="H1207" s="16">
        <v>0</v>
      </c>
      <c r="I1207" s="13">
        <v>4</v>
      </c>
      <c r="J1207" s="15">
        <v>0</v>
      </c>
      <c r="K1207" s="15">
        <v>277712</v>
      </c>
      <c r="L1207" s="15">
        <v>186993.39366443941</v>
      </c>
      <c r="M1207" s="15">
        <v>90718.606335560558</v>
      </c>
    </row>
    <row r="1208" spans="1:13" x14ac:dyDescent="0.25">
      <c r="A1208" s="12">
        <v>46133</v>
      </c>
      <c r="B1208" s="12" t="s">
        <v>19</v>
      </c>
      <c r="C1208" s="12" t="s">
        <v>14</v>
      </c>
      <c r="D1208" s="12" t="s">
        <v>15</v>
      </c>
      <c r="E1208" s="13">
        <v>59737</v>
      </c>
      <c r="F1208" s="14">
        <v>49</v>
      </c>
      <c r="G1208" s="15">
        <v>26516</v>
      </c>
      <c r="H1208" s="16">
        <v>0.2</v>
      </c>
      <c r="I1208" s="13">
        <v>3</v>
      </c>
      <c r="J1208" s="15">
        <v>259856.8</v>
      </c>
      <c r="K1208" s="15">
        <v>1039427.2</v>
      </c>
      <c r="L1208" s="15">
        <v>883362.10419722297</v>
      </c>
      <c r="M1208" s="15">
        <v>156065.09580277701</v>
      </c>
    </row>
    <row r="1209" spans="1:13" x14ac:dyDescent="0.25">
      <c r="A1209" s="12">
        <v>46134</v>
      </c>
      <c r="B1209" s="12" t="s">
        <v>24</v>
      </c>
      <c r="C1209" s="12" t="s">
        <v>14</v>
      </c>
      <c r="D1209" s="12" t="s">
        <v>18</v>
      </c>
      <c r="E1209" s="13">
        <v>42016</v>
      </c>
      <c r="F1209" s="14">
        <v>17</v>
      </c>
      <c r="G1209" s="15">
        <v>12436</v>
      </c>
      <c r="H1209" s="16">
        <v>0</v>
      </c>
      <c r="I1209" s="13">
        <v>5</v>
      </c>
      <c r="J1209" s="15">
        <v>0</v>
      </c>
      <c r="K1209" s="15">
        <v>211412</v>
      </c>
      <c r="L1209" s="15">
        <v>165815.29466692821</v>
      </c>
      <c r="M1209" s="15">
        <v>45596.70533307179</v>
      </c>
    </row>
    <row r="1210" spans="1:13" x14ac:dyDescent="0.25">
      <c r="A1210" s="12">
        <v>46135</v>
      </c>
      <c r="B1210" s="12" t="s">
        <v>19</v>
      </c>
      <c r="C1210" s="12" t="s">
        <v>17</v>
      </c>
      <c r="D1210" s="12" t="s">
        <v>22</v>
      </c>
      <c r="E1210" s="13">
        <v>71304</v>
      </c>
      <c r="F1210" s="14">
        <v>43</v>
      </c>
      <c r="G1210" s="15">
        <v>11536</v>
      </c>
      <c r="H1210" s="16">
        <v>0.2</v>
      </c>
      <c r="I1210" s="13">
        <v>3</v>
      </c>
      <c r="J1210" s="15">
        <v>99209.600000000006</v>
      </c>
      <c r="K1210" s="15">
        <v>396838.40000000002</v>
      </c>
      <c r="L1210" s="15">
        <v>346826.31913342571</v>
      </c>
      <c r="M1210" s="15">
        <v>50012.080866574368</v>
      </c>
    </row>
    <row r="1211" spans="1:13" x14ac:dyDescent="0.25">
      <c r="A1211" s="12">
        <v>46136</v>
      </c>
      <c r="B1211" s="12" t="s">
        <v>19</v>
      </c>
      <c r="C1211" s="12" t="s">
        <v>14</v>
      </c>
      <c r="D1211" s="12" t="s">
        <v>25</v>
      </c>
      <c r="E1211" s="13">
        <v>21962</v>
      </c>
      <c r="F1211" s="14">
        <v>31</v>
      </c>
      <c r="G1211" s="15">
        <v>39736</v>
      </c>
      <c r="H1211" s="16">
        <v>0</v>
      </c>
      <c r="I1211" s="13">
        <v>2</v>
      </c>
      <c r="J1211" s="15">
        <v>0</v>
      </c>
      <c r="K1211" s="15">
        <v>1231816</v>
      </c>
      <c r="L1211" s="15">
        <v>824812.33525895851</v>
      </c>
      <c r="M1211" s="15">
        <v>407003.66474104149</v>
      </c>
    </row>
    <row r="1212" spans="1:13" x14ac:dyDescent="0.25">
      <c r="A1212" s="12">
        <v>46137</v>
      </c>
      <c r="B1212" s="12" t="s">
        <v>19</v>
      </c>
      <c r="C1212" s="12" t="s">
        <v>17</v>
      </c>
      <c r="D1212" s="12" t="s">
        <v>15</v>
      </c>
      <c r="E1212" s="13">
        <v>43302</v>
      </c>
      <c r="F1212" s="14">
        <v>34</v>
      </c>
      <c r="G1212" s="15">
        <v>14521</v>
      </c>
      <c r="H1212" s="16">
        <v>0.1</v>
      </c>
      <c r="I1212" s="13">
        <v>1</v>
      </c>
      <c r="J1212" s="15">
        <v>49371.4</v>
      </c>
      <c r="K1212" s="15">
        <v>444342.6</v>
      </c>
      <c r="L1212" s="15">
        <v>282753.66865929379</v>
      </c>
      <c r="M1212" s="15">
        <v>161588.9313407061</v>
      </c>
    </row>
    <row r="1213" spans="1:13" x14ac:dyDescent="0.25">
      <c r="A1213" s="12">
        <v>46138</v>
      </c>
      <c r="B1213" s="12" t="s">
        <v>16</v>
      </c>
      <c r="C1213" s="12" t="s">
        <v>21</v>
      </c>
      <c r="D1213" s="12" t="s">
        <v>18</v>
      </c>
      <c r="E1213" s="13">
        <v>95382</v>
      </c>
      <c r="F1213" s="14">
        <v>6</v>
      </c>
      <c r="G1213" s="15">
        <v>37443</v>
      </c>
      <c r="H1213" s="16">
        <v>0</v>
      </c>
      <c r="I1213" s="13">
        <v>1</v>
      </c>
      <c r="J1213" s="15">
        <v>0</v>
      </c>
      <c r="K1213" s="15">
        <v>224658</v>
      </c>
      <c r="L1213" s="15">
        <v>135205.0837601742</v>
      </c>
      <c r="M1213" s="15">
        <v>89452.916239825776</v>
      </c>
    </row>
    <row r="1214" spans="1:13" x14ac:dyDescent="0.25">
      <c r="A1214" s="12">
        <v>46139</v>
      </c>
      <c r="B1214" s="12" t="s">
        <v>24</v>
      </c>
      <c r="C1214" s="12" t="s">
        <v>23</v>
      </c>
      <c r="D1214" s="12" t="s">
        <v>15</v>
      </c>
      <c r="E1214" s="13">
        <v>14011</v>
      </c>
      <c r="F1214" s="14">
        <v>22</v>
      </c>
      <c r="G1214" s="15">
        <v>48658</v>
      </c>
      <c r="H1214" s="16">
        <v>0.15</v>
      </c>
      <c r="I1214" s="13">
        <v>5</v>
      </c>
      <c r="J1214" s="15">
        <v>160571.4</v>
      </c>
      <c r="K1214" s="15">
        <v>909904.6</v>
      </c>
      <c r="L1214" s="15">
        <v>684574.5612576498</v>
      </c>
      <c r="M1214" s="15">
        <v>225330.03874235021</v>
      </c>
    </row>
    <row r="1215" spans="1:13" x14ac:dyDescent="0.25">
      <c r="A1215" s="12">
        <v>46140</v>
      </c>
      <c r="B1215" s="12" t="s">
        <v>24</v>
      </c>
      <c r="C1215" s="12" t="s">
        <v>20</v>
      </c>
      <c r="D1215" s="12" t="s">
        <v>22</v>
      </c>
      <c r="E1215" s="13">
        <v>29782</v>
      </c>
      <c r="F1215" s="14">
        <v>14</v>
      </c>
      <c r="G1215" s="15">
        <v>38348</v>
      </c>
      <c r="H1215" s="16">
        <v>0.2</v>
      </c>
      <c r="I1215" s="13">
        <v>3</v>
      </c>
      <c r="J1215" s="15">
        <v>107374.39999999999</v>
      </c>
      <c r="K1215" s="15">
        <v>429497.59999999998</v>
      </c>
      <c r="L1215" s="15">
        <v>386329.68919872917</v>
      </c>
      <c r="M1215" s="15">
        <v>43167.910801270737</v>
      </c>
    </row>
    <row r="1216" spans="1:13" x14ac:dyDescent="0.25">
      <c r="A1216" s="12">
        <v>46141</v>
      </c>
      <c r="B1216" s="12" t="s">
        <v>24</v>
      </c>
      <c r="C1216" s="12" t="s">
        <v>21</v>
      </c>
      <c r="D1216" s="12" t="s">
        <v>25</v>
      </c>
      <c r="E1216" s="13">
        <v>77691</v>
      </c>
      <c r="F1216" s="14">
        <v>3</v>
      </c>
      <c r="G1216" s="15">
        <v>15971</v>
      </c>
      <c r="H1216" s="16">
        <v>0</v>
      </c>
      <c r="I1216" s="13">
        <v>4</v>
      </c>
      <c r="J1216" s="15">
        <v>0</v>
      </c>
      <c r="K1216" s="15">
        <v>47913</v>
      </c>
      <c r="L1216" s="15">
        <v>38737.161277472238</v>
      </c>
      <c r="M1216" s="15">
        <v>9175.838722527762</v>
      </c>
    </row>
    <row r="1217" spans="1:13" x14ac:dyDescent="0.25">
      <c r="A1217" s="12">
        <v>46142</v>
      </c>
      <c r="B1217" s="12" t="s">
        <v>19</v>
      </c>
      <c r="C1217" s="12" t="s">
        <v>14</v>
      </c>
      <c r="D1217" s="12" t="s">
        <v>15</v>
      </c>
      <c r="E1217" s="13">
        <v>49725</v>
      </c>
      <c r="F1217" s="14">
        <v>12</v>
      </c>
      <c r="G1217" s="15">
        <v>48161</v>
      </c>
      <c r="H1217" s="16">
        <v>0.2</v>
      </c>
      <c r="I1217" s="13">
        <v>4</v>
      </c>
      <c r="J1217" s="15">
        <v>115586.4</v>
      </c>
      <c r="K1217" s="15">
        <v>462345.6</v>
      </c>
      <c r="L1217" s="15">
        <v>320182.82479766419</v>
      </c>
      <c r="M1217" s="15">
        <v>142162.77520233579</v>
      </c>
    </row>
    <row r="1218" spans="1:13" x14ac:dyDescent="0.25">
      <c r="A1218" s="12">
        <v>46143</v>
      </c>
      <c r="B1218" s="12" t="s">
        <v>24</v>
      </c>
      <c r="C1218" s="12" t="s">
        <v>20</v>
      </c>
      <c r="D1218" s="12" t="s">
        <v>15</v>
      </c>
      <c r="E1218" s="13">
        <v>19196</v>
      </c>
      <c r="F1218" s="14">
        <v>36</v>
      </c>
      <c r="G1218" s="15">
        <v>23744</v>
      </c>
      <c r="H1218" s="16">
        <v>0.15</v>
      </c>
      <c r="I1218" s="13">
        <v>4</v>
      </c>
      <c r="J1218" s="15">
        <v>128217.60000000001</v>
      </c>
      <c r="K1218" s="15">
        <v>726566.40000000002</v>
      </c>
      <c r="L1218" s="15">
        <v>627068.63519352803</v>
      </c>
      <c r="M1218" s="15">
        <v>99497.764806471998</v>
      </c>
    </row>
    <row r="1219" spans="1:13" x14ac:dyDescent="0.25">
      <c r="A1219" s="12">
        <v>46144</v>
      </c>
      <c r="B1219" s="12" t="s">
        <v>24</v>
      </c>
      <c r="C1219" s="12" t="s">
        <v>23</v>
      </c>
      <c r="D1219" s="12" t="s">
        <v>27</v>
      </c>
      <c r="E1219" s="13">
        <v>53459</v>
      </c>
      <c r="F1219" s="14">
        <v>12</v>
      </c>
      <c r="G1219" s="15">
        <v>49277</v>
      </c>
      <c r="H1219" s="16">
        <v>0</v>
      </c>
      <c r="I1219" s="13">
        <v>2</v>
      </c>
      <c r="J1219" s="15">
        <v>0</v>
      </c>
      <c r="K1219" s="15">
        <v>591324</v>
      </c>
      <c r="L1219" s="15">
        <v>493469.74116391927</v>
      </c>
      <c r="M1219" s="15">
        <v>97854.258836080728</v>
      </c>
    </row>
    <row r="1220" spans="1:13" x14ac:dyDescent="0.25">
      <c r="A1220" s="12">
        <v>46145</v>
      </c>
      <c r="B1220" s="12" t="s">
        <v>19</v>
      </c>
      <c r="C1220" s="12" t="s">
        <v>23</v>
      </c>
      <c r="D1220" s="12" t="s">
        <v>15</v>
      </c>
      <c r="E1220" s="13">
        <v>97245</v>
      </c>
      <c r="F1220" s="14">
        <v>45</v>
      </c>
      <c r="G1220" s="15">
        <v>39485</v>
      </c>
      <c r="H1220" s="16">
        <v>0</v>
      </c>
      <c r="I1220" s="13">
        <v>2</v>
      </c>
      <c r="J1220" s="15">
        <v>0</v>
      </c>
      <c r="K1220" s="15">
        <v>1776825</v>
      </c>
      <c r="L1220" s="15">
        <v>1074312.0157391841</v>
      </c>
      <c r="M1220" s="15">
        <v>702512.98426081589</v>
      </c>
    </row>
    <row r="1221" spans="1:13" x14ac:dyDescent="0.25">
      <c r="A1221" s="12">
        <v>46146</v>
      </c>
      <c r="B1221" s="12" t="s">
        <v>13</v>
      </c>
      <c r="C1221" s="12" t="s">
        <v>17</v>
      </c>
      <c r="D1221" s="12" t="s">
        <v>27</v>
      </c>
      <c r="E1221" s="13">
        <v>88863</v>
      </c>
      <c r="F1221" s="14">
        <v>2</v>
      </c>
      <c r="G1221" s="15">
        <v>38940</v>
      </c>
      <c r="H1221" s="16">
        <v>0.15</v>
      </c>
      <c r="I1221" s="13">
        <v>4</v>
      </c>
      <c r="J1221" s="15">
        <v>11682</v>
      </c>
      <c r="K1221" s="15">
        <v>66198</v>
      </c>
      <c r="L1221" s="15">
        <v>55941.159027256377</v>
      </c>
      <c r="M1221" s="15">
        <v>10256.840972743619</v>
      </c>
    </row>
    <row r="1222" spans="1:13" x14ac:dyDescent="0.25">
      <c r="A1222" s="12">
        <v>46147</v>
      </c>
      <c r="B1222" s="12" t="s">
        <v>19</v>
      </c>
      <c r="C1222" s="12" t="s">
        <v>20</v>
      </c>
      <c r="D1222" s="12" t="s">
        <v>25</v>
      </c>
      <c r="E1222" s="13">
        <v>42769</v>
      </c>
      <c r="F1222" s="14">
        <v>2</v>
      </c>
      <c r="G1222" s="15">
        <v>2002</v>
      </c>
      <c r="H1222" s="16">
        <v>0.15</v>
      </c>
      <c r="I1222" s="13">
        <v>5</v>
      </c>
      <c r="J1222" s="15">
        <v>600.6</v>
      </c>
      <c r="K1222" s="15">
        <v>3403.4</v>
      </c>
      <c r="L1222" s="15">
        <v>2348.8838296756489</v>
      </c>
      <c r="M1222" s="15">
        <v>1054.5161703243509</v>
      </c>
    </row>
    <row r="1223" spans="1:13" x14ac:dyDescent="0.25">
      <c r="A1223" s="12">
        <v>46148</v>
      </c>
      <c r="B1223" s="12" t="s">
        <v>24</v>
      </c>
      <c r="C1223" s="12" t="s">
        <v>17</v>
      </c>
      <c r="D1223" s="12" t="s">
        <v>18</v>
      </c>
      <c r="E1223" s="13">
        <v>34700</v>
      </c>
      <c r="F1223" s="14">
        <v>15</v>
      </c>
      <c r="G1223" s="15">
        <v>34678</v>
      </c>
      <c r="H1223" s="16">
        <v>0.15</v>
      </c>
      <c r="I1223" s="13">
        <v>2</v>
      </c>
      <c r="J1223" s="15">
        <v>78025.5</v>
      </c>
      <c r="K1223" s="15">
        <v>442144.5</v>
      </c>
      <c r="L1223" s="15">
        <v>285139.88974847522</v>
      </c>
      <c r="M1223" s="15">
        <v>157004.61025152481</v>
      </c>
    </row>
    <row r="1224" spans="1:13" x14ac:dyDescent="0.25">
      <c r="A1224" s="12">
        <v>46149</v>
      </c>
      <c r="B1224" s="12" t="s">
        <v>19</v>
      </c>
      <c r="C1224" s="12" t="s">
        <v>21</v>
      </c>
      <c r="D1224" s="12" t="s">
        <v>18</v>
      </c>
      <c r="E1224" s="13">
        <v>90356</v>
      </c>
      <c r="F1224" s="14">
        <v>23</v>
      </c>
      <c r="G1224" s="15">
        <v>4270</v>
      </c>
      <c r="H1224" s="16">
        <v>0.2</v>
      </c>
      <c r="I1224" s="13">
        <v>2</v>
      </c>
      <c r="J1224" s="15">
        <v>19642</v>
      </c>
      <c r="K1224" s="15">
        <v>78568</v>
      </c>
      <c r="L1224" s="15">
        <v>52475.508424938736</v>
      </c>
      <c r="M1224" s="15">
        <v>26092.49157506126</v>
      </c>
    </row>
    <row r="1225" spans="1:13" x14ac:dyDescent="0.25">
      <c r="A1225" s="12">
        <v>46150</v>
      </c>
      <c r="B1225" s="12" t="s">
        <v>13</v>
      </c>
      <c r="C1225" s="12" t="s">
        <v>20</v>
      </c>
      <c r="D1225" s="12" t="s">
        <v>25</v>
      </c>
      <c r="E1225" s="13">
        <v>86427</v>
      </c>
      <c r="F1225" s="14">
        <v>29</v>
      </c>
      <c r="G1225" s="15">
        <v>43365</v>
      </c>
      <c r="H1225" s="16">
        <v>0.15</v>
      </c>
      <c r="I1225" s="13">
        <v>1</v>
      </c>
      <c r="J1225" s="15">
        <v>188637.75</v>
      </c>
      <c r="K1225" s="15">
        <v>1068947.25</v>
      </c>
      <c r="L1225" s="15">
        <v>791634.47798770282</v>
      </c>
      <c r="M1225" s="15">
        <v>277312.77201229718</v>
      </c>
    </row>
    <row r="1226" spans="1:13" x14ac:dyDescent="0.25">
      <c r="A1226" s="12">
        <v>46151</v>
      </c>
      <c r="B1226" s="12" t="s">
        <v>19</v>
      </c>
      <c r="C1226" s="12" t="s">
        <v>21</v>
      </c>
      <c r="D1226" s="12" t="s">
        <v>25</v>
      </c>
      <c r="E1226" s="13">
        <v>15269</v>
      </c>
      <c r="F1226" s="14">
        <v>17</v>
      </c>
      <c r="G1226" s="15">
        <v>4501</v>
      </c>
      <c r="H1226" s="16">
        <v>0.2</v>
      </c>
      <c r="I1226" s="13">
        <v>1</v>
      </c>
      <c r="J1226" s="15">
        <v>15303.4</v>
      </c>
      <c r="K1226" s="15">
        <v>61213.599999999999</v>
      </c>
      <c r="L1226" s="15">
        <v>44530.468602111119</v>
      </c>
      <c r="M1226" s="15">
        <v>16683.131397888879</v>
      </c>
    </row>
    <row r="1227" spans="1:13" x14ac:dyDescent="0.25">
      <c r="A1227" s="12">
        <v>46152</v>
      </c>
      <c r="B1227" s="12" t="s">
        <v>24</v>
      </c>
      <c r="C1227" s="12" t="s">
        <v>17</v>
      </c>
      <c r="D1227" s="12" t="s">
        <v>26</v>
      </c>
      <c r="E1227" s="13">
        <v>53880</v>
      </c>
      <c r="F1227" s="14">
        <v>32</v>
      </c>
      <c r="G1227" s="15">
        <v>21446</v>
      </c>
      <c r="H1227" s="16">
        <v>0.1</v>
      </c>
      <c r="I1227" s="13">
        <v>5</v>
      </c>
      <c r="J1227" s="15">
        <v>68627.199999999997</v>
      </c>
      <c r="K1227" s="15">
        <v>617644.80000000005</v>
      </c>
      <c r="L1227" s="15">
        <v>424115.80147336028</v>
      </c>
      <c r="M1227" s="15">
        <v>193528.99852663971</v>
      </c>
    </row>
    <row r="1228" spans="1:13" x14ac:dyDescent="0.25">
      <c r="A1228" s="12">
        <v>46153</v>
      </c>
      <c r="B1228" s="12" t="s">
        <v>13</v>
      </c>
      <c r="C1228" s="12" t="s">
        <v>20</v>
      </c>
      <c r="D1228" s="12" t="s">
        <v>25</v>
      </c>
      <c r="E1228" s="13">
        <v>18320</v>
      </c>
      <c r="F1228" s="14">
        <v>7</v>
      </c>
      <c r="G1228" s="15">
        <v>1098</v>
      </c>
      <c r="H1228" s="16">
        <v>0</v>
      </c>
      <c r="I1228" s="13">
        <v>2</v>
      </c>
      <c r="J1228" s="15">
        <v>0</v>
      </c>
      <c r="K1228" s="15">
        <v>7686</v>
      </c>
      <c r="L1228" s="15">
        <v>5008.7010073449756</v>
      </c>
      <c r="M1228" s="15">
        <v>2677.298992655024</v>
      </c>
    </row>
    <row r="1229" spans="1:13" x14ac:dyDescent="0.25">
      <c r="A1229" s="12">
        <v>46154</v>
      </c>
      <c r="B1229" s="12" t="s">
        <v>16</v>
      </c>
      <c r="C1229" s="12" t="s">
        <v>17</v>
      </c>
      <c r="D1229" s="12" t="s">
        <v>15</v>
      </c>
      <c r="E1229" s="13">
        <v>59589</v>
      </c>
      <c r="F1229" s="14">
        <v>30</v>
      </c>
      <c r="G1229" s="15">
        <v>30816</v>
      </c>
      <c r="H1229" s="16">
        <v>0</v>
      </c>
      <c r="I1229" s="13">
        <v>2</v>
      </c>
      <c r="J1229" s="15">
        <v>0</v>
      </c>
      <c r="K1229" s="15">
        <v>924480</v>
      </c>
      <c r="L1229" s="15">
        <v>766088.13612251787</v>
      </c>
      <c r="M1229" s="15">
        <v>158391.8638774821</v>
      </c>
    </row>
    <row r="1230" spans="1:13" x14ac:dyDescent="0.25">
      <c r="A1230" s="12">
        <v>46155</v>
      </c>
      <c r="B1230" s="12" t="s">
        <v>24</v>
      </c>
      <c r="C1230" s="12" t="s">
        <v>20</v>
      </c>
      <c r="D1230" s="12" t="s">
        <v>18</v>
      </c>
      <c r="E1230" s="13">
        <v>86276</v>
      </c>
      <c r="F1230" s="14">
        <v>28</v>
      </c>
      <c r="G1230" s="15">
        <v>26067</v>
      </c>
      <c r="H1230" s="16">
        <v>0.05</v>
      </c>
      <c r="I1230" s="13">
        <v>3</v>
      </c>
      <c r="J1230" s="15">
        <v>36493.800000000003</v>
      </c>
      <c r="K1230" s="15">
        <v>693382.2</v>
      </c>
      <c r="L1230" s="15">
        <v>621986.67002629221</v>
      </c>
      <c r="M1230" s="15">
        <v>71395.529973707744</v>
      </c>
    </row>
    <row r="1231" spans="1:13" x14ac:dyDescent="0.25">
      <c r="A1231" s="12">
        <v>46156</v>
      </c>
      <c r="B1231" s="12" t="s">
        <v>13</v>
      </c>
      <c r="C1231" s="12" t="s">
        <v>17</v>
      </c>
      <c r="D1231" s="12" t="s">
        <v>22</v>
      </c>
      <c r="E1231" s="13">
        <v>45897</v>
      </c>
      <c r="F1231" s="14">
        <v>14</v>
      </c>
      <c r="G1231" s="15">
        <v>27008</v>
      </c>
      <c r="H1231" s="16">
        <v>0.1</v>
      </c>
      <c r="I1231" s="13">
        <v>5</v>
      </c>
      <c r="J1231" s="15">
        <v>37811.199999999997</v>
      </c>
      <c r="K1231" s="15">
        <v>340300.79999999999</v>
      </c>
      <c r="L1231" s="15">
        <v>283585.40911502548</v>
      </c>
      <c r="M1231" s="15">
        <v>56715.390884974513</v>
      </c>
    </row>
    <row r="1232" spans="1:13" x14ac:dyDescent="0.25">
      <c r="A1232" s="12">
        <v>46157</v>
      </c>
      <c r="B1232" s="12" t="s">
        <v>13</v>
      </c>
      <c r="C1232" s="12" t="s">
        <v>23</v>
      </c>
      <c r="D1232" s="12" t="s">
        <v>18</v>
      </c>
      <c r="E1232" s="13">
        <v>68565</v>
      </c>
      <c r="F1232" s="14">
        <v>44</v>
      </c>
      <c r="G1232" s="15">
        <v>44244</v>
      </c>
      <c r="H1232" s="16">
        <v>0.15</v>
      </c>
      <c r="I1232" s="13">
        <v>5</v>
      </c>
      <c r="J1232" s="15">
        <v>292010.40000000002</v>
      </c>
      <c r="K1232" s="15">
        <v>1654725.6</v>
      </c>
      <c r="L1232" s="15">
        <v>1139743.7029177421</v>
      </c>
      <c r="M1232" s="15">
        <v>514981.89708225848</v>
      </c>
    </row>
    <row r="1233" spans="1:13" x14ac:dyDescent="0.25">
      <c r="A1233" s="12">
        <v>46158</v>
      </c>
      <c r="B1233" s="12" t="s">
        <v>16</v>
      </c>
      <c r="C1233" s="12" t="s">
        <v>17</v>
      </c>
      <c r="D1233" s="12" t="s">
        <v>27</v>
      </c>
      <c r="E1233" s="13">
        <v>40930</v>
      </c>
      <c r="F1233" s="14">
        <v>30</v>
      </c>
      <c r="G1233" s="15">
        <v>39659</v>
      </c>
      <c r="H1233" s="16">
        <v>0.15</v>
      </c>
      <c r="I1233" s="13">
        <v>3</v>
      </c>
      <c r="J1233" s="15">
        <v>178465.5</v>
      </c>
      <c r="K1233" s="15">
        <v>1011304.5</v>
      </c>
      <c r="L1233" s="15">
        <v>681055.62129492499</v>
      </c>
      <c r="M1233" s="15">
        <v>330248.87870507501</v>
      </c>
    </row>
    <row r="1234" spans="1:13" x14ac:dyDescent="0.25">
      <c r="A1234" s="12">
        <v>46159</v>
      </c>
      <c r="B1234" s="12" t="s">
        <v>19</v>
      </c>
      <c r="C1234" s="12" t="s">
        <v>23</v>
      </c>
      <c r="D1234" s="12" t="s">
        <v>18</v>
      </c>
      <c r="E1234" s="13">
        <v>67233</v>
      </c>
      <c r="F1234" s="14">
        <v>17</v>
      </c>
      <c r="G1234" s="15">
        <v>30776</v>
      </c>
      <c r="H1234" s="16">
        <v>0.1</v>
      </c>
      <c r="I1234" s="13">
        <v>3</v>
      </c>
      <c r="J1234" s="15">
        <v>52319.199999999997</v>
      </c>
      <c r="K1234" s="15">
        <v>470872.8</v>
      </c>
      <c r="L1234" s="15">
        <v>313271.5621582864</v>
      </c>
      <c r="M1234" s="15">
        <v>157601.23784171359</v>
      </c>
    </row>
    <row r="1235" spans="1:13" x14ac:dyDescent="0.25">
      <c r="A1235" s="12">
        <v>46160</v>
      </c>
      <c r="B1235" s="12" t="s">
        <v>19</v>
      </c>
      <c r="C1235" s="12" t="s">
        <v>17</v>
      </c>
      <c r="D1235" s="12" t="s">
        <v>26</v>
      </c>
      <c r="E1235" s="13">
        <v>92821</v>
      </c>
      <c r="F1235" s="14">
        <v>32</v>
      </c>
      <c r="G1235" s="15">
        <v>24171</v>
      </c>
      <c r="H1235" s="16">
        <v>0.15</v>
      </c>
      <c r="I1235" s="13">
        <v>1</v>
      </c>
      <c r="J1235" s="15">
        <v>116020.8</v>
      </c>
      <c r="K1235" s="15">
        <v>657451.19999999995</v>
      </c>
      <c r="L1235" s="15">
        <v>421431.82222707191</v>
      </c>
      <c r="M1235" s="15">
        <v>236019.3777729281</v>
      </c>
    </row>
    <row r="1236" spans="1:13" x14ac:dyDescent="0.25">
      <c r="A1236" s="12">
        <v>46161</v>
      </c>
      <c r="B1236" s="12" t="s">
        <v>24</v>
      </c>
      <c r="C1236" s="12" t="s">
        <v>20</v>
      </c>
      <c r="D1236" s="12" t="s">
        <v>25</v>
      </c>
      <c r="E1236" s="13">
        <v>24380</v>
      </c>
      <c r="F1236" s="14">
        <v>46</v>
      </c>
      <c r="G1236" s="15">
        <v>16950</v>
      </c>
      <c r="H1236" s="16">
        <v>0.05</v>
      </c>
      <c r="I1236" s="13">
        <v>5</v>
      </c>
      <c r="J1236" s="15">
        <v>38985</v>
      </c>
      <c r="K1236" s="15">
        <v>740715</v>
      </c>
      <c r="L1236" s="15">
        <v>566942.64243459981</v>
      </c>
      <c r="M1236" s="15">
        <v>173772.35756540019</v>
      </c>
    </row>
    <row r="1237" spans="1:13" x14ac:dyDescent="0.25">
      <c r="A1237" s="12">
        <v>46162</v>
      </c>
      <c r="B1237" s="12" t="s">
        <v>16</v>
      </c>
      <c r="C1237" s="12" t="s">
        <v>20</v>
      </c>
      <c r="D1237" s="12" t="s">
        <v>25</v>
      </c>
      <c r="E1237" s="13">
        <v>86896</v>
      </c>
      <c r="F1237" s="14">
        <v>6</v>
      </c>
      <c r="G1237" s="15">
        <v>15408</v>
      </c>
      <c r="H1237" s="16">
        <v>0.2</v>
      </c>
      <c r="I1237" s="13">
        <v>5</v>
      </c>
      <c r="J1237" s="15">
        <v>18489.599999999999</v>
      </c>
      <c r="K1237" s="15">
        <v>73958.399999999994</v>
      </c>
      <c r="L1237" s="15">
        <v>57807.372860722273</v>
      </c>
      <c r="M1237" s="15">
        <v>16151.02713927773</v>
      </c>
    </row>
    <row r="1238" spans="1:13" x14ac:dyDescent="0.25">
      <c r="A1238" s="12">
        <v>46163</v>
      </c>
      <c r="B1238" s="12" t="s">
        <v>19</v>
      </c>
      <c r="C1238" s="12" t="s">
        <v>20</v>
      </c>
      <c r="D1238" s="12" t="s">
        <v>18</v>
      </c>
      <c r="E1238" s="13">
        <v>80934</v>
      </c>
      <c r="F1238" s="14">
        <v>24</v>
      </c>
      <c r="G1238" s="15">
        <v>44858</v>
      </c>
      <c r="H1238" s="16">
        <v>0</v>
      </c>
      <c r="I1238" s="13">
        <v>3</v>
      </c>
      <c r="J1238" s="15">
        <v>0</v>
      </c>
      <c r="K1238" s="15">
        <v>1076592</v>
      </c>
      <c r="L1238" s="15">
        <v>873816.75613459444</v>
      </c>
      <c r="M1238" s="15">
        <v>202775.24386540559</v>
      </c>
    </row>
    <row r="1239" spans="1:13" x14ac:dyDescent="0.25">
      <c r="A1239" s="12">
        <v>46164</v>
      </c>
      <c r="B1239" s="12" t="s">
        <v>16</v>
      </c>
      <c r="C1239" s="12" t="s">
        <v>14</v>
      </c>
      <c r="D1239" s="12" t="s">
        <v>22</v>
      </c>
      <c r="E1239" s="13">
        <v>65830</v>
      </c>
      <c r="F1239" s="14">
        <v>6</v>
      </c>
      <c r="G1239" s="15">
        <v>49547</v>
      </c>
      <c r="H1239" s="16">
        <v>0.1</v>
      </c>
      <c r="I1239" s="13">
        <v>4</v>
      </c>
      <c r="J1239" s="15">
        <v>29728.2</v>
      </c>
      <c r="K1239" s="15">
        <v>267553.8</v>
      </c>
      <c r="L1239" s="15">
        <v>215130.3816612337</v>
      </c>
      <c r="M1239" s="15">
        <v>52423.418338766263</v>
      </c>
    </row>
    <row r="1240" spans="1:13" x14ac:dyDescent="0.25">
      <c r="A1240" s="12">
        <v>46165</v>
      </c>
      <c r="B1240" s="12" t="s">
        <v>19</v>
      </c>
      <c r="C1240" s="12" t="s">
        <v>21</v>
      </c>
      <c r="D1240" s="12" t="s">
        <v>22</v>
      </c>
      <c r="E1240" s="13">
        <v>15529</v>
      </c>
      <c r="F1240" s="14">
        <v>27</v>
      </c>
      <c r="G1240" s="15">
        <v>36018</v>
      </c>
      <c r="H1240" s="16">
        <v>0</v>
      </c>
      <c r="I1240" s="13">
        <v>4</v>
      </c>
      <c r="J1240" s="15">
        <v>0</v>
      </c>
      <c r="K1240" s="15">
        <v>972486</v>
      </c>
      <c r="L1240" s="15">
        <v>668778.61576701945</v>
      </c>
      <c r="M1240" s="15">
        <v>303707.38423298049</v>
      </c>
    </row>
    <row r="1241" spans="1:13" x14ac:dyDescent="0.25">
      <c r="A1241" s="12">
        <v>46166</v>
      </c>
      <c r="B1241" s="12" t="s">
        <v>13</v>
      </c>
      <c r="C1241" s="12" t="s">
        <v>20</v>
      </c>
      <c r="D1241" s="12" t="s">
        <v>26</v>
      </c>
      <c r="E1241" s="13">
        <v>92987</v>
      </c>
      <c r="F1241" s="14">
        <v>18</v>
      </c>
      <c r="G1241" s="15">
        <v>31712</v>
      </c>
      <c r="H1241" s="16">
        <v>0.2</v>
      </c>
      <c r="I1241" s="13">
        <v>1</v>
      </c>
      <c r="J1241" s="15">
        <v>114163.2</v>
      </c>
      <c r="K1241" s="15">
        <v>456652.79999999999</v>
      </c>
      <c r="L1241" s="15">
        <v>319242.91364558548</v>
      </c>
      <c r="M1241" s="15">
        <v>137409.88635441451</v>
      </c>
    </row>
    <row r="1242" spans="1:13" x14ac:dyDescent="0.25">
      <c r="A1242" s="12">
        <v>46167</v>
      </c>
      <c r="B1242" s="12" t="s">
        <v>19</v>
      </c>
      <c r="C1242" s="12" t="s">
        <v>23</v>
      </c>
      <c r="D1242" s="12" t="s">
        <v>27</v>
      </c>
      <c r="E1242" s="13">
        <v>59178</v>
      </c>
      <c r="F1242" s="14">
        <v>24</v>
      </c>
      <c r="G1242" s="15">
        <v>43184</v>
      </c>
      <c r="H1242" s="16">
        <v>0.1</v>
      </c>
      <c r="I1242" s="13">
        <v>4</v>
      </c>
      <c r="J1242" s="15">
        <v>103641.60000000001</v>
      </c>
      <c r="K1242" s="15">
        <v>932774.40000000002</v>
      </c>
      <c r="L1242" s="15">
        <v>750374.43356655166</v>
      </c>
      <c r="M1242" s="15">
        <v>182399.9664334484</v>
      </c>
    </row>
    <row r="1243" spans="1:13" x14ac:dyDescent="0.25">
      <c r="A1243" s="12">
        <v>46168</v>
      </c>
      <c r="B1243" s="12" t="s">
        <v>16</v>
      </c>
      <c r="C1243" s="12" t="s">
        <v>20</v>
      </c>
      <c r="D1243" s="12" t="s">
        <v>18</v>
      </c>
      <c r="E1243" s="13">
        <v>16937</v>
      </c>
      <c r="F1243" s="14">
        <v>37</v>
      </c>
      <c r="G1243" s="15">
        <v>7306</v>
      </c>
      <c r="H1243" s="16">
        <v>0.2</v>
      </c>
      <c r="I1243" s="13">
        <v>4</v>
      </c>
      <c r="J1243" s="15">
        <v>54064.4</v>
      </c>
      <c r="K1243" s="15">
        <v>216257.6</v>
      </c>
      <c r="L1243" s="15">
        <v>152425.77243645891</v>
      </c>
      <c r="M1243" s="15">
        <v>63831.827563541126</v>
      </c>
    </row>
    <row r="1244" spans="1:13" x14ac:dyDescent="0.25">
      <c r="A1244" s="12">
        <v>46169</v>
      </c>
      <c r="B1244" s="12" t="s">
        <v>13</v>
      </c>
      <c r="C1244" s="12" t="s">
        <v>14</v>
      </c>
      <c r="D1244" s="12" t="s">
        <v>25</v>
      </c>
      <c r="E1244" s="13">
        <v>49886</v>
      </c>
      <c r="F1244" s="14">
        <v>24</v>
      </c>
      <c r="G1244" s="15">
        <v>39697</v>
      </c>
      <c r="H1244" s="16">
        <v>0.15</v>
      </c>
      <c r="I1244" s="13">
        <v>4</v>
      </c>
      <c r="J1244" s="15">
        <v>142909.20000000001</v>
      </c>
      <c r="K1244" s="15">
        <v>809818.8</v>
      </c>
      <c r="L1244" s="15">
        <v>537547.15688090539</v>
      </c>
      <c r="M1244" s="15">
        <v>272271.64311909472</v>
      </c>
    </row>
    <row r="1245" spans="1:13" x14ac:dyDescent="0.25">
      <c r="A1245" s="12">
        <v>46170</v>
      </c>
      <c r="B1245" s="12" t="s">
        <v>13</v>
      </c>
      <c r="C1245" s="12" t="s">
        <v>23</v>
      </c>
      <c r="D1245" s="12" t="s">
        <v>18</v>
      </c>
      <c r="E1245" s="13">
        <v>59699</v>
      </c>
      <c r="F1245" s="14">
        <v>38</v>
      </c>
      <c r="G1245" s="15">
        <v>41391</v>
      </c>
      <c r="H1245" s="16">
        <v>0.15</v>
      </c>
      <c r="I1245" s="13">
        <v>2</v>
      </c>
      <c r="J1245" s="15">
        <v>235928.7</v>
      </c>
      <c r="K1245" s="15">
        <v>1336929.3</v>
      </c>
      <c r="L1245" s="15">
        <v>952295.87157794239</v>
      </c>
      <c r="M1245" s="15">
        <v>384633.42842205771</v>
      </c>
    </row>
    <row r="1246" spans="1:13" x14ac:dyDescent="0.25">
      <c r="A1246" s="12">
        <v>46171</v>
      </c>
      <c r="B1246" s="12" t="s">
        <v>13</v>
      </c>
      <c r="C1246" s="12" t="s">
        <v>14</v>
      </c>
      <c r="D1246" s="12" t="s">
        <v>26</v>
      </c>
      <c r="E1246" s="13">
        <v>86396</v>
      </c>
      <c r="F1246" s="14">
        <v>34</v>
      </c>
      <c r="G1246" s="15">
        <v>18515</v>
      </c>
      <c r="H1246" s="16">
        <v>0.15</v>
      </c>
      <c r="I1246" s="13">
        <v>1</v>
      </c>
      <c r="J1246" s="15">
        <v>94426.5</v>
      </c>
      <c r="K1246" s="15">
        <v>535083.5</v>
      </c>
      <c r="L1246" s="15">
        <v>364726.42299941269</v>
      </c>
      <c r="M1246" s="15">
        <v>170357.07700058731</v>
      </c>
    </row>
    <row r="1247" spans="1:13" x14ac:dyDescent="0.25">
      <c r="A1247" s="12">
        <v>46172</v>
      </c>
      <c r="B1247" s="12" t="s">
        <v>16</v>
      </c>
      <c r="C1247" s="12" t="s">
        <v>23</v>
      </c>
      <c r="D1247" s="12" t="s">
        <v>15</v>
      </c>
      <c r="E1247" s="13">
        <v>35279</v>
      </c>
      <c r="F1247" s="14">
        <v>40</v>
      </c>
      <c r="G1247" s="15">
        <v>39720</v>
      </c>
      <c r="H1247" s="16">
        <v>0.2</v>
      </c>
      <c r="I1247" s="13">
        <v>3</v>
      </c>
      <c r="J1247" s="15">
        <v>317760</v>
      </c>
      <c r="K1247" s="15">
        <v>1271040</v>
      </c>
      <c r="L1247" s="15">
        <v>796298.70035329834</v>
      </c>
      <c r="M1247" s="15">
        <v>474741.29964670172</v>
      </c>
    </row>
    <row r="1248" spans="1:13" x14ac:dyDescent="0.25">
      <c r="A1248" s="12">
        <v>46173</v>
      </c>
      <c r="B1248" s="12" t="s">
        <v>24</v>
      </c>
      <c r="C1248" s="12" t="s">
        <v>17</v>
      </c>
      <c r="D1248" s="12" t="s">
        <v>15</v>
      </c>
      <c r="E1248" s="13">
        <v>48106</v>
      </c>
      <c r="F1248" s="14">
        <v>47</v>
      </c>
      <c r="G1248" s="15">
        <v>17658</v>
      </c>
      <c r="H1248" s="16">
        <v>0.2</v>
      </c>
      <c r="I1248" s="13">
        <v>4</v>
      </c>
      <c r="J1248" s="15">
        <v>165985.20000000001</v>
      </c>
      <c r="K1248" s="15">
        <v>663940.80000000005</v>
      </c>
      <c r="L1248" s="15">
        <v>563713.40606660501</v>
      </c>
      <c r="M1248" s="15">
        <v>100227.393933395</v>
      </c>
    </row>
    <row r="1249" spans="1:13" x14ac:dyDescent="0.25">
      <c r="A1249" s="12">
        <v>46174</v>
      </c>
      <c r="B1249" s="12" t="s">
        <v>24</v>
      </c>
      <c r="C1249" s="12" t="s">
        <v>21</v>
      </c>
      <c r="D1249" s="12" t="s">
        <v>26</v>
      </c>
      <c r="E1249" s="13">
        <v>89737</v>
      </c>
      <c r="F1249" s="14">
        <v>15</v>
      </c>
      <c r="G1249" s="15">
        <v>15956</v>
      </c>
      <c r="H1249" s="16">
        <v>0.2</v>
      </c>
      <c r="I1249" s="13">
        <v>2</v>
      </c>
      <c r="J1249" s="15">
        <v>47868</v>
      </c>
      <c r="K1249" s="15">
        <v>191472</v>
      </c>
      <c r="L1249" s="15">
        <v>163887.28317140281</v>
      </c>
      <c r="M1249" s="15">
        <v>27584.716828597189</v>
      </c>
    </row>
    <row r="1250" spans="1:13" x14ac:dyDescent="0.25">
      <c r="A1250" s="12">
        <v>46175</v>
      </c>
      <c r="B1250" s="12" t="s">
        <v>24</v>
      </c>
      <c r="C1250" s="12" t="s">
        <v>21</v>
      </c>
      <c r="D1250" s="12" t="s">
        <v>25</v>
      </c>
      <c r="E1250" s="13">
        <v>50544</v>
      </c>
      <c r="F1250" s="14">
        <v>11</v>
      </c>
      <c r="G1250" s="15">
        <v>28088</v>
      </c>
      <c r="H1250" s="16">
        <v>0</v>
      </c>
      <c r="I1250" s="13">
        <v>4</v>
      </c>
      <c r="J1250" s="15">
        <v>0</v>
      </c>
      <c r="K1250" s="15">
        <v>308968</v>
      </c>
      <c r="L1250" s="15">
        <v>205749.54322258811</v>
      </c>
      <c r="M1250" s="15">
        <v>103218.45677741191</v>
      </c>
    </row>
    <row r="1251" spans="1:13" x14ac:dyDescent="0.25">
      <c r="A1251" s="12">
        <v>46176</v>
      </c>
      <c r="B1251" s="12" t="s">
        <v>16</v>
      </c>
      <c r="C1251" s="12" t="s">
        <v>14</v>
      </c>
      <c r="D1251" s="12" t="s">
        <v>26</v>
      </c>
      <c r="E1251" s="13">
        <v>18997</v>
      </c>
      <c r="F1251" s="14">
        <v>22</v>
      </c>
      <c r="G1251" s="15">
        <v>22991</v>
      </c>
      <c r="H1251" s="16">
        <v>0.2</v>
      </c>
      <c r="I1251" s="13">
        <v>2</v>
      </c>
      <c r="J1251" s="15">
        <v>101160.4</v>
      </c>
      <c r="K1251" s="15">
        <v>404641.6</v>
      </c>
      <c r="L1251" s="15">
        <v>250647.81793541909</v>
      </c>
      <c r="M1251" s="15">
        <v>153993.78206458091</v>
      </c>
    </row>
    <row r="1252" spans="1:13" x14ac:dyDescent="0.25">
      <c r="A1252" s="12">
        <v>46177</v>
      </c>
      <c r="B1252" s="12" t="s">
        <v>13</v>
      </c>
      <c r="C1252" s="12" t="s">
        <v>21</v>
      </c>
      <c r="D1252" s="12" t="s">
        <v>25</v>
      </c>
      <c r="E1252" s="13">
        <v>95711</v>
      </c>
      <c r="F1252" s="14">
        <v>24</v>
      </c>
      <c r="G1252" s="15">
        <v>24688</v>
      </c>
      <c r="H1252" s="16">
        <v>0.15</v>
      </c>
      <c r="I1252" s="13">
        <v>1</v>
      </c>
      <c r="J1252" s="15">
        <v>88876.800000000003</v>
      </c>
      <c r="K1252" s="15">
        <v>503635.20000000001</v>
      </c>
      <c r="L1252" s="15">
        <v>413810.97125275468</v>
      </c>
      <c r="M1252" s="15">
        <v>89824.228747245332</v>
      </c>
    </row>
    <row r="1253" spans="1:13" x14ac:dyDescent="0.25">
      <c r="A1253" s="12">
        <v>46178</v>
      </c>
      <c r="B1253" s="12" t="s">
        <v>24</v>
      </c>
      <c r="C1253" s="12" t="s">
        <v>14</v>
      </c>
      <c r="D1253" s="12" t="s">
        <v>22</v>
      </c>
      <c r="E1253" s="13">
        <v>50860</v>
      </c>
      <c r="F1253" s="14">
        <v>1</v>
      </c>
      <c r="G1253" s="15">
        <v>27579</v>
      </c>
      <c r="H1253" s="16">
        <v>0.05</v>
      </c>
      <c r="I1253" s="13">
        <v>4</v>
      </c>
      <c r="J1253" s="15">
        <v>1378.95</v>
      </c>
      <c r="K1253" s="15">
        <v>26200.05</v>
      </c>
      <c r="L1253" s="15">
        <v>17382.648172215821</v>
      </c>
      <c r="M1253" s="15">
        <v>8817.4018277841787</v>
      </c>
    </row>
    <row r="1254" spans="1:13" x14ac:dyDescent="0.25">
      <c r="A1254" s="12">
        <v>46179</v>
      </c>
      <c r="B1254" s="12" t="s">
        <v>16</v>
      </c>
      <c r="C1254" s="12" t="s">
        <v>14</v>
      </c>
      <c r="D1254" s="12" t="s">
        <v>26</v>
      </c>
      <c r="E1254" s="13">
        <v>13225</v>
      </c>
      <c r="F1254" s="14">
        <v>18</v>
      </c>
      <c r="G1254" s="15">
        <v>4519</v>
      </c>
      <c r="H1254" s="16">
        <v>0.2</v>
      </c>
      <c r="I1254" s="13">
        <v>2</v>
      </c>
      <c r="J1254" s="15">
        <v>16268.4</v>
      </c>
      <c r="K1254" s="15">
        <v>65073.599999999999</v>
      </c>
      <c r="L1254" s="15">
        <v>46724.83909962554</v>
      </c>
      <c r="M1254" s="15">
        <v>18348.760900374458</v>
      </c>
    </row>
    <row r="1255" spans="1:13" x14ac:dyDescent="0.25">
      <c r="A1255" s="12">
        <v>46180</v>
      </c>
      <c r="B1255" s="12" t="s">
        <v>24</v>
      </c>
      <c r="C1255" s="12" t="s">
        <v>14</v>
      </c>
      <c r="D1255" s="12" t="s">
        <v>25</v>
      </c>
      <c r="E1255" s="13">
        <v>69470</v>
      </c>
      <c r="F1255" s="14">
        <v>44</v>
      </c>
      <c r="G1255" s="15">
        <v>12919</v>
      </c>
      <c r="H1255" s="16">
        <v>0.05</v>
      </c>
      <c r="I1255" s="13">
        <v>5</v>
      </c>
      <c r="J1255" s="15">
        <v>28421.8</v>
      </c>
      <c r="K1255" s="15">
        <v>540014.19999999995</v>
      </c>
      <c r="L1255" s="15">
        <v>334398.70407863049</v>
      </c>
      <c r="M1255" s="15">
        <v>205615.49592136941</v>
      </c>
    </row>
    <row r="1256" spans="1:13" x14ac:dyDescent="0.25">
      <c r="A1256" s="12">
        <v>46181</v>
      </c>
      <c r="B1256" s="12" t="s">
        <v>19</v>
      </c>
      <c r="C1256" s="12" t="s">
        <v>21</v>
      </c>
      <c r="D1256" s="12" t="s">
        <v>26</v>
      </c>
      <c r="E1256" s="13">
        <v>73656</v>
      </c>
      <c r="F1256" s="14">
        <v>12</v>
      </c>
      <c r="G1256" s="15">
        <v>34197</v>
      </c>
      <c r="H1256" s="16">
        <v>0.15</v>
      </c>
      <c r="I1256" s="13">
        <v>5</v>
      </c>
      <c r="J1256" s="15">
        <v>61554.6</v>
      </c>
      <c r="K1256" s="15">
        <v>348809.4</v>
      </c>
      <c r="L1256" s="15">
        <v>232963.12742935171</v>
      </c>
      <c r="M1256" s="15">
        <v>115846.2725706483</v>
      </c>
    </row>
    <row r="1257" spans="1:13" x14ac:dyDescent="0.25">
      <c r="A1257" s="12">
        <v>46182</v>
      </c>
      <c r="B1257" s="12" t="s">
        <v>24</v>
      </c>
      <c r="C1257" s="12" t="s">
        <v>14</v>
      </c>
      <c r="D1257" s="12" t="s">
        <v>26</v>
      </c>
      <c r="E1257" s="13">
        <v>61880</v>
      </c>
      <c r="F1257" s="14">
        <v>43</v>
      </c>
      <c r="G1257" s="15">
        <v>19896</v>
      </c>
      <c r="H1257" s="16">
        <v>0.2</v>
      </c>
      <c r="I1257" s="13">
        <v>2</v>
      </c>
      <c r="J1257" s="15">
        <v>171105.6</v>
      </c>
      <c r="K1257" s="15">
        <v>684422.4</v>
      </c>
      <c r="L1257" s="15">
        <v>573457.46408995125</v>
      </c>
      <c r="M1257" s="15">
        <v>110964.93591004881</v>
      </c>
    </row>
    <row r="1258" spans="1:13" x14ac:dyDescent="0.25">
      <c r="A1258" s="12">
        <v>46183</v>
      </c>
      <c r="B1258" s="12" t="s">
        <v>24</v>
      </c>
      <c r="C1258" s="12" t="s">
        <v>21</v>
      </c>
      <c r="D1258" s="12" t="s">
        <v>25</v>
      </c>
      <c r="E1258" s="13">
        <v>71078</v>
      </c>
      <c r="F1258" s="14">
        <v>28</v>
      </c>
      <c r="G1258" s="15">
        <v>39532</v>
      </c>
      <c r="H1258" s="16">
        <v>0</v>
      </c>
      <c r="I1258" s="13">
        <v>4</v>
      </c>
      <c r="J1258" s="15">
        <v>0</v>
      </c>
      <c r="K1258" s="15">
        <v>1106896</v>
      </c>
      <c r="L1258" s="15">
        <v>931252.56285139488</v>
      </c>
      <c r="M1258" s="15">
        <v>175643.43714860509</v>
      </c>
    </row>
    <row r="1259" spans="1:13" x14ac:dyDescent="0.25">
      <c r="A1259" s="12">
        <v>46184</v>
      </c>
      <c r="B1259" s="12" t="s">
        <v>13</v>
      </c>
      <c r="C1259" s="12" t="s">
        <v>14</v>
      </c>
      <c r="D1259" s="12" t="s">
        <v>25</v>
      </c>
      <c r="E1259" s="13">
        <v>98646</v>
      </c>
      <c r="F1259" s="14">
        <v>40</v>
      </c>
      <c r="G1259" s="15">
        <v>30392</v>
      </c>
      <c r="H1259" s="16">
        <v>0</v>
      </c>
      <c r="I1259" s="13">
        <v>4</v>
      </c>
      <c r="J1259" s="15">
        <v>0</v>
      </c>
      <c r="K1259" s="15">
        <v>1215680</v>
      </c>
      <c r="L1259" s="15">
        <v>804932.66397584754</v>
      </c>
      <c r="M1259" s="15">
        <v>410747.33602415252</v>
      </c>
    </row>
    <row r="1260" spans="1:13" x14ac:dyDescent="0.25">
      <c r="A1260" s="12">
        <v>46185</v>
      </c>
      <c r="B1260" s="12" t="s">
        <v>16</v>
      </c>
      <c r="C1260" s="12" t="s">
        <v>20</v>
      </c>
      <c r="D1260" s="12" t="s">
        <v>27</v>
      </c>
      <c r="E1260" s="13">
        <v>86290</v>
      </c>
      <c r="F1260" s="14">
        <v>7</v>
      </c>
      <c r="G1260" s="15">
        <v>8473</v>
      </c>
      <c r="H1260" s="16">
        <v>0.05</v>
      </c>
      <c r="I1260" s="13">
        <v>1</v>
      </c>
      <c r="J1260" s="15">
        <v>2965.55</v>
      </c>
      <c r="K1260" s="15">
        <v>56345.45</v>
      </c>
      <c r="L1260" s="15">
        <v>39485.435029130007</v>
      </c>
      <c r="M1260" s="15">
        <v>16860.014970869979</v>
      </c>
    </row>
    <row r="1261" spans="1:13" x14ac:dyDescent="0.25">
      <c r="A1261" s="12">
        <v>46186</v>
      </c>
      <c r="B1261" s="12" t="s">
        <v>13</v>
      </c>
      <c r="C1261" s="12" t="s">
        <v>14</v>
      </c>
      <c r="D1261" s="12" t="s">
        <v>26</v>
      </c>
      <c r="E1261" s="13">
        <v>66633</v>
      </c>
      <c r="F1261" s="14">
        <v>23</v>
      </c>
      <c r="G1261" s="15">
        <v>42965</v>
      </c>
      <c r="H1261" s="16">
        <v>0</v>
      </c>
      <c r="I1261" s="13">
        <v>1</v>
      </c>
      <c r="J1261" s="15">
        <v>0</v>
      </c>
      <c r="K1261" s="15">
        <v>988195</v>
      </c>
      <c r="L1261" s="15">
        <v>632713.12036690256</v>
      </c>
      <c r="M1261" s="15">
        <v>355481.87963309739</v>
      </c>
    </row>
    <row r="1262" spans="1:13" x14ac:dyDescent="0.25">
      <c r="A1262" s="12">
        <v>46187</v>
      </c>
      <c r="B1262" s="12" t="s">
        <v>13</v>
      </c>
      <c r="C1262" s="12" t="s">
        <v>23</v>
      </c>
      <c r="D1262" s="12" t="s">
        <v>15</v>
      </c>
      <c r="E1262" s="13">
        <v>36655</v>
      </c>
      <c r="F1262" s="14">
        <v>21</v>
      </c>
      <c r="G1262" s="15">
        <v>21613</v>
      </c>
      <c r="H1262" s="16">
        <v>0</v>
      </c>
      <c r="I1262" s="13">
        <v>3</v>
      </c>
      <c r="J1262" s="15">
        <v>0</v>
      </c>
      <c r="K1262" s="15">
        <v>453873</v>
      </c>
      <c r="L1262" s="15">
        <v>282423.28626759257</v>
      </c>
      <c r="M1262" s="15">
        <v>171449.7137324074</v>
      </c>
    </row>
    <row r="1263" spans="1:13" x14ac:dyDescent="0.25">
      <c r="A1263" s="12">
        <v>46188</v>
      </c>
      <c r="B1263" s="12" t="s">
        <v>13</v>
      </c>
      <c r="C1263" s="12" t="s">
        <v>14</v>
      </c>
      <c r="D1263" s="12" t="s">
        <v>26</v>
      </c>
      <c r="E1263" s="13">
        <v>53601</v>
      </c>
      <c r="F1263" s="14">
        <v>34</v>
      </c>
      <c r="G1263" s="15">
        <v>11636</v>
      </c>
      <c r="H1263" s="16">
        <v>0</v>
      </c>
      <c r="I1263" s="13">
        <v>1</v>
      </c>
      <c r="J1263" s="15">
        <v>0</v>
      </c>
      <c r="K1263" s="15">
        <v>395624</v>
      </c>
      <c r="L1263" s="15">
        <v>355132.48270708119</v>
      </c>
      <c r="M1263" s="15">
        <v>40491.517292918747</v>
      </c>
    </row>
    <row r="1264" spans="1:13" x14ac:dyDescent="0.25">
      <c r="A1264" s="12">
        <v>46189</v>
      </c>
      <c r="B1264" s="12" t="s">
        <v>13</v>
      </c>
      <c r="C1264" s="12" t="s">
        <v>17</v>
      </c>
      <c r="D1264" s="12" t="s">
        <v>26</v>
      </c>
      <c r="E1264" s="13">
        <v>13114</v>
      </c>
      <c r="F1264" s="14">
        <v>11</v>
      </c>
      <c r="G1264" s="15">
        <v>19703</v>
      </c>
      <c r="H1264" s="16">
        <v>0.15</v>
      </c>
      <c r="I1264" s="13">
        <v>4</v>
      </c>
      <c r="J1264" s="15">
        <v>32509.95</v>
      </c>
      <c r="K1264" s="15">
        <v>184223.05</v>
      </c>
      <c r="L1264" s="15">
        <v>146766.48517796269</v>
      </c>
      <c r="M1264" s="15">
        <v>37456.564822037333</v>
      </c>
    </row>
    <row r="1265" spans="1:13" x14ac:dyDescent="0.25">
      <c r="A1265" s="12">
        <v>46190</v>
      </c>
      <c r="B1265" s="12" t="s">
        <v>13</v>
      </c>
      <c r="C1265" s="12" t="s">
        <v>14</v>
      </c>
      <c r="D1265" s="12" t="s">
        <v>25</v>
      </c>
      <c r="E1265" s="13">
        <v>36502</v>
      </c>
      <c r="F1265" s="14">
        <v>22</v>
      </c>
      <c r="G1265" s="15">
        <v>31785</v>
      </c>
      <c r="H1265" s="16">
        <v>0</v>
      </c>
      <c r="I1265" s="13">
        <v>3</v>
      </c>
      <c r="J1265" s="15">
        <v>0</v>
      </c>
      <c r="K1265" s="15">
        <v>699270</v>
      </c>
      <c r="L1265" s="15">
        <v>533283.54779613251</v>
      </c>
      <c r="M1265" s="15">
        <v>165986.45220386749</v>
      </c>
    </row>
    <row r="1266" spans="1:13" x14ac:dyDescent="0.25">
      <c r="A1266" s="12">
        <v>46191</v>
      </c>
      <c r="B1266" s="12" t="s">
        <v>24</v>
      </c>
      <c r="C1266" s="12" t="s">
        <v>23</v>
      </c>
      <c r="D1266" s="12" t="s">
        <v>26</v>
      </c>
      <c r="E1266" s="13">
        <v>59768</v>
      </c>
      <c r="F1266" s="14">
        <v>42</v>
      </c>
      <c r="G1266" s="15">
        <v>23539</v>
      </c>
      <c r="H1266" s="16">
        <v>0.1</v>
      </c>
      <c r="I1266" s="13">
        <v>1</v>
      </c>
      <c r="J1266" s="15">
        <v>98863.8</v>
      </c>
      <c r="K1266" s="15">
        <v>889774.2</v>
      </c>
      <c r="L1266" s="15">
        <v>738200.76473979757</v>
      </c>
      <c r="M1266" s="15">
        <v>151573.43526020239</v>
      </c>
    </row>
    <row r="1267" spans="1:13" x14ac:dyDescent="0.25">
      <c r="A1267" s="12">
        <v>46192</v>
      </c>
      <c r="B1267" s="12" t="s">
        <v>13</v>
      </c>
      <c r="C1267" s="12" t="s">
        <v>23</v>
      </c>
      <c r="D1267" s="12" t="s">
        <v>18</v>
      </c>
      <c r="E1267" s="13">
        <v>58128</v>
      </c>
      <c r="F1267" s="14">
        <v>35</v>
      </c>
      <c r="G1267" s="15">
        <v>1684</v>
      </c>
      <c r="H1267" s="16">
        <v>0.2</v>
      </c>
      <c r="I1267" s="13">
        <v>2</v>
      </c>
      <c r="J1267" s="15">
        <v>11788</v>
      </c>
      <c r="K1267" s="15">
        <v>47152</v>
      </c>
      <c r="L1267" s="15">
        <v>40174.595470078668</v>
      </c>
      <c r="M1267" s="15">
        <v>6977.4045299213321</v>
      </c>
    </row>
    <row r="1268" spans="1:13" x14ac:dyDescent="0.25">
      <c r="A1268" s="12">
        <v>46193</v>
      </c>
      <c r="B1268" s="12" t="s">
        <v>13</v>
      </c>
      <c r="C1268" s="12" t="s">
        <v>21</v>
      </c>
      <c r="D1268" s="12" t="s">
        <v>26</v>
      </c>
      <c r="E1268" s="13">
        <v>30028</v>
      </c>
      <c r="F1268" s="14">
        <v>29</v>
      </c>
      <c r="G1268" s="15">
        <v>23227</v>
      </c>
      <c r="H1268" s="16">
        <v>0</v>
      </c>
      <c r="I1268" s="13">
        <v>5</v>
      </c>
      <c r="J1268" s="15">
        <v>0</v>
      </c>
      <c r="K1268" s="15">
        <v>673583</v>
      </c>
      <c r="L1268" s="15">
        <v>567166.60608116153</v>
      </c>
      <c r="M1268" s="15">
        <v>106416.3939188385</v>
      </c>
    </row>
    <row r="1269" spans="1:13" x14ac:dyDescent="0.25">
      <c r="A1269" s="12">
        <v>46194</v>
      </c>
      <c r="B1269" s="12" t="s">
        <v>16</v>
      </c>
      <c r="C1269" s="12" t="s">
        <v>20</v>
      </c>
      <c r="D1269" s="12" t="s">
        <v>18</v>
      </c>
      <c r="E1269" s="13">
        <v>65565</v>
      </c>
      <c r="F1269" s="14">
        <v>42</v>
      </c>
      <c r="G1269" s="15">
        <v>17411</v>
      </c>
      <c r="H1269" s="16">
        <v>0</v>
      </c>
      <c r="I1269" s="13">
        <v>1</v>
      </c>
      <c r="J1269" s="15">
        <v>0</v>
      </c>
      <c r="K1269" s="15">
        <v>731262</v>
      </c>
      <c r="L1269" s="15">
        <v>442385.60122998408</v>
      </c>
      <c r="M1269" s="15">
        <v>288876.39877001592</v>
      </c>
    </row>
    <row r="1270" spans="1:13" x14ac:dyDescent="0.25">
      <c r="A1270" s="12">
        <v>46195</v>
      </c>
      <c r="B1270" s="12" t="s">
        <v>19</v>
      </c>
      <c r="C1270" s="12" t="s">
        <v>14</v>
      </c>
      <c r="D1270" s="12" t="s">
        <v>15</v>
      </c>
      <c r="E1270" s="13">
        <v>93123</v>
      </c>
      <c r="F1270" s="14">
        <v>28</v>
      </c>
      <c r="G1270" s="15">
        <v>1416</v>
      </c>
      <c r="H1270" s="16">
        <v>0</v>
      </c>
      <c r="I1270" s="13">
        <v>1</v>
      </c>
      <c r="J1270" s="15">
        <v>0</v>
      </c>
      <c r="K1270" s="15">
        <v>39648</v>
      </c>
      <c r="L1270" s="15">
        <v>26010.76786423707</v>
      </c>
      <c r="M1270" s="15">
        <v>13637.23213576293</v>
      </c>
    </row>
    <row r="1271" spans="1:13" x14ac:dyDescent="0.25">
      <c r="A1271" s="12">
        <v>46196</v>
      </c>
      <c r="B1271" s="12" t="s">
        <v>24</v>
      </c>
      <c r="C1271" s="12" t="s">
        <v>21</v>
      </c>
      <c r="D1271" s="12" t="s">
        <v>25</v>
      </c>
      <c r="E1271" s="13">
        <v>45333</v>
      </c>
      <c r="F1271" s="14">
        <v>18</v>
      </c>
      <c r="G1271" s="15">
        <v>4074</v>
      </c>
      <c r="H1271" s="16">
        <v>0.1</v>
      </c>
      <c r="I1271" s="13">
        <v>2</v>
      </c>
      <c r="J1271" s="15">
        <v>7333.2000000000007</v>
      </c>
      <c r="K1271" s="15">
        <v>65998.8</v>
      </c>
      <c r="L1271" s="15">
        <v>52566.169216024296</v>
      </c>
      <c r="M1271" s="15">
        <v>13432.63078397571</v>
      </c>
    </row>
    <row r="1272" spans="1:13" x14ac:dyDescent="0.25">
      <c r="A1272" s="12">
        <v>46197</v>
      </c>
      <c r="B1272" s="12" t="s">
        <v>24</v>
      </c>
      <c r="C1272" s="12" t="s">
        <v>20</v>
      </c>
      <c r="D1272" s="12" t="s">
        <v>26</v>
      </c>
      <c r="E1272" s="13">
        <v>13174</v>
      </c>
      <c r="F1272" s="14">
        <v>14</v>
      </c>
      <c r="G1272" s="15">
        <v>36587</v>
      </c>
      <c r="H1272" s="16">
        <v>0</v>
      </c>
      <c r="I1272" s="13">
        <v>4</v>
      </c>
      <c r="J1272" s="15">
        <v>0</v>
      </c>
      <c r="K1272" s="15">
        <v>512218</v>
      </c>
      <c r="L1272" s="15">
        <v>365072.01048403513</v>
      </c>
      <c r="M1272" s="15">
        <v>147145.9895159649</v>
      </c>
    </row>
    <row r="1273" spans="1:13" x14ac:dyDescent="0.25">
      <c r="A1273" s="12">
        <v>46198</v>
      </c>
      <c r="B1273" s="12" t="s">
        <v>24</v>
      </c>
      <c r="C1273" s="12" t="s">
        <v>14</v>
      </c>
      <c r="D1273" s="12" t="s">
        <v>18</v>
      </c>
      <c r="E1273" s="13">
        <v>45398</v>
      </c>
      <c r="F1273" s="14">
        <v>18</v>
      </c>
      <c r="G1273" s="15">
        <v>18290</v>
      </c>
      <c r="H1273" s="16">
        <v>0</v>
      </c>
      <c r="I1273" s="13">
        <v>2</v>
      </c>
      <c r="J1273" s="15">
        <v>0</v>
      </c>
      <c r="K1273" s="15">
        <v>329220</v>
      </c>
      <c r="L1273" s="15">
        <v>294567.88151470129</v>
      </c>
      <c r="M1273" s="15">
        <v>34652.118485298713</v>
      </c>
    </row>
    <row r="1274" spans="1:13" x14ac:dyDescent="0.25">
      <c r="A1274" s="12">
        <v>46199</v>
      </c>
      <c r="B1274" s="12" t="s">
        <v>13</v>
      </c>
      <c r="C1274" s="12" t="s">
        <v>17</v>
      </c>
      <c r="D1274" s="12" t="s">
        <v>18</v>
      </c>
      <c r="E1274" s="13">
        <v>45929</v>
      </c>
      <c r="F1274" s="14">
        <v>28</v>
      </c>
      <c r="G1274" s="15">
        <v>18125</v>
      </c>
      <c r="H1274" s="16">
        <v>0.2</v>
      </c>
      <c r="I1274" s="13">
        <v>1</v>
      </c>
      <c r="J1274" s="15">
        <v>101500</v>
      </c>
      <c r="K1274" s="15">
        <v>406000</v>
      </c>
      <c r="L1274" s="15">
        <v>324646.30374333932</v>
      </c>
      <c r="M1274" s="15">
        <v>81353.696256660682</v>
      </c>
    </row>
    <row r="1275" spans="1:13" x14ac:dyDescent="0.25">
      <c r="A1275" s="12">
        <v>46200</v>
      </c>
      <c r="B1275" s="12" t="s">
        <v>13</v>
      </c>
      <c r="C1275" s="12" t="s">
        <v>14</v>
      </c>
      <c r="D1275" s="12" t="s">
        <v>18</v>
      </c>
      <c r="E1275" s="13">
        <v>14321</v>
      </c>
      <c r="F1275" s="14">
        <v>24</v>
      </c>
      <c r="G1275" s="15">
        <v>5706</v>
      </c>
      <c r="H1275" s="16">
        <v>0.1</v>
      </c>
      <c r="I1275" s="13">
        <v>4</v>
      </c>
      <c r="J1275" s="15">
        <v>13694.4</v>
      </c>
      <c r="K1275" s="15">
        <v>123249.60000000001</v>
      </c>
      <c r="L1275" s="15">
        <v>109318.0411143934</v>
      </c>
      <c r="M1275" s="15">
        <v>13931.55888560663</v>
      </c>
    </row>
    <row r="1276" spans="1:13" x14ac:dyDescent="0.25">
      <c r="A1276" s="12">
        <v>46201</v>
      </c>
      <c r="B1276" s="12" t="s">
        <v>13</v>
      </c>
      <c r="C1276" s="12" t="s">
        <v>23</v>
      </c>
      <c r="D1276" s="12" t="s">
        <v>22</v>
      </c>
      <c r="E1276" s="13">
        <v>65421</v>
      </c>
      <c r="F1276" s="14">
        <v>8</v>
      </c>
      <c r="G1276" s="15">
        <v>20017</v>
      </c>
      <c r="H1276" s="16">
        <v>0.1</v>
      </c>
      <c r="I1276" s="13">
        <v>3</v>
      </c>
      <c r="J1276" s="15">
        <v>16013.6</v>
      </c>
      <c r="K1276" s="15">
        <v>144122.4</v>
      </c>
      <c r="L1276" s="15">
        <v>95183.32512190433</v>
      </c>
      <c r="M1276" s="15">
        <v>48939.074878095656</v>
      </c>
    </row>
    <row r="1277" spans="1:13" x14ac:dyDescent="0.25">
      <c r="A1277" s="12">
        <v>46202</v>
      </c>
      <c r="B1277" s="12" t="s">
        <v>16</v>
      </c>
      <c r="C1277" s="12" t="s">
        <v>23</v>
      </c>
      <c r="D1277" s="12" t="s">
        <v>27</v>
      </c>
      <c r="E1277" s="13">
        <v>82635</v>
      </c>
      <c r="F1277" s="14">
        <v>42</v>
      </c>
      <c r="G1277" s="15">
        <v>38196</v>
      </c>
      <c r="H1277" s="16">
        <v>0</v>
      </c>
      <c r="I1277" s="13">
        <v>1</v>
      </c>
      <c r="J1277" s="15">
        <v>0</v>
      </c>
      <c r="K1277" s="15">
        <v>1604232</v>
      </c>
      <c r="L1277" s="15">
        <v>1378335.4533381059</v>
      </c>
      <c r="M1277" s="15">
        <v>225896.5466618943</v>
      </c>
    </row>
    <row r="1278" spans="1:13" x14ac:dyDescent="0.25">
      <c r="A1278" s="12">
        <v>46203</v>
      </c>
      <c r="B1278" s="12" t="s">
        <v>19</v>
      </c>
      <c r="C1278" s="12" t="s">
        <v>17</v>
      </c>
      <c r="D1278" s="12" t="s">
        <v>15</v>
      </c>
      <c r="E1278" s="13">
        <v>33760</v>
      </c>
      <c r="F1278" s="14">
        <v>45</v>
      </c>
      <c r="G1278" s="15">
        <v>16605</v>
      </c>
      <c r="H1278" s="16">
        <v>0.1</v>
      </c>
      <c r="I1278" s="13">
        <v>2</v>
      </c>
      <c r="J1278" s="15">
        <v>74722.5</v>
      </c>
      <c r="K1278" s="15">
        <v>672502.5</v>
      </c>
      <c r="L1278" s="15">
        <v>468334.56871245097</v>
      </c>
      <c r="M1278" s="15">
        <v>204167.931287549</v>
      </c>
    </row>
    <row r="1279" spans="1:13" x14ac:dyDescent="0.25">
      <c r="A1279" s="12">
        <v>46204</v>
      </c>
      <c r="B1279" s="12" t="s">
        <v>13</v>
      </c>
      <c r="C1279" s="12" t="s">
        <v>21</v>
      </c>
      <c r="D1279" s="12" t="s">
        <v>26</v>
      </c>
      <c r="E1279" s="13">
        <v>21360</v>
      </c>
      <c r="F1279" s="14">
        <v>8</v>
      </c>
      <c r="G1279" s="15">
        <v>36156</v>
      </c>
      <c r="H1279" s="16">
        <v>0.05</v>
      </c>
      <c r="I1279" s="13">
        <v>3</v>
      </c>
      <c r="J1279" s="15">
        <v>14462.4</v>
      </c>
      <c r="K1279" s="15">
        <v>274785.59999999998</v>
      </c>
      <c r="L1279" s="15">
        <v>246446.8078711532</v>
      </c>
      <c r="M1279" s="15">
        <v>28338.79212884681</v>
      </c>
    </row>
    <row r="1280" spans="1:13" x14ac:dyDescent="0.25">
      <c r="A1280" s="12">
        <v>46205</v>
      </c>
      <c r="B1280" s="12" t="s">
        <v>19</v>
      </c>
      <c r="C1280" s="12" t="s">
        <v>20</v>
      </c>
      <c r="D1280" s="12" t="s">
        <v>22</v>
      </c>
      <c r="E1280" s="13">
        <v>20313</v>
      </c>
      <c r="F1280" s="14">
        <v>4</v>
      </c>
      <c r="G1280" s="15">
        <v>3190</v>
      </c>
      <c r="H1280" s="16">
        <v>0.1</v>
      </c>
      <c r="I1280" s="13">
        <v>5</v>
      </c>
      <c r="J1280" s="15">
        <v>1276</v>
      </c>
      <c r="K1280" s="15">
        <v>11484</v>
      </c>
      <c r="L1280" s="15">
        <v>7433.6690130264069</v>
      </c>
      <c r="M1280" s="15">
        <v>4050.3309869735931</v>
      </c>
    </row>
    <row r="1281" spans="1:13" x14ac:dyDescent="0.25">
      <c r="A1281" s="12">
        <v>46206</v>
      </c>
      <c r="B1281" s="12" t="s">
        <v>16</v>
      </c>
      <c r="C1281" s="12" t="s">
        <v>14</v>
      </c>
      <c r="D1281" s="12" t="s">
        <v>26</v>
      </c>
      <c r="E1281" s="13">
        <v>95998</v>
      </c>
      <c r="F1281" s="14">
        <v>27</v>
      </c>
      <c r="G1281" s="15">
        <v>37359</v>
      </c>
      <c r="H1281" s="16">
        <v>0.1</v>
      </c>
      <c r="I1281" s="13">
        <v>3</v>
      </c>
      <c r="J1281" s="15">
        <v>100869.3</v>
      </c>
      <c r="K1281" s="15">
        <v>907823.7</v>
      </c>
      <c r="L1281" s="15">
        <v>685317.87743854185</v>
      </c>
      <c r="M1281" s="15">
        <v>222505.8225614581</v>
      </c>
    </row>
    <row r="1282" spans="1:13" x14ac:dyDescent="0.25">
      <c r="A1282" s="12">
        <v>46207</v>
      </c>
      <c r="B1282" s="12" t="s">
        <v>24</v>
      </c>
      <c r="C1282" s="12" t="s">
        <v>23</v>
      </c>
      <c r="D1282" s="12" t="s">
        <v>26</v>
      </c>
      <c r="E1282" s="13">
        <v>15801</v>
      </c>
      <c r="F1282" s="14">
        <v>36</v>
      </c>
      <c r="G1282" s="15">
        <v>47228</v>
      </c>
      <c r="H1282" s="16">
        <v>0.1</v>
      </c>
      <c r="I1282" s="13">
        <v>2</v>
      </c>
      <c r="J1282" s="15">
        <v>170020.8</v>
      </c>
      <c r="K1282" s="15">
        <v>1530187.2</v>
      </c>
      <c r="L1282" s="15">
        <v>1282072.4871802591</v>
      </c>
      <c r="M1282" s="15">
        <v>248114.71281974061</v>
      </c>
    </row>
    <row r="1283" spans="1:13" x14ac:dyDescent="0.25">
      <c r="A1283" s="12">
        <v>46208</v>
      </c>
      <c r="B1283" s="12" t="s">
        <v>13</v>
      </c>
      <c r="C1283" s="12" t="s">
        <v>21</v>
      </c>
      <c r="D1283" s="12" t="s">
        <v>25</v>
      </c>
      <c r="E1283" s="13">
        <v>24130</v>
      </c>
      <c r="F1283" s="14">
        <v>5</v>
      </c>
      <c r="G1283" s="15">
        <v>1190</v>
      </c>
      <c r="H1283" s="16">
        <v>0.15</v>
      </c>
      <c r="I1283" s="13">
        <v>3</v>
      </c>
      <c r="J1283" s="15">
        <v>892.5</v>
      </c>
      <c r="K1283" s="15">
        <v>5057.5</v>
      </c>
      <c r="L1283" s="15">
        <v>3690.9268036964741</v>
      </c>
      <c r="M1283" s="15">
        <v>1366.5731963035259</v>
      </c>
    </row>
    <row r="1284" spans="1:13" x14ac:dyDescent="0.25">
      <c r="A1284" s="12">
        <v>46209</v>
      </c>
      <c r="B1284" s="12" t="s">
        <v>19</v>
      </c>
      <c r="C1284" s="12" t="s">
        <v>17</v>
      </c>
      <c r="D1284" s="12" t="s">
        <v>25</v>
      </c>
      <c r="E1284" s="13">
        <v>24271</v>
      </c>
      <c r="F1284" s="14">
        <v>33</v>
      </c>
      <c r="G1284" s="15">
        <v>25603</v>
      </c>
      <c r="H1284" s="16">
        <v>0.15</v>
      </c>
      <c r="I1284" s="13">
        <v>2</v>
      </c>
      <c r="J1284" s="15">
        <v>126734.85</v>
      </c>
      <c r="K1284" s="15">
        <v>718164.15</v>
      </c>
      <c r="L1284" s="15">
        <v>531746.84736396302</v>
      </c>
      <c r="M1284" s="15">
        <v>186417.302636037</v>
      </c>
    </row>
    <row r="1285" spans="1:13" x14ac:dyDescent="0.25">
      <c r="A1285" s="12">
        <v>46210</v>
      </c>
      <c r="B1285" s="12" t="s">
        <v>19</v>
      </c>
      <c r="C1285" s="12" t="s">
        <v>23</v>
      </c>
      <c r="D1285" s="12" t="s">
        <v>25</v>
      </c>
      <c r="E1285" s="13">
        <v>26075</v>
      </c>
      <c r="F1285" s="14">
        <v>49</v>
      </c>
      <c r="G1285" s="15">
        <v>34763</v>
      </c>
      <c r="H1285" s="16">
        <v>0.15</v>
      </c>
      <c r="I1285" s="13">
        <v>1</v>
      </c>
      <c r="J1285" s="15">
        <v>255508.05</v>
      </c>
      <c r="K1285" s="15">
        <v>1447878.95</v>
      </c>
      <c r="L1285" s="15">
        <v>1297164.5080569801</v>
      </c>
      <c r="M1285" s="15">
        <v>150714.44194301989</v>
      </c>
    </row>
    <row r="1286" spans="1:13" x14ac:dyDescent="0.25">
      <c r="A1286" s="12">
        <v>46211</v>
      </c>
      <c r="B1286" s="12" t="s">
        <v>13</v>
      </c>
      <c r="C1286" s="12" t="s">
        <v>17</v>
      </c>
      <c r="D1286" s="12" t="s">
        <v>22</v>
      </c>
      <c r="E1286" s="13">
        <v>28984</v>
      </c>
      <c r="F1286" s="14">
        <v>34</v>
      </c>
      <c r="G1286" s="15">
        <v>11585</v>
      </c>
      <c r="H1286" s="16">
        <v>0.1</v>
      </c>
      <c r="I1286" s="13">
        <v>4</v>
      </c>
      <c r="J1286" s="15">
        <v>39389</v>
      </c>
      <c r="K1286" s="15">
        <v>354501</v>
      </c>
      <c r="L1286" s="15">
        <v>257932.2493769727</v>
      </c>
      <c r="M1286" s="15">
        <v>96568.75062302727</v>
      </c>
    </row>
    <row r="1287" spans="1:13" x14ac:dyDescent="0.25">
      <c r="A1287" s="12">
        <v>46212</v>
      </c>
      <c r="B1287" s="12" t="s">
        <v>24</v>
      </c>
      <c r="C1287" s="12" t="s">
        <v>14</v>
      </c>
      <c r="D1287" s="12" t="s">
        <v>26</v>
      </c>
      <c r="E1287" s="13">
        <v>98095</v>
      </c>
      <c r="F1287" s="14">
        <v>30</v>
      </c>
      <c r="G1287" s="15">
        <v>26325</v>
      </c>
      <c r="H1287" s="16">
        <v>0.05</v>
      </c>
      <c r="I1287" s="13">
        <v>5</v>
      </c>
      <c r="J1287" s="15">
        <v>39487.5</v>
      </c>
      <c r="K1287" s="15">
        <v>750262.5</v>
      </c>
      <c r="L1287" s="15">
        <v>586121.29331271141</v>
      </c>
      <c r="M1287" s="15">
        <v>164141.20668728859</v>
      </c>
    </row>
    <row r="1288" spans="1:13" x14ac:dyDescent="0.25">
      <c r="A1288" s="12">
        <v>46213</v>
      </c>
      <c r="B1288" s="12" t="s">
        <v>24</v>
      </c>
      <c r="C1288" s="12" t="s">
        <v>20</v>
      </c>
      <c r="D1288" s="12" t="s">
        <v>27</v>
      </c>
      <c r="E1288" s="13">
        <v>70942</v>
      </c>
      <c r="F1288" s="14">
        <v>8</v>
      </c>
      <c r="G1288" s="15">
        <v>11220</v>
      </c>
      <c r="H1288" s="16">
        <v>0.1</v>
      </c>
      <c r="I1288" s="13">
        <v>4</v>
      </c>
      <c r="J1288" s="15">
        <v>8976</v>
      </c>
      <c r="K1288" s="15">
        <v>80784</v>
      </c>
      <c r="L1288" s="15">
        <v>49792.179584394413</v>
      </c>
      <c r="M1288" s="15">
        <v>30991.820415605591</v>
      </c>
    </row>
    <row r="1289" spans="1:13" x14ac:dyDescent="0.25">
      <c r="A1289" s="12">
        <v>46214</v>
      </c>
      <c r="B1289" s="12" t="s">
        <v>24</v>
      </c>
      <c r="C1289" s="12" t="s">
        <v>23</v>
      </c>
      <c r="D1289" s="12" t="s">
        <v>15</v>
      </c>
      <c r="E1289" s="13">
        <v>22861</v>
      </c>
      <c r="F1289" s="14">
        <v>39</v>
      </c>
      <c r="G1289" s="15">
        <v>39141</v>
      </c>
      <c r="H1289" s="16">
        <v>0</v>
      </c>
      <c r="I1289" s="13">
        <v>4</v>
      </c>
      <c r="J1289" s="15">
        <v>0</v>
      </c>
      <c r="K1289" s="15">
        <v>1526499</v>
      </c>
      <c r="L1289" s="15">
        <v>1301589.2535692649</v>
      </c>
      <c r="M1289" s="15">
        <v>224909.74643073531</v>
      </c>
    </row>
    <row r="1290" spans="1:13" x14ac:dyDescent="0.25">
      <c r="A1290" s="12">
        <v>46215</v>
      </c>
      <c r="B1290" s="12" t="s">
        <v>16</v>
      </c>
      <c r="C1290" s="12" t="s">
        <v>23</v>
      </c>
      <c r="D1290" s="12" t="s">
        <v>25</v>
      </c>
      <c r="E1290" s="13">
        <v>92203</v>
      </c>
      <c r="F1290" s="14">
        <v>47</v>
      </c>
      <c r="G1290" s="15">
        <v>37771</v>
      </c>
      <c r="H1290" s="16">
        <v>0.05</v>
      </c>
      <c r="I1290" s="13">
        <v>4</v>
      </c>
      <c r="J1290" s="15">
        <v>88761.85</v>
      </c>
      <c r="K1290" s="15">
        <v>1686475.15</v>
      </c>
      <c r="L1290" s="15">
        <v>1339820.882288395</v>
      </c>
      <c r="M1290" s="15">
        <v>346654.26771160518</v>
      </c>
    </row>
    <row r="1291" spans="1:13" x14ac:dyDescent="0.25">
      <c r="A1291" s="12">
        <v>46216</v>
      </c>
      <c r="B1291" s="12" t="s">
        <v>19</v>
      </c>
      <c r="C1291" s="12" t="s">
        <v>14</v>
      </c>
      <c r="D1291" s="12" t="s">
        <v>25</v>
      </c>
      <c r="E1291" s="13">
        <v>81376</v>
      </c>
      <c r="F1291" s="14">
        <v>26</v>
      </c>
      <c r="G1291" s="15">
        <v>12220</v>
      </c>
      <c r="H1291" s="16">
        <v>0.15</v>
      </c>
      <c r="I1291" s="13">
        <v>2</v>
      </c>
      <c r="J1291" s="15">
        <v>47658</v>
      </c>
      <c r="K1291" s="15">
        <v>270062</v>
      </c>
      <c r="L1291" s="15">
        <v>194770.34310580109</v>
      </c>
      <c r="M1291" s="15">
        <v>75291.656894198852</v>
      </c>
    </row>
    <row r="1292" spans="1:13" x14ac:dyDescent="0.25">
      <c r="A1292" s="12">
        <v>46217</v>
      </c>
      <c r="B1292" s="12" t="s">
        <v>19</v>
      </c>
      <c r="C1292" s="12" t="s">
        <v>21</v>
      </c>
      <c r="D1292" s="12" t="s">
        <v>26</v>
      </c>
      <c r="E1292" s="13">
        <v>71247</v>
      </c>
      <c r="F1292" s="14">
        <v>37</v>
      </c>
      <c r="G1292" s="15">
        <v>47232</v>
      </c>
      <c r="H1292" s="16">
        <v>0.2</v>
      </c>
      <c r="I1292" s="13">
        <v>2</v>
      </c>
      <c r="J1292" s="15">
        <v>349516.79999999999</v>
      </c>
      <c r="K1292" s="15">
        <v>1398067.2</v>
      </c>
      <c r="L1292" s="15">
        <v>845622.15103485109</v>
      </c>
      <c r="M1292" s="15">
        <v>552445.04896514886</v>
      </c>
    </row>
    <row r="1293" spans="1:13" x14ac:dyDescent="0.25">
      <c r="A1293" s="12">
        <v>46218</v>
      </c>
      <c r="B1293" s="12" t="s">
        <v>19</v>
      </c>
      <c r="C1293" s="12" t="s">
        <v>20</v>
      </c>
      <c r="D1293" s="12" t="s">
        <v>26</v>
      </c>
      <c r="E1293" s="13">
        <v>79101</v>
      </c>
      <c r="F1293" s="14">
        <v>34</v>
      </c>
      <c r="G1293" s="15">
        <v>1397</v>
      </c>
      <c r="H1293" s="16">
        <v>0.05</v>
      </c>
      <c r="I1293" s="13">
        <v>5</v>
      </c>
      <c r="J1293" s="15">
        <v>2374.9</v>
      </c>
      <c r="K1293" s="15">
        <v>45123.1</v>
      </c>
      <c r="L1293" s="15">
        <v>35083.239407556823</v>
      </c>
      <c r="M1293" s="15">
        <v>10039.860592443179</v>
      </c>
    </row>
    <row r="1294" spans="1:13" x14ac:dyDescent="0.25">
      <c r="A1294" s="12">
        <v>46219</v>
      </c>
      <c r="B1294" s="12" t="s">
        <v>16</v>
      </c>
      <c r="C1294" s="12" t="s">
        <v>23</v>
      </c>
      <c r="D1294" s="12" t="s">
        <v>22</v>
      </c>
      <c r="E1294" s="13">
        <v>30977</v>
      </c>
      <c r="F1294" s="14">
        <v>7</v>
      </c>
      <c r="G1294" s="15">
        <v>17594</v>
      </c>
      <c r="H1294" s="16">
        <v>0.15</v>
      </c>
      <c r="I1294" s="13">
        <v>2</v>
      </c>
      <c r="J1294" s="15">
        <v>18473.7</v>
      </c>
      <c r="K1294" s="15">
        <v>104684.3</v>
      </c>
      <c r="L1294" s="15">
        <v>63208.102774315383</v>
      </c>
      <c r="M1294" s="15">
        <v>41476.19722568462</v>
      </c>
    </row>
    <row r="1295" spans="1:13" x14ac:dyDescent="0.25">
      <c r="A1295" s="12">
        <v>46220</v>
      </c>
      <c r="B1295" s="12" t="s">
        <v>19</v>
      </c>
      <c r="C1295" s="12" t="s">
        <v>20</v>
      </c>
      <c r="D1295" s="12" t="s">
        <v>22</v>
      </c>
      <c r="E1295" s="13">
        <v>60617</v>
      </c>
      <c r="F1295" s="14">
        <v>40</v>
      </c>
      <c r="G1295" s="15">
        <v>36963</v>
      </c>
      <c r="H1295" s="16">
        <v>0.05</v>
      </c>
      <c r="I1295" s="13">
        <v>2</v>
      </c>
      <c r="J1295" s="15">
        <v>73926</v>
      </c>
      <c r="K1295" s="15">
        <v>1404594</v>
      </c>
      <c r="L1295" s="15">
        <v>843263.57666247699</v>
      </c>
      <c r="M1295" s="15">
        <v>561330.42333752301</v>
      </c>
    </row>
    <row r="1296" spans="1:13" x14ac:dyDescent="0.25">
      <c r="A1296" s="12">
        <v>46221</v>
      </c>
      <c r="B1296" s="12" t="s">
        <v>16</v>
      </c>
      <c r="C1296" s="12" t="s">
        <v>23</v>
      </c>
      <c r="D1296" s="12" t="s">
        <v>25</v>
      </c>
      <c r="E1296" s="13">
        <v>67473</v>
      </c>
      <c r="F1296" s="14">
        <v>28</v>
      </c>
      <c r="G1296" s="15">
        <v>35954</v>
      </c>
      <c r="H1296" s="16">
        <v>0.05</v>
      </c>
      <c r="I1296" s="13">
        <v>2</v>
      </c>
      <c r="J1296" s="15">
        <v>50335.600000000013</v>
      </c>
      <c r="K1296" s="15">
        <v>956376.4</v>
      </c>
      <c r="L1296" s="15">
        <v>750592.47747407283</v>
      </c>
      <c r="M1296" s="15">
        <v>205783.92252592719</v>
      </c>
    </row>
    <row r="1297" spans="1:13" x14ac:dyDescent="0.25">
      <c r="A1297" s="12">
        <v>46222</v>
      </c>
      <c r="B1297" s="12" t="s">
        <v>24</v>
      </c>
      <c r="C1297" s="12" t="s">
        <v>20</v>
      </c>
      <c r="D1297" s="12" t="s">
        <v>26</v>
      </c>
      <c r="E1297" s="13">
        <v>96654</v>
      </c>
      <c r="F1297" s="14">
        <v>39</v>
      </c>
      <c r="G1297" s="15">
        <v>24072</v>
      </c>
      <c r="H1297" s="16">
        <v>0.1</v>
      </c>
      <c r="I1297" s="13">
        <v>2</v>
      </c>
      <c r="J1297" s="15">
        <v>93880.8</v>
      </c>
      <c r="K1297" s="15">
        <v>844927.2</v>
      </c>
      <c r="L1297" s="15">
        <v>554868.01843655889</v>
      </c>
      <c r="M1297" s="15">
        <v>290059.18156344112</v>
      </c>
    </row>
    <row r="1298" spans="1:13" x14ac:dyDescent="0.25">
      <c r="A1298" s="12">
        <v>46223</v>
      </c>
      <c r="B1298" s="12" t="s">
        <v>13</v>
      </c>
      <c r="C1298" s="12" t="s">
        <v>17</v>
      </c>
      <c r="D1298" s="12" t="s">
        <v>27</v>
      </c>
      <c r="E1298" s="13">
        <v>98177</v>
      </c>
      <c r="F1298" s="14">
        <v>39</v>
      </c>
      <c r="G1298" s="15">
        <v>39046</v>
      </c>
      <c r="H1298" s="16">
        <v>0</v>
      </c>
      <c r="I1298" s="13">
        <v>1</v>
      </c>
      <c r="J1298" s="15">
        <v>0</v>
      </c>
      <c r="K1298" s="15">
        <v>1522794</v>
      </c>
      <c r="L1298" s="15">
        <v>1001337.962815625</v>
      </c>
      <c r="M1298" s="15">
        <v>521456.03718437487</v>
      </c>
    </row>
    <row r="1299" spans="1:13" x14ac:dyDescent="0.25">
      <c r="A1299" s="12">
        <v>46224</v>
      </c>
      <c r="B1299" s="12" t="s">
        <v>19</v>
      </c>
      <c r="C1299" s="12" t="s">
        <v>23</v>
      </c>
      <c r="D1299" s="12" t="s">
        <v>15</v>
      </c>
      <c r="E1299" s="13">
        <v>82902</v>
      </c>
      <c r="F1299" s="14">
        <v>28</v>
      </c>
      <c r="G1299" s="15">
        <v>15650</v>
      </c>
      <c r="H1299" s="16">
        <v>0.2</v>
      </c>
      <c r="I1299" s="13">
        <v>5</v>
      </c>
      <c r="J1299" s="15">
        <v>87640</v>
      </c>
      <c r="K1299" s="15">
        <v>350560</v>
      </c>
      <c r="L1299" s="15">
        <v>279039.26403549802</v>
      </c>
      <c r="M1299" s="15">
        <v>71520.735964502033</v>
      </c>
    </row>
    <row r="1300" spans="1:13" x14ac:dyDescent="0.25">
      <c r="A1300" s="12">
        <v>46225</v>
      </c>
      <c r="B1300" s="12" t="s">
        <v>19</v>
      </c>
      <c r="C1300" s="12" t="s">
        <v>20</v>
      </c>
      <c r="D1300" s="12" t="s">
        <v>26</v>
      </c>
      <c r="E1300" s="13">
        <v>25630</v>
      </c>
      <c r="F1300" s="14">
        <v>14</v>
      </c>
      <c r="G1300" s="15">
        <v>17299</v>
      </c>
      <c r="H1300" s="16">
        <v>0.15</v>
      </c>
      <c r="I1300" s="13">
        <v>2</v>
      </c>
      <c r="J1300" s="15">
        <v>36327.9</v>
      </c>
      <c r="K1300" s="15">
        <v>205858.1</v>
      </c>
      <c r="L1300" s="15">
        <v>126831.06032536281</v>
      </c>
      <c r="M1300" s="15">
        <v>79027.039674637243</v>
      </c>
    </row>
    <row r="1301" spans="1:13" x14ac:dyDescent="0.25">
      <c r="A1301" s="12">
        <v>46226</v>
      </c>
      <c r="B1301" s="12" t="s">
        <v>24</v>
      </c>
      <c r="C1301" s="12" t="s">
        <v>21</v>
      </c>
      <c r="D1301" s="12" t="s">
        <v>26</v>
      </c>
      <c r="E1301" s="13">
        <v>30056</v>
      </c>
      <c r="F1301" s="14">
        <v>38</v>
      </c>
      <c r="G1301" s="15">
        <v>10163</v>
      </c>
      <c r="H1301" s="16">
        <v>0.05</v>
      </c>
      <c r="I1301" s="13">
        <v>5</v>
      </c>
      <c r="J1301" s="15">
        <v>19309.7</v>
      </c>
      <c r="K1301" s="15">
        <v>366884.3</v>
      </c>
      <c r="L1301" s="15">
        <v>254625.6540113099</v>
      </c>
      <c r="M1301" s="15">
        <v>112258.6459886901</v>
      </c>
    </row>
    <row r="1302" spans="1:13" x14ac:dyDescent="0.25">
      <c r="A1302" s="12">
        <v>46227</v>
      </c>
      <c r="B1302" s="12" t="s">
        <v>13</v>
      </c>
      <c r="C1302" s="12" t="s">
        <v>17</v>
      </c>
      <c r="D1302" s="12" t="s">
        <v>18</v>
      </c>
      <c r="E1302" s="13">
        <v>17382</v>
      </c>
      <c r="F1302" s="14">
        <v>4</v>
      </c>
      <c r="G1302" s="15">
        <v>37448</v>
      </c>
      <c r="H1302" s="16">
        <v>0.2</v>
      </c>
      <c r="I1302" s="13">
        <v>3</v>
      </c>
      <c r="J1302" s="15">
        <v>29958.400000000001</v>
      </c>
      <c r="K1302" s="15">
        <v>119833.60000000001</v>
      </c>
      <c r="L1302" s="15">
        <v>77272.248836557759</v>
      </c>
      <c r="M1302" s="15">
        <v>42561.351163442247</v>
      </c>
    </row>
    <row r="1303" spans="1:13" x14ac:dyDescent="0.25">
      <c r="A1303" s="12">
        <v>46228</v>
      </c>
      <c r="B1303" s="12" t="s">
        <v>16</v>
      </c>
      <c r="C1303" s="12" t="s">
        <v>17</v>
      </c>
      <c r="D1303" s="12" t="s">
        <v>22</v>
      </c>
      <c r="E1303" s="13">
        <v>65739</v>
      </c>
      <c r="F1303" s="14">
        <v>42</v>
      </c>
      <c r="G1303" s="15">
        <v>37530</v>
      </c>
      <c r="H1303" s="16">
        <v>0.05</v>
      </c>
      <c r="I1303" s="13">
        <v>1</v>
      </c>
      <c r="J1303" s="15">
        <v>78813</v>
      </c>
      <c r="K1303" s="15">
        <v>1497447</v>
      </c>
      <c r="L1303" s="15">
        <v>1159103.209326813</v>
      </c>
      <c r="M1303" s="15">
        <v>338343.79067318683</v>
      </c>
    </row>
    <row r="1304" spans="1:13" x14ac:dyDescent="0.25">
      <c r="A1304" s="12">
        <v>46229</v>
      </c>
      <c r="B1304" s="12" t="s">
        <v>13</v>
      </c>
      <c r="C1304" s="12" t="s">
        <v>21</v>
      </c>
      <c r="D1304" s="12" t="s">
        <v>15</v>
      </c>
      <c r="E1304" s="13">
        <v>91685</v>
      </c>
      <c r="F1304" s="14">
        <v>18</v>
      </c>
      <c r="G1304" s="15">
        <v>27507</v>
      </c>
      <c r="H1304" s="16">
        <v>0</v>
      </c>
      <c r="I1304" s="13">
        <v>2</v>
      </c>
      <c r="J1304" s="15">
        <v>0</v>
      </c>
      <c r="K1304" s="15">
        <v>495126</v>
      </c>
      <c r="L1304" s="15">
        <v>395372.74019986688</v>
      </c>
      <c r="M1304" s="15">
        <v>99753.259800133063</v>
      </c>
    </row>
    <row r="1305" spans="1:13" x14ac:dyDescent="0.25">
      <c r="A1305" s="12">
        <v>46230</v>
      </c>
      <c r="B1305" s="12" t="s">
        <v>24</v>
      </c>
      <c r="C1305" s="12" t="s">
        <v>20</v>
      </c>
      <c r="D1305" s="12" t="s">
        <v>25</v>
      </c>
      <c r="E1305" s="13">
        <v>58639</v>
      </c>
      <c r="F1305" s="14">
        <v>44</v>
      </c>
      <c r="G1305" s="15">
        <v>35783</v>
      </c>
      <c r="H1305" s="16">
        <v>0.2</v>
      </c>
      <c r="I1305" s="13">
        <v>1</v>
      </c>
      <c r="J1305" s="15">
        <v>314890.40000000002</v>
      </c>
      <c r="K1305" s="15">
        <v>1259561.6000000001</v>
      </c>
      <c r="L1305" s="15">
        <v>1028231.468872973</v>
      </c>
      <c r="M1305" s="15">
        <v>231330.13112702689</v>
      </c>
    </row>
    <row r="1306" spans="1:13" x14ac:dyDescent="0.25">
      <c r="A1306" s="12">
        <v>46231</v>
      </c>
      <c r="B1306" s="12" t="s">
        <v>24</v>
      </c>
      <c r="C1306" s="12" t="s">
        <v>14</v>
      </c>
      <c r="D1306" s="12" t="s">
        <v>26</v>
      </c>
      <c r="E1306" s="13">
        <v>69838</v>
      </c>
      <c r="F1306" s="14">
        <v>48</v>
      </c>
      <c r="G1306" s="15">
        <v>26171</v>
      </c>
      <c r="H1306" s="16">
        <v>0.15</v>
      </c>
      <c r="I1306" s="13">
        <v>1</v>
      </c>
      <c r="J1306" s="15">
        <v>188431.2</v>
      </c>
      <c r="K1306" s="15">
        <v>1067776.8</v>
      </c>
      <c r="L1306" s="15">
        <v>722425.07161842356</v>
      </c>
      <c r="M1306" s="15">
        <v>345351.72838157648</v>
      </c>
    </row>
    <row r="1307" spans="1:13" x14ac:dyDescent="0.25">
      <c r="A1307" s="12">
        <v>46232</v>
      </c>
      <c r="B1307" s="12" t="s">
        <v>13</v>
      </c>
      <c r="C1307" s="12" t="s">
        <v>21</v>
      </c>
      <c r="D1307" s="12" t="s">
        <v>25</v>
      </c>
      <c r="E1307" s="13">
        <v>56041</v>
      </c>
      <c r="F1307" s="14">
        <v>25</v>
      </c>
      <c r="G1307" s="15">
        <v>25885</v>
      </c>
      <c r="H1307" s="16">
        <v>0.05</v>
      </c>
      <c r="I1307" s="13">
        <v>3</v>
      </c>
      <c r="J1307" s="15">
        <v>32356.25</v>
      </c>
      <c r="K1307" s="15">
        <v>614768.75</v>
      </c>
      <c r="L1307" s="15">
        <v>385321.63747542992</v>
      </c>
      <c r="M1307" s="15">
        <v>229447.11252457011</v>
      </c>
    </row>
    <row r="1308" spans="1:13" x14ac:dyDescent="0.25">
      <c r="A1308" s="12">
        <v>46233</v>
      </c>
      <c r="B1308" s="12" t="s">
        <v>16</v>
      </c>
      <c r="C1308" s="12" t="s">
        <v>20</v>
      </c>
      <c r="D1308" s="12" t="s">
        <v>26</v>
      </c>
      <c r="E1308" s="13">
        <v>10992</v>
      </c>
      <c r="F1308" s="14">
        <v>7</v>
      </c>
      <c r="G1308" s="15">
        <v>11736</v>
      </c>
      <c r="H1308" s="16">
        <v>0</v>
      </c>
      <c r="I1308" s="13">
        <v>5</v>
      </c>
      <c r="J1308" s="15">
        <v>0</v>
      </c>
      <c r="K1308" s="15">
        <v>82152</v>
      </c>
      <c r="L1308" s="15">
        <v>51230.405935527233</v>
      </c>
      <c r="M1308" s="15">
        <v>30921.594064472771</v>
      </c>
    </row>
    <row r="1309" spans="1:13" x14ac:dyDescent="0.25">
      <c r="A1309" s="12">
        <v>46234</v>
      </c>
      <c r="B1309" s="12" t="s">
        <v>16</v>
      </c>
      <c r="C1309" s="12" t="s">
        <v>21</v>
      </c>
      <c r="D1309" s="12" t="s">
        <v>25</v>
      </c>
      <c r="E1309" s="13">
        <v>82394</v>
      </c>
      <c r="F1309" s="14">
        <v>38</v>
      </c>
      <c r="G1309" s="15">
        <v>22524</v>
      </c>
      <c r="H1309" s="16">
        <v>0.2</v>
      </c>
      <c r="I1309" s="13">
        <v>1</v>
      </c>
      <c r="J1309" s="15">
        <v>171182.4</v>
      </c>
      <c r="K1309" s="15">
        <v>684729.6</v>
      </c>
      <c r="L1309" s="15">
        <v>498377.33379301341</v>
      </c>
      <c r="M1309" s="15">
        <v>186352.26620698659</v>
      </c>
    </row>
    <row r="1310" spans="1:13" x14ac:dyDescent="0.25">
      <c r="A1310" s="12">
        <v>46235</v>
      </c>
      <c r="B1310" s="12" t="s">
        <v>19</v>
      </c>
      <c r="C1310" s="12" t="s">
        <v>21</v>
      </c>
      <c r="D1310" s="12" t="s">
        <v>15</v>
      </c>
      <c r="E1310" s="13">
        <v>77657</v>
      </c>
      <c r="F1310" s="14">
        <v>28</v>
      </c>
      <c r="G1310" s="15">
        <v>47372</v>
      </c>
      <c r="H1310" s="16">
        <v>0.05</v>
      </c>
      <c r="I1310" s="13">
        <v>4</v>
      </c>
      <c r="J1310" s="15">
        <v>66320.800000000003</v>
      </c>
      <c r="K1310" s="15">
        <v>1260095.2</v>
      </c>
      <c r="L1310" s="15">
        <v>1113613.319942029</v>
      </c>
      <c r="M1310" s="15">
        <v>146481.88005797079</v>
      </c>
    </row>
    <row r="1311" spans="1:13" x14ac:dyDescent="0.25">
      <c r="A1311" s="12">
        <v>46236</v>
      </c>
      <c r="B1311" s="12" t="s">
        <v>16</v>
      </c>
      <c r="C1311" s="12" t="s">
        <v>23</v>
      </c>
      <c r="D1311" s="12" t="s">
        <v>22</v>
      </c>
      <c r="E1311" s="13">
        <v>37160</v>
      </c>
      <c r="F1311" s="14">
        <v>5</v>
      </c>
      <c r="G1311" s="15">
        <v>39884</v>
      </c>
      <c r="H1311" s="16">
        <v>0.05</v>
      </c>
      <c r="I1311" s="13">
        <v>3</v>
      </c>
      <c r="J1311" s="15">
        <v>9971</v>
      </c>
      <c r="K1311" s="15">
        <v>189449</v>
      </c>
      <c r="L1311" s="15">
        <v>126043.9643427194</v>
      </c>
      <c r="M1311" s="15">
        <v>63405.035657280627</v>
      </c>
    </row>
    <row r="1312" spans="1:13" x14ac:dyDescent="0.25">
      <c r="A1312" s="12">
        <v>46237</v>
      </c>
      <c r="B1312" s="12" t="s">
        <v>13</v>
      </c>
      <c r="C1312" s="12" t="s">
        <v>20</v>
      </c>
      <c r="D1312" s="12" t="s">
        <v>15</v>
      </c>
      <c r="E1312" s="13">
        <v>55156</v>
      </c>
      <c r="F1312" s="14">
        <v>3</v>
      </c>
      <c r="G1312" s="15">
        <v>17876</v>
      </c>
      <c r="H1312" s="16">
        <v>0.15</v>
      </c>
      <c r="I1312" s="13">
        <v>4</v>
      </c>
      <c r="J1312" s="15">
        <v>8044.2</v>
      </c>
      <c r="K1312" s="15">
        <v>45583.8</v>
      </c>
      <c r="L1312" s="15">
        <v>30861.25734216988</v>
      </c>
      <c r="M1312" s="15">
        <v>14722.54265783013</v>
      </c>
    </row>
    <row r="1313" spans="1:13" x14ac:dyDescent="0.25">
      <c r="A1313" s="12">
        <v>46238</v>
      </c>
      <c r="B1313" s="12" t="s">
        <v>24</v>
      </c>
      <c r="C1313" s="12" t="s">
        <v>14</v>
      </c>
      <c r="D1313" s="12" t="s">
        <v>18</v>
      </c>
      <c r="E1313" s="13">
        <v>61375</v>
      </c>
      <c r="F1313" s="14">
        <v>44</v>
      </c>
      <c r="G1313" s="15">
        <v>37638</v>
      </c>
      <c r="H1313" s="16">
        <v>0</v>
      </c>
      <c r="I1313" s="13">
        <v>3</v>
      </c>
      <c r="J1313" s="15">
        <v>0</v>
      </c>
      <c r="K1313" s="15">
        <v>1656072</v>
      </c>
      <c r="L1313" s="15">
        <v>1043766.936084316</v>
      </c>
      <c r="M1313" s="15">
        <v>612305.06391568389</v>
      </c>
    </row>
    <row r="1314" spans="1:13" x14ac:dyDescent="0.25">
      <c r="A1314" s="12">
        <v>46239</v>
      </c>
      <c r="B1314" s="12" t="s">
        <v>19</v>
      </c>
      <c r="C1314" s="12" t="s">
        <v>23</v>
      </c>
      <c r="D1314" s="12" t="s">
        <v>27</v>
      </c>
      <c r="E1314" s="13">
        <v>96442</v>
      </c>
      <c r="F1314" s="14">
        <v>31</v>
      </c>
      <c r="G1314" s="15">
        <v>18657</v>
      </c>
      <c r="H1314" s="16">
        <v>0.1</v>
      </c>
      <c r="I1314" s="13">
        <v>4</v>
      </c>
      <c r="J1314" s="15">
        <v>57836.7</v>
      </c>
      <c r="K1314" s="15">
        <v>520530.3</v>
      </c>
      <c r="L1314" s="15">
        <v>406883.48290232691</v>
      </c>
      <c r="M1314" s="15">
        <v>113646.81709767311</v>
      </c>
    </row>
    <row r="1315" spans="1:13" x14ac:dyDescent="0.25">
      <c r="A1315" s="12">
        <v>46240</v>
      </c>
      <c r="B1315" s="12" t="s">
        <v>19</v>
      </c>
      <c r="C1315" s="12" t="s">
        <v>21</v>
      </c>
      <c r="D1315" s="12" t="s">
        <v>22</v>
      </c>
      <c r="E1315" s="13">
        <v>29572</v>
      </c>
      <c r="F1315" s="14">
        <v>47</v>
      </c>
      <c r="G1315" s="15">
        <v>20445</v>
      </c>
      <c r="H1315" s="16">
        <v>0.05</v>
      </c>
      <c r="I1315" s="13">
        <v>4</v>
      </c>
      <c r="J1315" s="15">
        <v>48045.75</v>
      </c>
      <c r="K1315" s="15">
        <v>912869.25</v>
      </c>
      <c r="L1315" s="15">
        <v>733912.06216065062</v>
      </c>
      <c r="M1315" s="15">
        <v>178957.18783934941</v>
      </c>
    </row>
    <row r="1316" spans="1:13" x14ac:dyDescent="0.25">
      <c r="A1316" s="12">
        <v>46241</v>
      </c>
      <c r="B1316" s="12" t="s">
        <v>24</v>
      </c>
      <c r="C1316" s="12" t="s">
        <v>21</v>
      </c>
      <c r="D1316" s="12" t="s">
        <v>15</v>
      </c>
      <c r="E1316" s="13">
        <v>14136</v>
      </c>
      <c r="F1316" s="14">
        <v>42</v>
      </c>
      <c r="G1316" s="15">
        <v>37084</v>
      </c>
      <c r="H1316" s="16">
        <v>0.2</v>
      </c>
      <c r="I1316" s="13">
        <v>1</v>
      </c>
      <c r="J1316" s="15">
        <v>311505.59999999998</v>
      </c>
      <c r="K1316" s="15">
        <v>1246022.3999999999</v>
      </c>
      <c r="L1316" s="15">
        <v>987945.44610821083</v>
      </c>
      <c r="M1316" s="15">
        <v>258076.9538917891</v>
      </c>
    </row>
    <row r="1317" spans="1:13" x14ac:dyDescent="0.25">
      <c r="A1317" s="12">
        <v>46242</v>
      </c>
      <c r="B1317" s="12" t="s">
        <v>16</v>
      </c>
      <c r="C1317" s="12" t="s">
        <v>21</v>
      </c>
      <c r="D1317" s="12" t="s">
        <v>18</v>
      </c>
      <c r="E1317" s="13">
        <v>71868</v>
      </c>
      <c r="F1317" s="14">
        <v>20</v>
      </c>
      <c r="G1317" s="15">
        <v>23517</v>
      </c>
      <c r="H1317" s="16">
        <v>0.15</v>
      </c>
      <c r="I1317" s="13">
        <v>1</v>
      </c>
      <c r="J1317" s="15">
        <v>70551</v>
      </c>
      <c r="K1317" s="15">
        <v>399789</v>
      </c>
      <c r="L1317" s="15">
        <v>343154.51962098898</v>
      </c>
      <c r="M1317" s="15">
        <v>56634.480379011024</v>
      </c>
    </row>
    <row r="1318" spans="1:13" x14ac:dyDescent="0.25">
      <c r="A1318" s="12">
        <v>46243</v>
      </c>
      <c r="B1318" s="12" t="s">
        <v>24</v>
      </c>
      <c r="C1318" s="12" t="s">
        <v>20</v>
      </c>
      <c r="D1318" s="12" t="s">
        <v>27</v>
      </c>
      <c r="E1318" s="13">
        <v>92263</v>
      </c>
      <c r="F1318" s="14">
        <v>19</v>
      </c>
      <c r="G1318" s="15">
        <v>2256</v>
      </c>
      <c r="H1318" s="16">
        <v>0.15</v>
      </c>
      <c r="I1318" s="13">
        <v>3</v>
      </c>
      <c r="J1318" s="15">
        <v>6429.5999999999995</v>
      </c>
      <c r="K1318" s="15">
        <v>36434.400000000001</v>
      </c>
      <c r="L1318" s="15">
        <v>27177.43003310217</v>
      </c>
      <c r="M1318" s="15">
        <v>9256.9699668978319</v>
      </c>
    </row>
    <row r="1319" spans="1:13" x14ac:dyDescent="0.25">
      <c r="A1319" s="12">
        <v>46244</v>
      </c>
      <c r="B1319" s="12" t="s">
        <v>16</v>
      </c>
      <c r="C1319" s="12" t="s">
        <v>20</v>
      </c>
      <c r="D1319" s="12" t="s">
        <v>18</v>
      </c>
      <c r="E1319" s="13">
        <v>42167</v>
      </c>
      <c r="F1319" s="14">
        <v>48</v>
      </c>
      <c r="G1319" s="15">
        <v>35641</v>
      </c>
      <c r="H1319" s="16">
        <v>0.05</v>
      </c>
      <c r="I1319" s="13">
        <v>5</v>
      </c>
      <c r="J1319" s="15">
        <v>85538.400000000009</v>
      </c>
      <c r="K1319" s="15">
        <v>1625229.6</v>
      </c>
      <c r="L1319" s="15">
        <v>1040694.828774912</v>
      </c>
      <c r="M1319" s="15">
        <v>584534.77122508804</v>
      </c>
    </row>
    <row r="1320" spans="1:13" x14ac:dyDescent="0.25">
      <c r="A1320" s="12">
        <v>46245</v>
      </c>
      <c r="B1320" s="12" t="s">
        <v>24</v>
      </c>
      <c r="C1320" s="12" t="s">
        <v>23</v>
      </c>
      <c r="D1320" s="12" t="s">
        <v>26</v>
      </c>
      <c r="E1320" s="13">
        <v>25479</v>
      </c>
      <c r="F1320" s="14">
        <v>11</v>
      </c>
      <c r="G1320" s="15">
        <v>3076</v>
      </c>
      <c r="H1320" s="16">
        <v>0.05</v>
      </c>
      <c r="I1320" s="13">
        <v>1</v>
      </c>
      <c r="J1320" s="15">
        <v>1691.8</v>
      </c>
      <c r="K1320" s="15">
        <v>32144.2</v>
      </c>
      <c r="L1320" s="15">
        <v>22077.328920716631</v>
      </c>
      <c r="M1320" s="15">
        <v>10066.87107928337</v>
      </c>
    </row>
    <row r="1321" spans="1:13" x14ac:dyDescent="0.25">
      <c r="A1321" s="12">
        <v>46246</v>
      </c>
      <c r="B1321" s="12" t="s">
        <v>13</v>
      </c>
      <c r="C1321" s="12" t="s">
        <v>14</v>
      </c>
      <c r="D1321" s="12" t="s">
        <v>26</v>
      </c>
      <c r="E1321" s="13">
        <v>41376</v>
      </c>
      <c r="F1321" s="14">
        <v>40</v>
      </c>
      <c r="G1321" s="15">
        <v>25967</v>
      </c>
      <c r="H1321" s="16">
        <v>0.05</v>
      </c>
      <c r="I1321" s="13">
        <v>1</v>
      </c>
      <c r="J1321" s="15">
        <v>51934</v>
      </c>
      <c r="K1321" s="15">
        <v>986746</v>
      </c>
      <c r="L1321" s="15">
        <v>788142.63796608755</v>
      </c>
      <c r="M1321" s="15">
        <v>198603.36203391239</v>
      </c>
    </row>
    <row r="1322" spans="1:13" x14ac:dyDescent="0.25">
      <c r="A1322" s="12">
        <v>46247</v>
      </c>
      <c r="B1322" s="12" t="s">
        <v>16</v>
      </c>
      <c r="C1322" s="12" t="s">
        <v>23</v>
      </c>
      <c r="D1322" s="12" t="s">
        <v>25</v>
      </c>
      <c r="E1322" s="13">
        <v>14823</v>
      </c>
      <c r="F1322" s="14">
        <v>3</v>
      </c>
      <c r="G1322" s="15">
        <v>37452</v>
      </c>
      <c r="H1322" s="16">
        <v>0.1</v>
      </c>
      <c r="I1322" s="13">
        <v>2</v>
      </c>
      <c r="J1322" s="15">
        <v>11235.6</v>
      </c>
      <c r="K1322" s="15">
        <v>101120.4</v>
      </c>
      <c r="L1322" s="15">
        <v>79271.981770060796</v>
      </c>
      <c r="M1322" s="15">
        <v>21848.418229939201</v>
      </c>
    </row>
    <row r="1323" spans="1:13" x14ac:dyDescent="0.25">
      <c r="A1323" s="12">
        <v>46248</v>
      </c>
      <c r="B1323" s="12" t="s">
        <v>13</v>
      </c>
      <c r="C1323" s="12" t="s">
        <v>17</v>
      </c>
      <c r="D1323" s="12" t="s">
        <v>22</v>
      </c>
      <c r="E1323" s="13">
        <v>80456</v>
      </c>
      <c r="F1323" s="14">
        <v>23</v>
      </c>
      <c r="G1323" s="15">
        <v>31705</v>
      </c>
      <c r="H1323" s="16">
        <v>0.05</v>
      </c>
      <c r="I1323" s="13">
        <v>1</v>
      </c>
      <c r="J1323" s="15">
        <v>36460.75</v>
      </c>
      <c r="K1323" s="15">
        <v>692754.25</v>
      </c>
      <c r="L1323" s="15">
        <v>526008.95246782165</v>
      </c>
      <c r="M1323" s="15">
        <v>166745.29753217829</v>
      </c>
    </row>
    <row r="1324" spans="1:13" x14ac:dyDescent="0.25">
      <c r="A1324" s="12">
        <v>46249</v>
      </c>
      <c r="B1324" s="12" t="s">
        <v>19</v>
      </c>
      <c r="C1324" s="12" t="s">
        <v>21</v>
      </c>
      <c r="D1324" s="12" t="s">
        <v>26</v>
      </c>
      <c r="E1324" s="13">
        <v>29585</v>
      </c>
      <c r="F1324" s="14">
        <v>7</v>
      </c>
      <c r="G1324" s="15">
        <v>35665</v>
      </c>
      <c r="H1324" s="16">
        <v>0</v>
      </c>
      <c r="I1324" s="13">
        <v>5</v>
      </c>
      <c r="J1324" s="15">
        <v>0</v>
      </c>
      <c r="K1324" s="15">
        <v>249655</v>
      </c>
      <c r="L1324" s="15">
        <v>200944.64458431731</v>
      </c>
      <c r="M1324" s="15">
        <v>48710.355415682723</v>
      </c>
    </row>
    <row r="1325" spans="1:13" x14ac:dyDescent="0.25">
      <c r="A1325" s="12">
        <v>46250</v>
      </c>
      <c r="B1325" s="12" t="s">
        <v>24</v>
      </c>
      <c r="C1325" s="12" t="s">
        <v>21</v>
      </c>
      <c r="D1325" s="12" t="s">
        <v>18</v>
      </c>
      <c r="E1325" s="13">
        <v>27272</v>
      </c>
      <c r="F1325" s="14">
        <v>23</v>
      </c>
      <c r="G1325" s="15">
        <v>13174</v>
      </c>
      <c r="H1325" s="16">
        <v>0.2</v>
      </c>
      <c r="I1325" s="13">
        <v>2</v>
      </c>
      <c r="J1325" s="15">
        <v>60600.4</v>
      </c>
      <c r="K1325" s="15">
        <v>242401.6</v>
      </c>
      <c r="L1325" s="15">
        <v>191792.32858675451</v>
      </c>
      <c r="M1325" s="15">
        <v>50609.2714132455</v>
      </c>
    </row>
    <row r="1326" spans="1:13" x14ac:dyDescent="0.25">
      <c r="A1326" s="12">
        <v>46251</v>
      </c>
      <c r="B1326" s="12" t="s">
        <v>19</v>
      </c>
      <c r="C1326" s="12" t="s">
        <v>21</v>
      </c>
      <c r="D1326" s="12" t="s">
        <v>22</v>
      </c>
      <c r="E1326" s="13">
        <v>36619</v>
      </c>
      <c r="F1326" s="14">
        <v>7</v>
      </c>
      <c r="G1326" s="15">
        <v>43594</v>
      </c>
      <c r="H1326" s="16">
        <v>0.05</v>
      </c>
      <c r="I1326" s="13">
        <v>4</v>
      </c>
      <c r="J1326" s="15">
        <v>15257.9</v>
      </c>
      <c r="K1326" s="15">
        <v>289900.09999999998</v>
      </c>
      <c r="L1326" s="15">
        <v>250588.91207651349</v>
      </c>
      <c r="M1326" s="15">
        <v>39311.187923486432</v>
      </c>
    </row>
    <row r="1327" spans="1:13" x14ac:dyDescent="0.25">
      <c r="A1327" s="12">
        <v>46252</v>
      </c>
      <c r="B1327" s="12" t="s">
        <v>19</v>
      </c>
      <c r="C1327" s="12" t="s">
        <v>23</v>
      </c>
      <c r="D1327" s="12" t="s">
        <v>26</v>
      </c>
      <c r="E1327" s="13">
        <v>85069</v>
      </c>
      <c r="F1327" s="14">
        <v>46</v>
      </c>
      <c r="G1327" s="15">
        <v>43814</v>
      </c>
      <c r="H1327" s="16">
        <v>0.1</v>
      </c>
      <c r="I1327" s="13">
        <v>4</v>
      </c>
      <c r="J1327" s="15">
        <v>201544.4</v>
      </c>
      <c r="K1327" s="15">
        <v>1813899.6</v>
      </c>
      <c r="L1327" s="15">
        <v>1407232.2218104</v>
      </c>
      <c r="M1327" s="15">
        <v>406667.37818960048</v>
      </c>
    </row>
    <row r="1328" spans="1:13" x14ac:dyDescent="0.25">
      <c r="A1328" s="12">
        <v>46253</v>
      </c>
      <c r="B1328" s="12" t="s">
        <v>19</v>
      </c>
      <c r="C1328" s="12" t="s">
        <v>23</v>
      </c>
      <c r="D1328" s="12" t="s">
        <v>25</v>
      </c>
      <c r="E1328" s="13">
        <v>49895</v>
      </c>
      <c r="F1328" s="14">
        <v>34</v>
      </c>
      <c r="G1328" s="15">
        <v>22853</v>
      </c>
      <c r="H1328" s="16">
        <v>0.2</v>
      </c>
      <c r="I1328" s="13">
        <v>2</v>
      </c>
      <c r="J1328" s="15">
        <v>155400.4</v>
      </c>
      <c r="K1328" s="15">
        <v>621601.6</v>
      </c>
      <c r="L1328" s="15">
        <v>518154.91509913187</v>
      </c>
      <c r="M1328" s="15">
        <v>103446.684900868</v>
      </c>
    </row>
    <row r="1329" spans="1:13" x14ac:dyDescent="0.25">
      <c r="A1329" s="12">
        <v>46254</v>
      </c>
      <c r="B1329" s="12" t="s">
        <v>19</v>
      </c>
      <c r="C1329" s="12" t="s">
        <v>21</v>
      </c>
      <c r="D1329" s="12" t="s">
        <v>15</v>
      </c>
      <c r="E1329" s="13">
        <v>13720</v>
      </c>
      <c r="F1329" s="14">
        <v>42</v>
      </c>
      <c r="G1329" s="15">
        <v>30349</v>
      </c>
      <c r="H1329" s="16">
        <v>0.15</v>
      </c>
      <c r="I1329" s="13">
        <v>2</v>
      </c>
      <c r="J1329" s="15">
        <v>191198.7</v>
      </c>
      <c r="K1329" s="15">
        <v>1083459.3</v>
      </c>
      <c r="L1329" s="15">
        <v>730914.80433252605</v>
      </c>
      <c r="M1329" s="15">
        <v>352544.495667474</v>
      </c>
    </row>
    <row r="1330" spans="1:13" x14ac:dyDescent="0.25">
      <c r="A1330" s="12">
        <v>46255</v>
      </c>
      <c r="B1330" s="12" t="s">
        <v>24</v>
      </c>
      <c r="C1330" s="12" t="s">
        <v>23</v>
      </c>
      <c r="D1330" s="12" t="s">
        <v>25</v>
      </c>
      <c r="E1330" s="13">
        <v>29267</v>
      </c>
      <c r="F1330" s="14">
        <v>19</v>
      </c>
      <c r="G1330" s="15">
        <v>5035</v>
      </c>
      <c r="H1330" s="16">
        <v>0.05</v>
      </c>
      <c r="I1330" s="13">
        <v>2</v>
      </c>
      <c r="J1330" s="15">
        <v>4783.25</v>
      </c>
      <c r="K1330" s="15">
        <v>90881.75</v>
      </c>
      <c r="L1330" s="15">
        <v>73019.376032093263</v>
      </c>
      <c r="M1330" s="15">
        <v>17862.37396790674</v>
      </c>
    </row>
    <row r="1331" spans="1:13" x14ac:dyDescent="0.25">
      <c r="A1331" s="12">
        <v>46256</v>
      </c>
      <c r="B1331" s="12" t="s">
        <v>19</v>
      </c>
      <c r="C1331" s="12" t="s">
        <v>20</v>
      </c>
      <c r="D1331" s="12" t="s">
        <v>27</v>
      </c>
      <c r="E1331" s="13">
        <v>25696</v>
      </c>
      <c r="F1331" s="14">
        <v>9</v>
      </c>
      <c r="G1331" s="15">
        <v>47867</v>
      </c>
      <c r="H1331" s="16">
        <v>0.2</v>
      </c>
      <c r="I1331" s="13">
        <v>3</v>
      </c>
      <c r="J1331" s="15">
        <v>86160.6</v>
      </c>
      <c r="K1331" s="15">
        <v>344642.4</v>
      </c>
      <c r="L1331" s="15">
        <v>300065.74386758677</v>
      </c>
      <c r="M1331" s="15">
        <v>44576.656132413191</v>
      </c>
    </row>
    <row r="1332" spans="1:13" x14ac:dyDescent="0.25">
      <c r="A1332" s="12">
        <v>46257</v>
      </c>
      <c r="B1332" s="12" t="s">
        <v>24</v>
      </c>
      <c r="C1332" s="12" t="s">
        <v>20</v>
      </c>
      <c r="D1332" s="12" t="s">
        <v>26</v>
      </c>
      <c r="E1332" s="13">
        <v>39968</v>
      </c>
      <c r="F1332" s="14">
        <v>48</v>
      </c>
      <c r="G1332" s="15">
        <v>42436</v>
      </c>
      <c r="H1332" s="16">
        <v>0.15</v>
      </c>
      <c r="I1332" s="13">
        <v>5</v>
      </c>
      <c r="J1332" s="15">
        <v>305539.20000000001</v>
      </c>
      <c r="K1332" s="15">
        <v>1731388.8</v>
      </c>
      <c r="L1332" s="15">
        <v>1239189.06969711</v>
      </c>
      <c r="M1332" s="15">
        <v>492199.7303028903</v>
      </c>
    </row>
    <row r="1333" spans="1:13" x14ac:dyDescent="0.25">
      <c r="A1333" s="12">
        <v>46258</v>
      </c>
      <c r="B1333" s="12" t="s">
        <v>24</v>
      </c>
      <c r="C1333" s="12" t="s">
        <v>23</v>
      </c>
      <c r="D1333" s="12" t="s">
        <v>27</v>
      </c>
      <c r="E1333" s="13">
        <v>63364</v>
      </c>
      <c r="F1333" s="14">
        <v>18</v>
      </c>
      <c r="G1333" s="15">
        <v>17618</v>
      </c>
      <c r="H1333" s="16">
        <v>0.1</v>
      </c>
      <c r="I1333" s="13">
        <v>5</v>
      </c>
      <c r="J1333" s="15">
        <v>31712.400000000001</v>
      </c>
      <c r="K1333" s="15">
        <v>285411.59999999998</v>
      </c>
      <c r="L1333" s="15">
        <v>237956.57180250681</v>
      </c>
      <c r="M1333" s="15">
        <v>47455.028197493142</v>
      </c>
    </row>
    <row r="1334" spans="1:13" x14ac:dyDescent="0.25">
      <c r="A1334" s="12">
        <v>46259</v>
      </c>
      <c r="B1334" s="12" t="s">
        <v>13</v>
      </c>
      <c r="C1334" s="12" t="s">
        <v>21</v>
      </c>
      <c r="D1334" s="12" t="s">
        <v>27</v>
      </c>
      <c r="E1334" s="13">
        <v>33345</v>
      </c>
      <c r="F1334" s="14">
        <v>41</v>
      </c>
      <c r="G1334" s="15">
        <v>1132</v>
      </c>
      <c r="H1334" s="16">
        <v>0</v>
      </c>
      <c r="I1334" s="13">
        <v>4</v>
      </c>
      <c r="J1334" s="15">
        <v>0</v>
      </c>
      <c r="K1334" s="15">
        <v>46412</v>
      </c>
      <c r="L1334" s="15">
        <v>37938.876314124762</v>
      </c>
      <c r="M1334" s="15">
        <v>8473.1236858752382</v>
      </c>
    </row>
    <row r="1335" spans="1:13" x14ac:dyDescent="0.25">
      <c r="A1335" s="12">
        <v>46260</v>
      </c>
      <c r="B1335" s="12" t="s">
        <v>16</v>
      </c>
      <c r="C1335" s="12" t="s">
        <v>23</v>
      </c>
      <c r="D1335" s="12" t="s">
        <v>18</v>
      </c>
      <c r="E1335" s="13">
        <v>61567</v>
      </c>
      <c r="F1335" s="14">
        <v>48</v>
      </c>
      <c r="G1335" s="15">
        <v>13780</v>
      </c>
      <c r="H1335" s="16">
        <v>0.05</v>
      </c>
      <c r="I1335" s="13">
        <v>4</v>
      </c>
      <c r="J1335" s="15">
        <v>33072</v>
      </c>
      <c r="K1335" s="15">
        <v>628368</v>
      </c>
      <c r="L1335" s="15">
        <v>388242.10718278599</v>
      </c>
      <c r="M1335" s="15">
        <v>240125.89281721399</v>
      </c>
    </row>
    <row r="1336" spans="1:13" x14ac:dyDescent="0.25">
      <c r="A1336" s="12">
        <v>46261</v>
      </c>
      <c r="B1336" s="12" t="s">
        <v>16</v>
      </c>
      <c r="C1336" s="12" t="s">
        <v>23</v>
      </c>
      <c r="D1336" s="12" t="s">
        <v>22</v>
      </c>
      <c r="E1336" s="13">
        <v>71607</v>
      </c>
      <c r="F1336" s="14">
        <v>45</v>
      </c>
      <c r="G1336" s="15">
        <v>15246</v>
      </c>
      <c r="H1336" s="16">
        <v>0</v>
      </c>
      <c r="I1336" s="13">
        <v>4</v>
      </c>
      <c r="J1336" s="15">
        <v>0</v>
      </c>
      <c r="K1336" s="15">
        <v>686070</v>
      </c>
      <c r="L1336" s="15">
        <v>531328.62179513625</v>
      </c>
      <c r="M1336" s="15">
        <v>154741.37820486381</v>
      </c>
    </row>
    <row r="1337" spans="1:13" x14ac:dyDescent="0.25">
      <c r="A1337" s="12">
        <v>46262</v>
      </c>
      <c r="B1337" s="12" t="s">
        <v>24</v>
      </c>
      <c r="C1337" s="12" t="s">
        <v>23</v>
      </c>
      <c r="D1337" s="12" t="s">
        <v>18</v>
      </c>
      <c r="E1337" s="13">
        <v>29385</v>
      </c>
      <c r="F1337" s="14">
        <v>42</v>
      </c>
      <c r="G1337" s="15">
        <v>37536</v>
      </c>
      <c r="H1337" s="16">
        <v>0.1</v>
      </c>
      <c r="I1337" s="13">
        <v>1</v>
      </c>
      <c r="J1337" s="15">
        <v>157651.20000000001</v>
      </c>
      <c r="K1337" s="15">
        <v>1418860.8</v>
      </c>
      <c r="L1337" s="15">
        <v>906732.64924755902</v>
      </c>
      <c r="M1337" s="15">
        <v>512128.15075244103</v>
      </c>
    </row>
    <row r="1338" spans="1:13" x14ac:dyDescent="0.25">
      <c r="A1338" s="12">
        <v>46263</v>
      </c>
      <c r="B1338" s="12" t="s">
        <v>13</v>
      </c>
      <c r="C1338" s="12" t="s">
        <v>17</v>
      </c>
      <c r="D1338" s="12" t="s">
        <v>26</v>
      </c>
      <c r="E1338" s="13">
        <v>93658</v>
      </c>
      <c r="F1338" s="14">
        <v>25</v>
      </c>
      <c r="G1338" s="15">
        <v>19785</v>
      </c>
      <c r="H1338" s="16">
        <v>0.2</v>
      </c>
      <c r="I1338" s="13">
        <v>4</v>
      </c>
      <c r="J1338" s="15">
        <v>98925</v>
      </c>
      <c r="K1338" s="15">
        <v>395700</v>
      </c>
      <c r="L1338" s="15">
        <v>352250.45893549349</v>
      </c>
      <c r="M1338" s="15">
        <v>43449.541064506513</v>
      </c>
    </row>
    <row r="1339" spans="1:13" x14ac:dyDescent="0.25">
      <c r="A1339" s="12">
        <v>46264</v>
      </c>
      <c r="B1339" s="12" t="s">
        <v>24</v>
      </c>
      <c r="C1339" s="12" t="s">
        <v>20</v>
      </c>
      <c r="D1339" s="12" t="s">
        <v>27</v>
      </c>
      <c r="E1339" s="13">
        <v>76900</v>
      </c>
      <c r="F1339" s="14">
        <v>14</v>
      </c>
      <c r="G1339" s="15">
        <v>18547</v>
      </c>
      <c r="H1339" s="16">
        <v>0.2</v>
      </c>
      <c r="I1339" s="13">
        <v>2</v>
      </c>
      <c r="J1339" s="15">
        <v>51931.600000000013</v>
      </c>
      <c r="K1339" s="15">
        <v>207726.4</v>
      </c>
      <c r="L1339" s="15">
        <v>175201.06784069931</v>
      </c>
      <c r="M1339" s="15">
        <v>32525.332159300709</v>
      </c>
    </row>
    <row r="1340" spans="1:13" x14ac:dyDescent="0.25">
      <c r="A1340" s="12">
        <v>46265</v>
      </c>
      <c r="B1340" s="12" t="s">
        <v>24</v>
      </c>
      <c r="C1340" s="12" t="s">
        <v>14</v>
      </c>
      <c r="D1340" s="12" t="s">
        <v>15</v>
      </c>
      <c r="E1340" s="13">
        <v>78244</v>
      </c>
      <c r="F1340" s="14">
        <v>44</v>
      </c>
      <c r="G1340" s="15">
        <v>48589</v>
      </c>
      <c r="H1340" s="16">
        <v>0.1</v>
      </c>
      <c r="I1340" s="13">
        <v>4</v>
      </c>
      <c r="J1340" s="15">
        <v>213791.6</v>
      </c>
      <c r="K1340" s="15">
        <v>1924124.4</v>
      </c>
      <c r="L1340" s="15">
        <v>1217811.3129721</v>
      </c>
      <c r="M1340" s="15">
        <v>706313.08702789969</v>
      </c>
    </row>
    <row r="1341" spans="1:13" x14ac:dyDescent="0.25">
      <c r="A1341" s="12">
        <v>46266</v>
      </c>
      <c r="B1341" s="12" t="s">
        <v>24</v>
      </c>
      <c r="C1341" s="12" t="s">
        <v>14</v>
      </c>
      <c r="D1341" s="12" t="s">
        <v>27</v>
      </c>
      <c r="E1341" s="13">
        <v>75425</v>
      </c>
      <c r="F1341" s="14">
        <v>25</v>
      </c>
      <c r="G1341" s="15">
        <v>10707</v>
      </c>
      <c r="H1341" s="16">
        <v>0.1</v>
      </c>
      <c r="I1341" s="13">
        <v>2</v>
      </c>
      <c r="J1341" s="15">
        <v>26767.5</v>
      </c>
      <c r="K1341" s="15">
        <v>240907.5</v>
      </c>
      <c r="L1341" s="15">
        <v>153343.7908119924</v>
      </c>
      <c r="M1341" s="15">
        <v>87563.709188007575</v>
      </c>
    </row>
    <row r="1342" spans="1:13" x14ac:dyDescent="0.25">
      <c r="A1342" s="12">
        <v>46267</v>
      </c>
      <c r="B1342" s="12" t="s">
        <v>13</v>
      </c>
      <c r="C1342" s="12" t="s">
        <v>17</v>
      </c>
      <c r="D1342" s="12" t="s">
        <v>15</v>
      </c>
      <c r="E1342" s="13">
        <v>88518</v>
      </c>
      <c r="F1342" s="14">
        <v>19</v>
      </c>
      <c r="G1342" s="15">
        <v>6091</v>
      </c>
      <c r="H1342" s="16">
        <v>0.05</v>
      </c>
      <c r="I1342" s="13">
        <v>3</v>
      </c>
      <c r="J1342" s="15">
        <v>5786.4500000000007</v>
      </c>
      <c r="K1342" s="15">
        <v>109942.55</v>
      </c>
      <c r="L1342" s="15">
        <v>85572.921455227013</v>
      </c>
      <c r="M1342" s="15">
        <v>24369.62854477299</v>
      </c>
    </row>
    <row r="1343" spans="1:13" x14ac:dyDescent="0.25">
      <c r="A1343" s="12">
        <v>46268</v>
      </c>
      <c r="B1343" s="12" t="s">
        <v>16</v>
      </c>
      <c r="C1343" s="12" t="s">
        <v>23</v>
      </c>
      <c r="D1343" s="12" t="s">
        <v>18</v>
      </c>
      <c r="E1343" s="13">
        <v>92844</v>
      </c>
      <c r="F1343" s="14">
        <v>39</v>
      </c>
      <c r="G1343" s="15">
        <v>28257</v>
      </c>
      <c r="H1343" s="16">
        <v>0.15</v>
      </c>
      <c r="I1343" s="13">
        <v>1</v>
      </c>
      <c r="J1343" s="15">
        <v>165303.45000000001</v>
      </c>
      <c r="K1343" s="15">
        <v>936719.55</v>
      </c>
      <c r="L1343" s="15">
        <v>658951.0596094128</v>
      </c>
      <c r="M1343" s="15">
        <v>277768.49039058719</v>
      </c>
    </row>
    <row r="1344" spans="1:13" x14ac:dyDescent="0.25">
      <c r="A1344" s="12">
        <v>46269</v>
      </c>
      <c r="B1344" s="12" t="s">
        <v>13</v>
      </c>
      <c r="C1344" s="12" t="s">
        <v>17</v>
      </c>
      <c r="D1344" s="12" t="s">
        <v>18</v>
      </c>
      <c r="E1344" s="13">
        <v>42919</v>
      </c>
      <c r="F1344" s="14">
        <v>15</v>
      </c>
      <c r="G1344" s="15">
        <v>16726</v>
      </c>
      <c r="H1344" s="16">
        <v>0</v>
      </c>
      <c r="I1344" s="13">
        <v>1</v>
      </c>
      <c r="J1344" s="15">
        <v>0</v>
      </c>
      <c r="K1344" s="15">
        <v>250890</v>
      </c>
      <c r="L1344" s="15">
        <v>153161.2592948557</v>
      </c>
      <c r="M1344" s="15">
        <v>97728.740705144301</v>
      </c>
    </row>
    <row r="1345" spans="1:13" x14ac:dyDescent="0.25">
      <c r="A1345" s="12">
        <v>46270</v>
      </c>
      <c r="B1345" s="12" t="s">
        <v>19</v>
      </c>
      <c r="C1345" s="12" t="s">
        <v>17</v>
      </c>
      <c r="D1345" s="12" t="s">
        <v>22</v>
      </c>
      <c r="E1345" s="13">
        <v>67196</v>
      </c>
      <c r="F1345" s="14">
        <v>16</v>
      </c>
      <c r="G1345" s="15">
        <v>30232</v>
      </c>
      <c r="H1345" s="16">
        <v>0</v>
      </c>
      <c r="I1345" s="13">
        <v>5</v>
      </c>
      <c r="J1345" s="15">
        <v>0</v>
      </c>
      <c r="K1345" s="15">
        <v>483712</v>
      </c>
      <c r="L1345" s="15">
        <v>368826.74911108252</v>
      </c>
      <c r="M1345" s="15">
        <v>114885.25088891749</v>
      </c>
    </row>
    <row r="1346" spans="1:13" x14ac:dyDescent="0.25">
      <c r="A1346" s="12">
        <v>46271</v>
      </c>
      <c r="B1346" s="12" t="s">
        <v>13</v>
      </c>
      <c r="C1346" s="12" t="s">
        <v>21</v>
      </c>
      <c r="D1346" s="12" t="s">
        <v>27</v>
      </c>
      <c r="E1346" s="13">
        <v>89401</v>
      </c>
      <c r="F1346" s="14">
        <v>27</v>
      </c>
      <c r="G1346" s="15">
        <v>27706</v>
      </c>
      <c r="H1346" s="16">
        <v>0.2</v>
      </c>
      <c r="I1346" s="13">
        <v>3</v>
      </c>
      <c r="J1346" s="15">
        <v>149612.4</v>
      </c>
      <c r="K1346" s="15">
        <v>598449.6</v>
      </c>
      <c r="L1346" s="15">
        <v>428701.48343068652</v>
      </c>
      <c r="M1346" s="15">
        <v>169748.11656931351</v>
      </c>
    </row>
    <row r="1347" spans="1:13" x14ac:dyDescent="0.25">
      <c r="A1347" s="12">
        <v>46272</v>
      </c>
      <c r="B1347" s="12" t="s">
        <v>13</v>
      </c>
      <c r="C1347" s="12" t="s">
        <v>20</v>
      </c>
      <c r="D1347" s="12" t="s">
        <v>25</v>
      </c>
      <c r="E1347" s="13">
        <v>10495</v>
      </c>
      <c r="F1347" s="14">
        <v>40</v>
      </c>
      <c r="G1347" s="15">
        <v>20756</v>
      </c>
      <c r="H1347" s="16">
        <v>0.2</v>
      </c>
      <c r="I1347" s="13">
        <v>2</v>
      </c>
      <c r="J1347" s="15">
        <v>166048</v>
      </c>
      <c r="K1347" s="15">
        <v>664192</v>
      </c>
      <c r="L1347" s="15">
        <v>418655.4592864117</v>
      </c>
      <c r="M1347" s="15">
        <v>245536.5407135883</v>
      </c>
    </row>
    <row r="1348" spans="1:13" x14ac:dyDescent="0.25">
      <c r="A1348" s="12">
        <v>46273</v>
      </c>
      <c r="B1348" s="12" t="s">
        <v>13</v>
      </c>
      <c r="C1348" s="12" t="s">
        <v>14</v>
      </c>
      <c r="D1348" s="12" t="s">
        <v>18</v>
      </c>
      <c r="E1348" s="13">
        <v>54755</v>
      </c>
      <c r="F1348" s="14">
        <v>10</v>
      </c>
      <c r="G1348" s="15">
        <v>34322</v>
      </c>
      <c r="H1348" s="16">
        <v>0.05</v>
      </c>
      <c r="I1348" s="13">
        <v>3</v>
      </c>
      <c r="J1348" s="15">
        <v>17161</v>
      </c>
      <c r="K1348" s="15">
        <v>326059</v>
      </c>
      <c r="L1348" s="15">
        <v>274077.40835357801</v>
      </c>
      <c r="M1348" s="15">
        <v>51981.591646421992</v>
      </c>
    </row>
    <row r="1349" spans="1:13" x14ac:dyDescent="0.25">
      <c r="A1349" s="12">
        <v>46274</v>
      </c>
      <c r="B1349" s="12" t="s">
        <v>13</v>
      </c>
      <c r="C1349" s="12" t="s">
        <v>23</v>
      </c>
      <c r="D1349" s="12" t="s">
        <v>18</v>
      </c>
      <c r="E1349" s="13">
        <v>77684</v>
      </c>
      <c r="F1349" s="14">
        <v>4</v>
      </c>
      <c r="G1349" s="15">
        <v>41840</v>
      </c>
      <c r="H1349" s="16">
        <v>0.1</v>
      </c>
      <c r="I1349" s="13">
        <v>1</v>
      </c>
      <c r="J1349" s="15">
        <v>16736</v>
      </c>
      <c r="K1349" s="15">
        <v>150624</v>
      </c>
      <c r="L1349" s="15">
        <v>131724.15680800649</v>
      </c>
      <c r="M1349" s="15">
        <v>18899.843191993539</v>
      </c>
    </row>
    <row r="1350" spans="1:13" x14ac:dyDescent="0.25">
      <c r="A1350" s="12">
        <v>46275</v>
      </c>
      <c r="B1350" s="12" t="s">
        <v>16</v>
      </c>
      <c r="C1350" s="12" t="s">
        <v>14</v>
      </c>
      <c r="D1350" s="12" t="s">
        <v>22</v>
      </c>
      <c r="E1350" s="13">
        <v>43324</v>
      </c>
      <c r="F1350" s="14">
        <v>19</v>
      </c>
      <c r="G1350" s="15">
        <v>46847</v>
      </c>
      <c r="H1350" s="16">
        <v>0</v>
      </c>
      <c r="I1350" s="13">
        <v>2</v>
      </c>
      <c r="J1350" s="15">
        <v>0</v>
      </c>
      <c r="K1350" s="15">
        <v>890093</v>
      </c>
      <c r="L1350" s="15">
        <v>736087.48935253173</v>
      </c>
      <c r="M1350" s="15">
        <v>154005.5106474683</v>
      </c>
    </row>
    <row r="1351" spans="1:13" x14ac:dyDescent="0.25">
      <c r="A1351" s="12">
        <v>46276</v>
      </c>
      <c r="B1351" s="12" t="s">
        <v>19</v>
      </c>
      <c r="C1351" s="12" t="s">
        <v>14</v>
      </c>
      <c r="D1351" s="12" t="s">
        <v>15</v>
      </c>
      <c r="E1351" s="13">
        <v>88929</v>
      </c>
      <c r="F1351" s="14">
        <v>28</v>
      </c>
      <c r="G1351" s="15">
        <v>43851</v>
      </c>
      <c r="H1351" s="16">
        <v>0.05</v>
      </c>
      <c r="I1351" s="13">
        <v>3</v>
      </c>
      <c r="J1351" s="15">
        <v>61391.4</v>
      </c>
      <c r="K1351" s="15">
        <v>1166436.6000000001</v>
      </c>
      <c r="L1351" s="15">
        <v>987653.00491785991</v>
      </c>
      <c r="M1351" s="15">
        <v>178783.59508214021</v>
      </c>
    </row>
    <row r="1352" spans="1:13" x14ac:dyDescent="0.25">
      <c r="A1352" s="12">
        <v>46277</v>
      </c>
      <c r="B1352" s="12" t="s">
        <v>16</v>
      </c>
      <c r="C1352" s="12" t="s">
        <v>20</v>
      </c>
      <c r="D1352" s="12" t="s">
        <v>22</v>
      </c>
      <c r="E1352" s="13">
        <v>11552</v>
      </c>
      <c r="F1352" s="14">
        <v>21</v>
      </c>
      <c r="G1352" s="15">
        <v>41275</v>
      </c>
      <c r="H1352" s="16">
        <v>0.2</v>
      </c>
      <c r="I1352" s="13">
        <v>1</v>
      </c>
      <c r="J1352" s="15">
        <v>173355</v>
      </c>
      <c r="K1352" s="15">
        <v>693420</v>
      </c>
      <c r="L1352" s="15">
        <v>461087.66674610128</v>
      </c>
      <c r="M1352" s="15">
        <v>232332.33325389869</v>
      </c>
    </row>
    <row r="1353" spans="1:13" x14ac:dyDescent="0.25">
      <c r="A1353" s="12">
        <v>46278</v>
      </c>
      <c r="B1353" s="12" t="s">
        <v>16</v>
      </c>
      <c r="C1353" s="12" t="s">
        <v>14</v>
      </c>
      <c r="D1353" s="12" t="s">
        <v>27</v>
      </c>
      <c r="E1353" s="13">
        <v>61272</v>
      </c>
      <c r="F1353" s="14">
        <v>47</v>
      </c>
      <c r="G1353" s="15">
        <v>49171</v>
      </c>
      <c r="H1353" s="16">
        <v>0.2</v>
      </c>
      <c r="I1353" s="13">
        <v>2</v>
      </c>
      <c r="J1353" s="15">
        <v>462207.4</v>
      </c>
      <c r="K1353" s="15">
        <v>1848829.6</v>
      </c>
      <c r="L1353" s="15">
        <v>1255488.2020252971</v>
      </c>
      <c r="M1353" s="15">
        <v>593341.397974703</v>
      </c>
    </row>
    <row r="1354" spans="1:13" x14ac:dyDescent="0.25">
      <c r="A1354" s="12">
        <v>46279</v>
      </c>
      <c r="B1354" s="12" t="s">
        <v>13</v>
      </c>
      <c r="C1354" s="12" t="s">
        <v>14</v>
      </c>
      <c r="D1354" s="12" t="s">
        <v>26</v>
      </c>
      <c r="E1354" s="13">
        <v>45853</v>
      </c>
      <c r="F1354" s="14">
        <v>14</v>
      </c>
      <c r="G1354" s="15">
        <v>10284</v>
      </c>
      <c r="H1354" s="16">
        <v>0</v>
      </c>
      <c r="I1354" s="13">
        <v>2</v>
      </c>
      <c r="J1354" s="15">
        <v>0</v>
      </c>
      <c r="K1354" s="15">
        <v>143976</v>
      </c>
      <c r="L1354" s="15">
        <v>95392.488342634751</v>
      </c>
      <c r="M1354" s="15">
        <v>48583.511657365249</v>
      </c>
    </row>
    <row r="1355" spans="1:13" x14ac:dyDescent="0.25">
      <c r="A1355" s="12">
        <v>46280</v>
      </c>
      <c r="B1355" s="12" t="s">
        <v>24</v>
      </c>
      <c r="C1355" s="12" t="s">
        <v>17</v>
      </c>
      <c r="D1355" s="12" t="s">
        <v>26</v>
      </c>
      <c r="E1355" s="13">
        <v>42924</v>
      </c>
      <c r="F1355" s="14">
        <v>33</v>
      </c>
      <c r="G1355" s="15">
        <v>37529</v>
      </c>
      <c r="H1355" s="16">
        <v>0.2</v>
      </c>
      <c r="I1355" s="13">
        <v>1</v>
      </c>
      <c r="J1355" s="15">
        <v>247691.4</v>
      </c>
      <c r="K1355" s="15">
        <v>990765.6</v>
      </c>
      <c r="L1355" s="15">
        <v>821858.91888448864</v>
      </c>
      <c r="M1355" s="15">
        <v>168906.68111551131</v>
      </c>
    </row>
    <row r="1356" spans="1:13" x14ac:dyDescent="0.25">
      <c r="A1356" s="12">
        <v>46281</v>
      </c>
      <c r="B1356" s="12" t="s">
        <v>24</v>
      </c>
      <c r="C1356" s="12" t="s">
        <v>20</v>
      </c>
      <c r="D1356" s="12" t="s">
        <v>15</v>
      </c>
      <c r="E1356" s="13">
        <v>84462</v>
      </c>
      <c r="F1356" s="14">
        <v>48</v>
      </c>
      <c r="G1356" s="15">
        <v>35657</v>
      </c>
      <c r="H1356" s="16">
        <v>0.2</v>
      </c>
      <c r="I1356" s="13">
        <v>2</v>
      </c>
      <c r="J1356" s="15">
        <v>342307.2</v>
      </c>
      <c r="K1356" s="15">
        <v>1369228.8</v>
      </c>
      <c r="L1356" s="15">
        <v>1210911.889346696</v>
      </c>
      <c r="M1356" s="15">
        <v>158316.91065330381</v>
      </c>
    </row>
    <row r="1357" spans="1:13" x14ac:dyDescent="0.25">
      <c r="A1357" s="12">
        <v>46282</v>
      </c>
      <c r="B1357" s="12" t="s">
        <v>16</v>
      </c>
      <c r="C1357" s="12" t="s">
        <v>21</v>
      </c>
      <c r="D1357" s="12" t="s">
        <v>18</v>
      </c>
      <c r="E1357" s="13">
        <v>33889</v>
      </c>
      <c r="F1357" s="14">
        <v>10</v>
      </c>
      <c r="G1357" s="15">
        <v>20437</v>
      </c>
      <c r="H1357" s="16">
        <v>0.15</v>
      </c>
      <c r="I1357" s="13">
        <v>1</v>
      </c>
      <c r="J1357" s="15">
        <v>30655.5</v>
      </c>
      <c r="K1357" s="15">
        <v>173714.5</v>
      </c>
      <c r="L1357" s="15">
        <v>141586.20508475299</v>
      </c>
      <c r="M1357" s="15">
        <v>32128.294915247039</v>
      </c>
    </row>
    <row r="1358" spans="1:13" x14ac:dyDescent="0.25">
      <c r="A1358" s="12">
        <v>46283</v>
      </c>
      <c r="B1358" s="12" t="s">
        <v>16</v>
      </c>
      <c r="C1358" s="12" t="s">
        <v>23</v>
      </c>
      <c r="D1358" s="12" t="s">
        <v>15</v>
      </c>
      <c r="E1358" s="13">
        <v>64675</v>
      </c>
      <c r="F1358" s="14">
        <v>19</v>
      </c>
      <c r="G1358" s="15">
        <v>47207</v>
      </c>
      <c r="H1358" s="16">
        <v>0.1</v>
      </c>
      <c r="I1358" s="13">
        <v>4</v>
      </c>
      <c r="J1358" s="15">
        <v>89693.3</v>
      </c>
      <c r="K1358" s="15">
        <v>807239.7</v>
      </c>
      <c r="L1358" s="15">
        <v>697810.3100524029</v>
      </c>
      <c r="M1358" s="15">
        <v>109429.3899475971</v>
      </c>
    </row>
    <row r="1359" spans="1:13" x14ac:dyDescent="0.25">
      <c r="A1359" s="12">
        <v>46284</v>
      </c>
      <c r="B1359" s="12" t="s">
        <v>13</v>
      </c>
      <c r="C1359" s="12" t="s">
        <v>14</v>
      </c>
      <c r="D1359" s="12" t="s">
        <v>18</v>
      </c>
      <c r="E1359" s="13">
        <v>83591</v>
      </c>
      <c r="F1359" s="14">
        <v>30</v>
      </c>
      <c r="G1359" s="15">
        <v>11719</v>
      </c>
      <c r="H1359" s="16">
        <v>0.2</v>
      </c>
      <c r="I1359" s="13">
        <v>4</v>
      </c>
      <c r="J1359" s="15">
        <v>70314</v>
      </c>
      <c r="K1359" s="15">
        <v>281256</v>
      </c>
      <c r="L1359" s="15">
        <v>222644.9857891385</v>
      </c>
      <c r="M1359" s="15">
        <v>58611.014210861533</v>
      </c>
    </row>
    <row r="1360" spans="1:13" x14ac:dyDescent="0.25">
      <c r="A1360" s="12">
        <v>46285</v>
      </c>
      <c r="B1360" s="12" t="s">
        <v>16</v>
      </c>
      <c r="C1360" s="12" t="s">
        <v>23</v>
      </c>
      <c r="D1360" s="12" t="s">
        <v>18</v>
      </c>
      <c r="E1360" s="13">
        <v>80190</v>
      </c>
      <c r="F1360" s="14">
        <v>22</v>
      </c>
      <c r="G1360" s="15">
        <v>9899</v>
      </c>
      <c r="H1360" s="16">
        <v>0.15</v>
      </c>
      <c r="I1360" s="13">
        <v>2</v>
      </c>
      <c r="J1360" s="15">
        <v>32666.7</v>
      </c>
      <c r="K1360" s="15">
        <v>185111.3</v>
      </c>
      <c r="L1360" s="15">
        <v>132594.848445093</v>
      </c>
      <c r="M1360" s="15">
        <v>52516.451554906991</v>
      </c>
    </row>
    <row r="1361" spans="1:13" x14ac:dyDescent="0.25">
      <c r="A1361" s="12">
        <v>46286</v>
      </c>
      <c r="B1361" s="12" t="s">
        <v>13</v>
      </c>
      <c r="C1361" s="12" t="s">
        <v>21</v>
      </c>
      <c r="D1361" s="12" t="s">
        <v>26</v>
      </c>
      <c r="E1361" s="13">
        <v>32634</v>
      </c>
      <c r="F1361" s="14">
        <v>3</v>
      </c>
      <c r="G1361" s="15">
        <v>33812</v>
      </c>
      <c r="H1361" s="16">
        <v>0.05</v>
      </c>
      <c r="I1361" s="13">
        <v>2</v>
      </c>
      <c r="J1361" s="15">
        <v>5071.8</v>
      </c>
      <c r="K1361" s="15">
        <v>96364.2</v>
      </c>
      <c r="L1361" s="15">
        <v>70126.973224040077</v>
      </c>
      <c r="M1361" s="15">
        <v>26237.22677595992</v>
      </c>
    </row>
    <row r="1362" spans="1:13" x14ac:dyDescent="0.25">
      <c r="A1362" s="12">
        <v>46287</v>
      </c>
      <c r="B1362" s="12" t="s">
        <v>24</v>
      </c>
      <c r="C1362" s="12" t="s">
        <v>23</v>
      </c>
      <c r="D1362" s="12" t="s">
        <v>15</v>
      </c>
      <c r="E1362" s="13">
        <v>42363</v>
      </c>
      <c r="F1362" s="14">
        <v>37</v>
      </c>
      <c r="G1362" s="15">
        <v>28157</v>
      </c>
      <c r="H1362" s="16">
        <v>0.2</v>
      </c>
      <c r="I1362" s="13">
        <v>1</v>
      </c>
      <c r="J1362" s="15">
        <v>208361.8</v>
      </c>
      <c r="K1362" s="15">
        <v>833447.2</v>
      </c>
      <c r="L1362" s="15">
        <v>518901.25102197402</v>
      </c>
      <c r="M1362" s="15">
        <v>314545.94897802587</v>
      </c>
    </row>
    <row r="1363" spans="1:13" x14ac:dyDescent="0.25">
      <c r="A1363" s="12">
        <v>46288</v>
      </c>
      <c r="B1363" s="12" t="s">
        <v>24</v>
      </c>
      <c r="C1363" s="12" t="s">
        <v>21</v>
      </c>
      <c r="D1363" s="12" t="s">
        <v>22</v>
      </c>
      <c r="E1363" s="13">
        <v>73752</v>
      </c>
      <c r="F1363" s="14">
        <v>41</v>
      </c>
      <c r="G1363" s="15">
        <v>20547</v>
      </c>
      <c r="H1363" s="16">
        <v>0.05</v>
      </c>
      <c r="I1363" s="13">
        <v>2</v>
      </c>
      <c r="J1363" s="15">
        <v>42121.350000000013</v>
      </c>
      <c r="K1363" s="15">
        <v>800305.65</v>
      </c>
      <c r="L1363" s="15">
        <v>487736.00132656429</v>
      </c>
      <c r="M1363" s="15">
        <v>312569.64867343567</v>
      </c>
    </row>
    <row r="1364" spans="1:13" x14ac:dyDescent="0.25">
      <c r="A1364" s="12">
        <v>46289</v>
      </c>
      <c r="B1364" s="12" t="s">
        <v>19</v>
      </c>
      <c r="C1364" s="12" t="s">
        <v>17</v>
      </c>
      <c r="D1364" s="12" t="s">
        <v>18</v>
      </c>
      <c r="E1364" s="13">
        <v>87004</v>
      </c>
      <c r="F1364" s="14">
        <v>18</v>
      </c>
      <c r="G1364" s="15">
        <v>35507</v>
      </c>
      <c r="H1364" s="16">
        <v>0.2</v>
      </c>
      <c r="I1364" s="13">
        <v>5</v>
      </c>
      <c r="J1364" s="15">
        <v>127825.2</v>
      </c>
      <c r="K1364" s="15">
        <v>511300.8</v>
      </c>
      <c r="L1364" s="15">
        <v>413459.6498407076</v>
      </c>
      <c r="M1364" s="15">
        <v>97841.150159292389</v>
      </c>
    </row>
    <row r="1365" spans="1:13" x14ac:dyDescent="0.25">
      <c r="A1365" s="12">
        <v>46290</v>
      </c>
      <c r="B1365" s="12" t="s">
        <v>24</v>
      </c>
      <c r="C1365" s="12" t="s">
        <v>14</v>
      </c>
      <c r="D1365" s="12" t="s">
        <v>25</v>
      </c>
      <c r="E1365" s="13">
        <v>66398</v>
      </c>
      <c r="F1365" s="14">
        <v>11</v>
      </c>
      <c r="G1365" s="15">
        <v>11059</v>
      </c>
      <c r="H1365" s="16">
        <v>0</v>
      </c>
      <c r="I1365" s="13">
        <v>4</v>
      </c>
      <c r="J1365" s="15">
        <v>0</v>
      </c>
      <c r="K1365" s="15">
        <v>121649</v>
      </c>
      <c r="L1365" s="15">
        <v>88989.730885280442</v>
      </c>
      <c r="M1365" s="15">
        <v>32659.269114719558</v>
      </c>
    </row>
    <row r="1366" spans="1:13" x14ac:dyDescent="0.25">
      <c r="A1366" s="12">
        <v>46291</v>
      </c>
      <c r="B1366" s="12" t="s">
        <v>16</v>
      </c>
      <c r="C1366" s="12" t="s">
        <v>21</v>
      </c>
      <c r="D1366" s="12" t="s">
        <v>25</v>
      </c>
      <c r="E1366" s="13">
        <v>50718</v>
      </c>
      <c r="F1366" s="14">
        <v>48</v>
      </c>
      <c r="G1366" s="15">
        <v>20657</v>
      </c>
      <c r="H1366" s="16">
        <v>0.15</v>
      </c>
      <c r="I1366" s="13">
        <v>2</v>
      </c>
      <c r="J1366" s="15">
        <v>148730.4</v>
      </c>
      <c r="K1366" s="15">
        <v>842805.6</v>
      </c>
      <c r="L1366" s="15">
        <v>645306.34552824683</v>
      </c>
      <c r="M1366" s="15">
        <v>197499.25447175311</v>
      </c>
    </row>
    <row r="1367" spans="1:13" x14ac:dyDescent="0.25">
      <c r="A1367" s="12">
        <v>46292</v>
      </c>
      <c r="B1367" s="12" t="s">
        <v>24</v>
      </c>
      <c r="C1367" s="12" t="s">
        <v>23</v>
      </c>
      <c r="D1367" s="12" t="s">
        <v>22</v>
      </c>
      <c r="E1367" s="13">
        <v>92916</v>
      </c>
      <c r="F1367" s="14">
        <v>2</v>
      </c>
      <c r="G1367" s="15">
        <v>35895</v>
      </c>
      <c r="H1367" s="16">
        <v>0.15</v>
      </c>
      <c r="I1367" s="13">
        <v>2</v>
      </c>
      <c r="J1367" s="15">
        <v>10768.5</v>
      </c>
      <c r="K1367" s="15">
        <v>61021.5</v>
      </c>
      <c r="L1367" s="15">
        <v>46821.697746537378</v>
      </c>
      <c r="M1367" s="15">
        <v>14199.80225346262</v>
      </c>
    </row>
    <row r="1368" spans="1:13" x14ac:dyDescent="0.25">
      <c r="A1368" s="12">
        <v>46293</v>
      </c>
      <c r="B1368" s="12" t="s">
        <v>13</v>
      </c>
      <c r="C1368" s="12" t="s">
        <v>14</v>
      </c>
      <c r="D1368" s="12" t="s">
        <v>25</v>
      </c>
      <c r="E1368" s="13">
        <v>36870</v>
      </c>
      <c r="F1368" s="14">
        <v>12</v>
      </c>
      <c r="G1368" s="15">
        <v>7118</v>
      </c>
      <c r="H1368" s="16">
        <v>0</v>
      </c>
      <c r="I1368" s="13">
        <v>3</v>
      </c>
      <c r="J1368" s="15">
        <v>0</v>
      </c>
      <c r="K1368" s="15">
        <v>85416</v>
      </c>
      <c r="L1368" s="15">
        <v>58357.299741503193</v>
      </c>
      <c r="M1368" s="15">
        <v>27058.70025849681</v>
      </c>
    </row>
    <row r="1369" spans="1:13" x14ac:dyDescent="0.25">
      <c r="A1369" s="12">
        <v>46294</v>
      </c>
      <c r="B1369" s="12" t="s">
        <v>24</v>
      </c>
      <c r="C1369" s="12" t="s">
        <v>17</v>
      </c>
      <c r="D1369" s="12" t="s">
        <v>27</v>
      </c>
      <c r="E1369" s="13">
        <v>47394</v>
      </c>
      <c r="F1369" s="14">
        <v>6</v>
      </c>
      <c r="G1369" s="15">
        <v>45391</v>
      </c>
      <c r="H1369" s="16">
        <v>0.1</v>
      </c>
      <c r="I1369" s="13">
        <v>2</v>
      </c>
      <c r="J1369" s="15">
        <v>27234.6</v>
      </c>
      <c r="K1369" s="15">
        <v>245111.4</v>
      </c>
      <c r="L1369" s="15">
        <v>182060.84387367949</v>
      </c>
      <c r="M1369" s="15">
        <v>63050.556126320502</v>
      </c>
    </row>
    <row r="1370" spans="1:13" x14ac:dyDescent="0.25">
      <c r="A1370" s="12">
        <v>46295</v>
      </c>
      <c r="B1370" s="12" t="s">
        <v>19</v>
      </c>
      <c r="C1370" s="12" t="s">
        <v>14</v>
      </c>
      <c r="D1370" s="12" t="s">
        <v>18</v>
      </c>
      <c r="E1370" s="13">
        <v>62057</v>
      </c>
      <c r="F1370" s="14">
        <v>43</v>
      </c>
      <c r="G1370" s="15">
        <v>7280</v>
      </c>
      <c r="H1370" s="16">
        <v>0.15</v>
      </c>
      <c r="I1370" s="13">
        <v>5</v>
      </c>
      <c r="J1370" s="15">
        <v>46956</v>
      </c>
      <c r="K1370" s="15">
        <v>266084</v>
      </c>
      <c r="L1370" s="15">
        <v>197228.92884666871</v>
      </c>
      <c r="M1370" s="15">
        <v>68855.071153331315</v>
      </c>
    </row>
    <row r="1371" spans="1:13" x14ac:dyDescent="0.25">
      <c r="A1371" s="12">
        <v>46296</v>
      </c>
      <c r="B1371" s="12" t="s">
        <v>24</v>
      </c>
      <c r="C1371" s="12" t="s">
        <v>21</v>
      </c>
      <c r="D1371" s="12" t="s">
        <v>22</v>
      </c>
      <c r="E1371" s="13">
        <v>89795</v>
      </c>
      <c r="F1371" s="14">
        <v>40</v>
      </c>
      <c r="G1371" s="15">
        <v>27550</v>
      </c>
      <c r="H1371" s="16">
        <v>0.05</v>
      </c>
      <c r="I1371" s="13">
        <v>4</v>
      </c>
      <c r="J1371" s="15">
        <v>55100</v>
      </c>
      <c r="K1371" s="15">
        <v>1046900</v>
      </c>
      <c r="L1371" s="15">
        <v>750133.33737103315</v>
      </c>
      <c r="M1371" s="15">
        <v>296766.66262896679</v>
      </c>
    </row>
    <row r="1372" spans="1:13" x14ac:dyDescent="0.25">
      <c r="A1372" s="12">
        <v>46297</v>
      </c>
      <c r="B1372" s="12" t="s">
        <v>13</v>
      </c>
      <c r="C1372" s="12" t="s">
        <v>17</v>
      </c>
      <c r="D1372" s="12" t="s">
        <v>15</v>
      </c>
      <c r="E1372" s="13">
        <v>90409</v>
      </c>
      <c r="F1372" s="14">
        <v>44</v>
      </c>
      <c r="G1372" s="15">
        <v>8515</v>
      </c>
      <c r="H1372" s="16">
        <v>0.15</v>
      </c>
      <c r="I1372" s="13">
        <v>3</v>
      </c>
      <c r="J1372" s="15">
        <v>56199</v>
      </c>
      <c r="K1372" s="15">
        <v>318461</v>
      </c>
      <c r="L1372" s="15">
        <v>269482.53098198649</v>
      </c>
      <c r="M1372" s="15">
        <v>48978.469018013508</v>
      </c>
    </row>
    <row r="1373" spans="1:13" x14ac:dyDescent="0.25">
      <c r="A1373" s="12">
        <v>46298</v>
      </c>
      <c r="B1373" s="12" t="s">
        <v>13</v>
      </c>
      <c r="C1373" s="12" t="s">
        <v>23</v>
      </c>
      <c r="D1373" s="12" t="s">
        <v>18</v>
      </c>
      <c r="E1373" s="13">
        <v>23016</v>
      </c>
      <c r="F1373" s="14">
        <v>29</v>
      </c>
      <c r="G1373" s="15">
        <v>3630</v>
      </c>
      <c r="H1373" s="16">
        <v>0.1</v>
      </c>
      <c r="I1373" s="13">
        <v>1</v>
      </c>
      <c r="J1373" s="15">
        <v>10527</v>
      </c>
      <c r="K1373" s="15">
        <v>94743</v>
      </c>
      <c r="L1373" s="15">
        <v>69669.189360412172</v>
      </c>
      <c r="M1373" s="15">
        <v>25073.810639587831</v>
      </c>
    </row>
    <row r="1374" spans="1:13" x14ac:dyDescent="0.25">
      <c r="A1374" s="12">
        <v>46299</v>
      </c>
      <c r="B1374" s="12" t="s">
        <v>16</v>
      </c>
      <c r="C1374" s="12" t="s">
        <v>17</v>
      </c>
      <c r="D1374" s="12" t="s">
        <v>22</v>
      </c>
      <c r="E1374" s="13">
        <v>52137</v>
      </c>
      <c r="F1374" s="14">
        <v>30</v>
      </c>
      <c r="G1374" s="15">
        <v>28583</v>
      </c>
      <c r="H1374" s="16">
        <v>0.05</v>
      </c>
      <c r="I1374" s="13">
        <v>1</v>
      </c>
      <c r="J1374" s="15">
        <v>42874.5</v>
      </c>
      <c r="K1374" s="15">
        <v>814615.5</v>
      </c>
      <c r="L1374" s="15">
        <v>636290.75584581227</v>
      </c>
      <c r="M1374" s="15">
        <v>178324.74415418771</v>
      </c>
    </row>
    <row r="1375" spans="1:13" x14ac:dyDescent="0.25">
      <c r="A1375" s="12">
        <v>46300</v>
      </c>
      <c r="B1375" s="12" t="s">
        <v>24</v>
      </c>
      <c r="C1375" s="12" t="s">
        <v>17</v>
      </c>
      <c r="D1375" s="12" t="s">
        <v>26</v>
      </c>
      <c r="E1375" s="13">
        <v>10153</v>
      </c>
      <c r="F1375" s="14">
        <v>2</v>
      </c>
      <c r="G1375" s="15">
        <v>16980</v>
      </c>
      <c r="H1375" s="16">
        <v>0.05</v>
      </c>
      <c r="I1375" s="13">
        <v>4</v>
      </c>
      <c r="J1375" s="15">
        <v>1698</v>
      </c>
      <c r="K1375" s="15">
        <v>32262</v>
      </c>
      <c r="L1375" s="15">
        <v>28024.58103711787</v>
      </c>
      <c r="M1375" s="15">
        <v>4237.4189628821332</v>
      </c>
    </row>
    <row r="1376" spans="1:13" x14ac:dyDescent="0.25">
      <c r="A1376" s="12">
        <v>46301</v>
      </c>
      <c r="B1376" s="12" t="s">
        <v>13</v>
      </c>
      <c r="C1376" s="12" t="s">
        <v>20</v>
      </c>
      <c r="D1376" s="12" t="s">
        <v>15</v>
      </c>
      <c r="E1376" s="13">
        <v>17853</v>
      </c>
      <c r="F1376" s="14">
        <v>9</v>
      </c>
      <c r="G1376" s="15">
        <v>48099</v>
      </c>
      <c r="H1376" s="16">
        <v>0</v>
      </c>
      <c r="I1376" s="13">
        <v>1</v>
      </c>
      <c r="J1376" s="15">
        <v>0</v>
      </c>
      <c r="K1376" s="15">
        <v>432891</v>
      </c>
      <c r="L1376" s="15">
        <v>372230.02176990663</v>
      </c>
      <c r="M1376" s="15">
        <v>60660.978230093431</v>
      </c>
    </row>
    <row r="1377" spans="1:13" x14ac:dyDescent="0.25">
      <c r="A1377" s="12">
        <v>46302</v>
      </c>
      <c r="B1377" s="12" t="s">
        <v>19</v>
      </c>
      <c r="C1377" s="12" t="s">
        <v>17</v>
      </c>
      <c r="D1377" s="12" t="s">
        <v>26</v>
      </c>
      <c r="E1377" s="13">
        <v>22379</v>
      </c>
      <c r="F1377" s="14">
        <v>47</v>
      </c>
      <c r="G1377" s="15">
        <v>35976</v>
      </c>
      <c r="H1377" s="16">
        <v>0.2</v>
      </c>
      <c r="I1377" s="13">
        <v>5</v>
      </c>
      <c r="J1377" s="15">
        <v>338174.4</v>
      </c>
      <c r="K1377" s="15">
        <v>1352697.6</v>
      </c>
      <c r="L1377" s="15">
        <v>1172960.1534116359</v>
      </c>
      <c r="M1377" s="15">
        <v>179737.4465883637</v>
      </c>
    </row>
    <row r="1378" spans="1:13" x14ac:dyDescent="0.25">
      <c r="A1378" s="12">
        <v>46303</v>
      </c>
      <c r="B1378" s="12" t="s">
        <v>16</v>
      </c>
      <c r="C1378" s="12" t="s">
        <v>17</v>
      </c>
      <c r="D1378" s="12" t="s">
        <v>18</v>
      </c>
      <c r="E1378" s="13">
        <v>25792</v>
      </c>
      <c r="F1378" s="14">
        <v>2</v>
      </c>
      <c r="G1378" s="15">
        <v>38665</v>
      </c>
      <c r="H1378" s="16">
        <v>0</v>
      </c>
      <c r="I1378" s="13">
        <v>2</v>
      </c>
      <c r="J1378" s="15">
        <v>0</v>
      </c>
      <c r="K1378" s="15">
        <v>77330</v>
      </c>
      <c r="L1378" s="15">
        <v>52661.845912991863</v>
      </c>
      <c r="M1378" s="15">
        <v>24668.154087008141</v>
      </c>
    </row>
    <row r="1379" spans="1:13" x14ac:dyDescent="0.25">
      <c r="A1379" s="12">
        <v>46304</v>
      </c>
      <c r="B1379" s="12" t="s">
        <v>19</v>
      </c>
      <c r="C1379" s="12" t="s">
        <v>14</v>
      </c>
      <c r="D1379" s="12" t="s">
        <v>15</v>
      </c>
      <c r="E1379" s="13">
        <v>48367</v>
      </c>
      <c r="F1379" s="14">
        <v>29</v>
      </c>
      <c r="G1379" s="15">
        <v>12028</v>
      </c>
      <c r="H1379" s="16">
        <v>0.2</v>
      </c>
      <c r="I1379" s="13">
        <v>4</v>
      </c>
      <c r="J1379" s="15">
        <v>69762.400000000009</v>
      </c>
      <c r="K1379" s="15">
        <v>279049.59999999998</v>
      </c>
      <c r="L1379" s="15">
        <v>170358.3148108109</v>
      </c>
      <c r="M1379" s="15">
        <v>108691.2851891891</v>
      </c>
    </row>
    <row r="1380" spans="1:13" x14ac:dyDescent="0.25">
      <c r="A1380" s="12">
        <v>46305</v>
      </c>
      <c r="B1380" s="12" t="s">
        <v>24</v>
      </c>
      <c r="C1380" s="12" t="s">
        <v>23</v>
      </c>
      <c r="D1380" s="12" t="s">
        <v>25</v>
      </c>
      <c r="E1380" s="13">
        <v>28100</v>
      </c>
      <c r="F1380" s="14">
        <v>33</v>
      </c>
      <c r="G1380" s="15">
        <v>6414</v>
      </c>
      <c r="H1380" s="16">
        <v>0</v>
      </c>
      <c r="I1380" s="13">
        <v>3</v>
      </c>
      <c r="J1380" s="15">
        <v>0</v>
      </c>
      <c r="K1380" s="15">
        <v>211662</v>
      </c>
      <c r="L1380" s="15">
        <v>143574.5762998336</v>
      </c>
      <c r="M1380" s="15">
        <v>68087.42370016643</v>
      </c>
    </row>
    <row r="1381" spans="1:13" x14ac:dyDescent="0.25">
      <c r="A1381" s="12">
        <v>46306</v>
      </c>
      <c r="B1381" s="12" t="s">
        <v>24</v>
      </c>
      <c r="C1381" s="12" t="s">
        <v>14</v>
      </c>
      <c r="D1381" s="12" t="s">
        <v>22</v>
      </c>
      <c r="E1381" s="13">
        <v>73456</v>
      </c>
      <c r="F1381" s="14">
        <v>10</v>
      </c>
      <c r="G1381" s="15">
        <v>37636</v>
      </c>
      <c r="H1381" s="16">
        <v>0.2</v>
      </c>
      <c r="I1381" s="13">
        <v>2</v>
      </c>
      <c r="J1381" s="15">
        <v>75272</v>
      </c>
      <c r="K1381" s="15">
        <v>301088</v>
      </c>
      <c r="L1381" s="15">
        <v>205827.4311834744</v>
      </c>
      <c r="M1381" s="15">
        <v>95260.568816525629</v>
      </c>
    </row>
    <row r="1382" spans="1:13" x14ac:dyDescent="0.25">
      <c r="A1382" s="12">
        <v>46307</v>
      </c>
      <c r="B1382" s="12" t="s">
        <v>24</v>
      </c>
      <c r="C1382" s="12" t="s">
        <v>14</v>
      </c>
      <c r="D1382" s="12" t="s">
        <v>18</v>
      </c>
      <c r="E1382" s="13">
        <v>21049</v>
      </c>
      <c r="F1382" s="14">
        <v>34</v>
      </c>
      <c r="G1382" s="15">
        <v>11679</v>
      </c>
      <c r="H1382" s="16">
        <v>0.15</v>
      </c>
      <c r="I1382" s="13">
        <v>1</v>
      </c>
      <c r="J1382" s="15">
        <v>59562.899999999987</v>
      </c>
      <c r="K1382" s="15">
        <v>337523.1</v>
      </c>
      <c r="L1382" s="15">
        <v>294592.8949479672</v>
      </c>
      <c r="M1382" s="15">
        <v>42930.205052032783</v>
      </c>
    </row>
    <row r="1383" spans="1:13" x14ac:dyDescent="0.25">
      <c r="A1383" s="12">
        <v>46308</v>
      </c>
      <c r="B1383" s="12" t="s">
        <v>16</v>
      </c>
      <c r="C1383" s="12" t="s">
        <v>21</v>
      </c>
      <c r="D1383" s="12" t="s">
        <v>27</v>
      </c>
      <c r="E1383" s="13">
        <v>10786</v>
      </c>
      <c r="F1383" s="14">
        <v>44</v>
      </c>
      <c r="G1383" s="15">
        <v>20972</v>
      </c>
      <c r="H1383" s="16">
        <v>0.05</v>
      </c>
      <c r="I1383" s="13">
        <v>1</v>
      </c>
      <c r="J1383" s="15">
        <v>46138.400000000001</v>
      </c>
      <c r="K1383" s="15">
        <v>876629.6</v>
      </c>
      <c r="L1383" s="15">
        <v>696721.3791571972</v>
      </c>
      <c r="M1383" s="15">
        <v>179908.22084280281</v>
      </c>
    </row>
    <row r="1384" spans="1:13" x14ac:dyDescent="0.25">
      <c r="A1384" s="12">
        <v>46309</v>
      </c>
      <c r="B1384" s="12" t="s">
        <v>13</v>
      </c>
      <c r="C1384" s="12" t="s">
        <v>14</v>
      </c>
      <c r="D1384" s="12" t="s">
        <v>15</v>
      </c>
      <c r="E1384" s="13">
        <v>79904</v>
      </c>
      <c r="F1384" s="14">
        <v>8</v>
      </c>
      <c r="G1384" s="15">
        <v>12576</v>
      </c>
      <c r="H1384" s="16">
        <v>0.2</v>
      </c>
      <c r="I1384" s="13">
        <v>3</v>
      </c>
      <c r="J1384" s="15">
        <v>20121.599999999999</v>
      </c>
      <c r="K1384" s="15">
        <v>80486.399999999994</v>
      </c>
      <c r="L1384" s="15">
        <v>50264.657272238641</v>
      </c>
      <c r="M1384" s="15">
        <v>30221.74272776135</v>
      </c>
    </row>
    <row r="1385" spans="1:13" x14ac:dyDescent="0.25">
      <c r="A1385" s="12">
        <v>46310</v>
      </c>
      <c r="B1385" s="12" t="s">
        <v>16</v>
      </c>
      <c r="C1385" s="12" t="s">
        <v>20</v>
      </c>
      <c r="D1385" s="12" t="s">
        <v>15</v>
      </c>
      <c r="E1385" s="13">
        <v>40699</v>
      </c>
      <c r="F1385" s="14">
        <v>37</v>
      </c>
      <c r="G1385" s="15">
        <v>25283</v>
      </c>
      <c r="H1385" s="16">
        <v>0.15</v>
      </c>
      <c r="I1385" s="13">
        <v>5</v>
      </c>
      <c r="J1385" s="15">
        <v>140320.65</v>
      </c>
      <c r="K1385" s="15">
        <v>795150.35</v>
      </c>
      <c r="L1385" s="15">
        <v>509384.11140022072</v>
      </c>
      <c r="M1385" s="15">
        <v>285766.23859977932</v>
      </c>
    </row>
    <row r="1386" spans="1:13" x14ac:dyDescent="0.25">
      <c r="A1386" s="12">
        <v>46311</v>
      </c>
      <c r="B1386" s="12" t="s">
        <v>19</v>
      </c>
      <c r="C1386" s="12" t="s">
        <v>20</v>
      </c>
      <c r="D1386" s="12" t="s">
        <v>18</v>
      </c>
      <c r="E1386" s="13">
        <v>57691</v>
      </c>
      <c r="F1386" s="14">
        <v>33</v>
      </c>
      <c r="G1386" s="15">
        <v>47216</v>
      </c>
      <c r="H1386" s="16">
        <v>0.1</v>
      </c>
      <c r="I1386" s="13">
        <v>3</v>
      </c>
      <c r="J1386" s="15">
        <v>155812.79999999999</v>
      </c>
      <c r="K1386" s="15">
        <v>1402315.2</v>
      </c>
      <c r="L1386" s="15">
        <v>906881.21913738607</v>
      </c>
      <c r="M1386" s="15">
        <v>495433.98086261388</v>
      </c>
    </row>
    <row r="1387" spans="1:13" x14ac:dyDescent="0.25">
      <c r="A1387" s="12">
        <v>46312</v>
      </c>
      <c r="B1387" s="12" t="s">
        <v>16</v>
      </c>
      <c r="C1387" s="12" t="s">
        <v>21</v>
      </c>
      <c r="D1387" s="12" t="s">
        <v>18</v>
      </c>
      <c r="E1387" s="13">
        <v>47040</v>
      </c>
      <c r="F1387" s="14">
        <v>47</v>
      </c>
      <c r="G1387" s="15">
        <v>14324</v>
      </c>
      <c r="H1387" s="16">
        <v>0</v>
      </c>
      <c r="I1387" s="13">
        <v>4</v>
      </c>
      <c r="J1387" s="15">
        <v>0</v>
      </c>
      <c r="K1387" s="15">
        <v>673228</v>
      </c>
      <c r="L1387" s="15">
        <v>531262.07180288038</v>
      </c>
      <c r="M1387" s="15">
        <v>141965.92819711959</v>
      </c>
    </row>
    <row r="1388" spans="1:13" x14ac:dyDescent="0.25">
      <c r="A1388" s="12">
        <v>46313</v>
      </c>
      <c r="B1388" s="12" t="s">
        <v>19</v>
      </c>
      <c r="C1388" s="12" t="s">
        <v>23</v>
      </c>
      <c r="D1388" s="12" t="s">
        <v>26</v>
      </c>
      <c r="E1388" s="13">
        <v>67986</v>
      </c>
      <c r="F1388" s="14">
        <v>6</v>
      </c>
      <c r="G1388" s="15">
        <v>4799</v>
      </c>
      <c r="H1388" s="16">
        <v>0.1</v>
      </c>
      <c r="I1388" s="13">
        <v>3</v>
      </c>
      <c r="J1388" s="15">
        <v>2879.4</v>
      </c>
      <c r="K1388" s="15">
        <v>25914.6</v>
      </c>
      <c r="L1388" s="15">
        <v>21266.148091621129</v>
      </c>
      <c r="M1388" s="15">
        <v>4648.4519083788646</v>
      </c>
    </row>
    <row r="1389" spans="1:13" x14ac:dyDescent="0.25">
      <c r="A1389" s="12">
        <v>46314</v>
      </c>
      <c r="B1389" s="12" t="s">
        <v>16</v>
      </c>
      <c r="C1389" s="12" t="s">
        <v>23</v>
      </c>
      <c r="D1389" s="12" t="s">
        <v>25</v>
      </c>
      <c r="E1389" s="13">
        <v>48762</v>
      </c>
      <c r="F1389" s="14">
        <v>44</v>
      </c>
      <c r="G1389" s="15">
        <v>47388</v>
      </c>
      <c r="H1389" s="16">
        <v>0.15</v>
      </c>
      <c r="I1389" s="13">
        <v>1</v>
      </c>
      <c r="J1389" s="15">
        <v>312760.8</v>
      </c>
      <c r="K1389" s="15">
        <v>1772311.2</v>
      </c>
      <c r="L1389" s="15">
        <v>1520453.6792120549</v>
      </c>
      <c r="M1389" s="15">
        <v>251857.52078794499</v>
      </c>
    </row>
    <row r="1390" spans="1:13" x14ac:dyDescent="0.25">
      <c r="A1390" s="12">
        <v>46315</v>
      </c>
      <c r="B1390" s="12" t="s">
        <v>13</v>
      </c>
      <c r="C1390" s="12" t="s">
        <v>14</v>
      </c>
      <c r="D1390" s="12" t="s">
        <v>26</v>
      </c>
      <c r="E1390" s="13">
        <v>33600</v>
      </c>
      <c r="F1390" s="14">
        <v>40</v>
      </c>
      <c r="G1390" s="15">
        <v>8618</v>
      </c>
      <c r="H1390" s="16">
        <v>0.1</v>
      </c>
      <c r="I1390" s="13">
        <v>5</v>
      </c>
      <c r="J1390" s="15">
        <v>34472</v>
      </c>
      <c r="K1390" s="15">
        <v>310248</v>
      </c>
      <c r="L1390" s="15">
        <v>273697.98258436058</v>
      </c>
      <c r="M1390" s="15">
        <v>36550.017415639421</v>
      </c>
    </row>
    <row r="1391" spans="1:13" x14ac:dyDescent="0.25">
      <c r="A1391" s="12">
        <v>46316</v>
      </c>
      <c r="B1391" s="12" t="s">
        <v>19</v>
      </c>
      <c r="C1391" s="12" t="s">
        <v>14</v>
      </c>
      <c r="D1391" s="12" t="s">
        <v>26</v>
      </c>
      <c r="E1391" s="13">
        <v>29810</v>
      </c>
      <c r="F1391" s="14">
        <v>45</v>
      </c>
      <c r="G1391" s="15">
        <v>11256</v>
      </c>
      <c r="H1391" s="16">
        <v>0.1</v>
      </c>
      <c r="I1391" s="13">
        <v>5</v>
      </c>
      <c r="J1391" s="15">
        <v>50652</v>
      </c>
      <c r="K1391" s="15">
        <v>455868</v>
      </c>
      <c r="L1391" s="15">
        <v>301105.99594999268</v>
      </c>
      <c r="M1391" s="15">
        <v>154762.00405000729</v>
      </c>
    </row>
    <row r="1392" spans="1:13" x14ac:dyDescent="0.25">
      <c r="A1392" s="12">
        <v>46317</v>
      </c>
      <c r="B1392" s="12" t="s">
        <v>24</v>
      </c>
      <c r="C1392" s="12" t="s">
        <v>14</v>
      </c>
      <c r="D1392" s="12" t="s">
        <v>25</v>
      </c>
      <c r="E1392" s="13">
        <v>95703</v>
      </c>
      <c r="F1392" s="14">
        <v>19</v>
      </c>
      <c r="G1392" s="15">
        <v>8453</v>
      </c>
      <c r="H1392" s="16">
        <v>0.15</v>
      </c>
      <c r="I1392" s="13">
        <v>3</v>
      </c>
      <c r="J1392" s="15">
        <v>24091.05</v>
      </c>
      <c r="K1392" s="15">
        <v>136515.95000000001</v>
      </c>
      <c r="L1392" s="15">
        <v>94596.235510789222</v>
      </c>
      <c r="M1392" s="15">
        <v>41919.71448921079</v>
      </c>
    </row>
    <row r="1393" spans="1:13" x14ac:dyDescent="0.25">
      <c r="A1393" s="12">
        <v>46318</v>
      </c>
      <c r="B1393" s="12" t="s">
        <v>24</v>
      </c>
      <c r="C1393" s="12" t="s">
        <v>23</v>
      </c>
      <c r="D1393" s="12" t="s">
        <v>27</v>
      </c>
      <c r="E1393" s="13">
        <v>97347</v>
      </c>
      <c r="F1393" s="14">
        <v>32</v>
      </c>
      <c r="G1393" s="15">
        <v>38052</v>
      </c>
      <c r="H1393" s="16">
        <v>0.05</v>
      </c>
      <c r="I1393" s="13">
        <v>4</v>
      </c>
      <c r="J1393" s="15">
        <v>60883.199999999997</v>
      </c>
      <c r="K1393" s="15">
        <v>1156780.8</v>
      </c>
      <c r="L1393" s="15">
        <v>777468.74827389291</v>
      </c>
      <c r="M1393" s="15">
        <v>379312.05172610708</v>
      </c>
    </row>
    <row r="1394" spans="1:13" x14ac:dyDescent="0.25">
      <c r="A1394" s="12">
        <v>46319</v>
      </c>
      <c r="B1394" s="12" t="s">
        <v>16</v>
      </c>
      <c r="C1394" s="12" t="s">
        <v>17</v>
      </c>
      <c r="D1394" s="12" t="s">
        <v>26</v>
      </c>
      <c r="E1394" s="13">
        <v>67204</v>
      </c>
      <c r="F1394" s="14">
        <v>27</v>
      </c>
      <c r="G1394" s="15">
        <v>15685</v>
      </c>
      <c r="H1394" s="16">
        <v>0.2</v>
      </c>
      <c r="I1394" s="13">
        <v>1</v>
      </c>
      <c r="J1394" s="15">
        <v>84699</v>
      </c>
      <c r="K1394" s="15">
        <v>338796</v>
      </c>
      <c r="L1394" s="15">
        <v>239741.69520337731</v>
      </c>
      <c r="M1394" s="15">
        <v>99054.304796622717</v>
      </c>
    </row>
    <row r="1395" spans="1:13" x14ac:dyDescent="0.25">
      <c r="A1395" s="12">
        <v>46320</v>
      </c>
      <c r="B1395" s="12" t="s">
        <v>24</v>
      </c>
      <c r="C1395" s="12" t="s">
        <v>20</v>
      </c>
      <c r="D1395" s="12" t="s">
        <v>26</v>
      </c>
      <c r="E1395" s="13">
        <v>30085</v>
      </c>
      <c r="F1395" s="14">
        <v>1</v>
      </c>
      <c r="G1395" s="15">
        <v>42292</v>
      </c>
      <c r="H1395" s="16">
        <v>0</v>
      </c>
      <c r="I1395" s="13">
        <v>2</v>
      </c>
      <c r="J1395" s="15">
        <v>0</v>
      </c>
      <c r="K1395" s="15">
        <v>42292</v>
      </c>
      <c r="L1395" s="15">
        <v>36980.105016949557</v>
      </c>
      <c r="M1395" s="15">
        <v>5311.8949830504353</v>
      </c>
    </row>
    <row r="1396" spans="1:13" x14ac:dyDescent="0.25">
      <c r="A1396" s="12">
        <v>46321</v>
      </c>
      <c r="B1396" s="12" t="s">
        <v>19</v>
      </c>
      <c r="C1396" s="12" t="s">
        <v>17</v>
      </c>
      <c r="D1396" s="12" t="s">
        <v>15</v>
      </c>
      <c r="E1396" s="13">
        <v>56854</v>
      </c>
      <c r="F1396" s="14">
        <v>43</v>
      </c>
      <c r="G1396" s="15">
        <v>15174</v>
      </c>
      <c r="H1396" s="16">
        <v>0.2</v>
      </c>
      <c r="I1396" s="13">
        <v>5</v>
      </c>
      <c r="J1396" s="15">
        <v>130496.4</v>
      </c>
      <c r="K1396" s="15">
        <v>521985.6</v>
      </c>
      <c r="L1396" s="15">
        <v>403251.50349641481</v>
      </c>
      <c r="M1396" s="15">
        <v>118734.0965035852</v>
      </c>
    </row>
    <row r="1397" spans="1:13" x14ac:dyDescent="0.25">
      <c r="A1397" s="12">
        <v>46322</v>
      </c>
      <c r="B1397" s="12" t="s">
        <v>24</v>
      </c>
      <c r="C1397" s="12" t="s">
        <v>17</v>
      </c>
      <c r="D1397" s="12" t="s">
        <v>25</v>
      </c>
      <c r="E1397" s="13">
        <v>84797</v>
      </c>
      <c r="F1397" s="14">
        <v>33</v>
      </c>
      <c r="G1397" s="15">
        <v>44976</v>
      </c>
      <c r="H1397" s="16">
        <v>0</v>
      </c>
      <c r="I1397" s="13">
        <v>3</v>
      </c>
      <c r="J1397" s="15">
        <v>0</v>
      </c>
      <c r="K1397" s="15">
        <v>1484208</v>
      </c>
      <c r="L1397" s="15">
        <v>1219213.8958632599</v>
      </c>
      <c r="M1397" s="15">
        <v>264994.10413673992</v>
      </c>
    </row>
    <row r="1398" spans="1:13" x14ac:dyDescent="0.25">
      <c r="A1398" s="12">
        <v>46323</v>
      </c>
      <c r="B1398" s="12" t="s">
        <v>13</v>
      </c>
      <c r="C1398" s="12" t="s">
        <v>23</v>
      </c>
      <c r="D1398" s="12" t="s">
        <v>22</v>
      </c>
      <c r="E1398" s="13">
        <v>94269</v>
      </c>
      <c r="F1398" s="14">
        <v>40</v>
      </c>
      <c r="G1398" s="15">
        <v>34427</v>
      </c>
      <c r="H1398" s="16">
        <v>0.2</v>
      </c>
      <c r="I1398" s="13">
        <v>4</v>
      </c>
      <c r="J1398" s="15">
        <v>275416</v>
      </c>
      <c r="K1398" s="15">
        <v>1101664</v>
      </c>
      <c r="L1398" s="15">
        <v>822982.41544451262</v>
      </c>
      <c r="M1398" s="15">
        <v>278681.58455548738</v>
      </c>
    </row>
    <row r="1399" spans="1:13" x14ac:dyDescent="0.25">
      <c r="A1399" s="12">
        <v>46324</v>
      </c>
      <c r="B1399" s="12" t="s">
        <v>13</v>
      </c>
      <c r="C1399" s="12" t="s">
        <v>17</v>
      </c>
      <c r="D1399" s="12" t="s">
        <v>27</v>
      </c>
      <c r="E1399" s="13">
        <v>49779</v>
      </c>
      <c r="F1399" s="14">
        <v>32</v>
      </c>
      <c r="G1399" s="15">
        <v>886</v>
      </c>
      <c r="H1399" s="16">
        <v>0.1</v>
      </c>
      <c r="I1399" s="13">
        <v>4</v>
      </c>
      <c r="J1399" s="15">
        <v>2835.2</v>
      </c>
      <c r="K1399" s="15">
        <v>25516.799999999999</v>
      </c>
      <c r="L1399" s="15">
        <v>15530.988480904571</v>
      </c>
      <c r="M1399" s="15">
        <v>9985.8115190954341</v>
      </c>
    </row>
    <row r="1400" spans="1:13" x14ac:dyDescent="0.25">
      <c r="A1400" s="12">
        <v>46325</v>
      </c>
      <c r="B1400" s="12" t="s">
        <v>16</v>
      </c>
      <c r="C1400" s="12" t="s">
        <v>21</v>
      </c>
      <c r="D1400" s="12" t="s">
        <v>27</v>
      </c>
      <c r="E1400" s="13">
        <v>66207</v>
      </c>
      <c r="F1400" s="14">
        <v>5</v>
      </c>
      <c r="G1400" s="15">
        <v>27117</v>
      </c>
      <c r="H1400" s="16">
        <v>0.05</v>
      </c>
      <c r="I1400" s="13">
        <v>1</v>
      </c>
      <c r="J1400" s="15">
        <v>6779.25</v>
      </c>
      <c r="K1400" s="15">
        <v>128805.75</v>
      </c>
      <c r="L1400" s="15">
        <v>79764.074316168888</v>
      </c>
      <c r="M1400" s="15">
        <v>49041.675683831112</v>
      </c>
    </row>
    <row r="1401" spans="1:13" x14ac:dyDescent="0.25">
      <c r="A1401" s="12">
        <v>46326</v>
      </c>
      <c r="B1401" s="12" t="s">
        <v>19</v>
      </c>
      <c r="C1401" s="12" t="s">
        <v>14</v>
      </c>
      <c r="D1401" s="12" t="s">
        <v>25</v>
      </c>
      <c r="E1401" s="13">
        <v>43980</v>
      </c>
      <c r="F1401" s="14">
        <v>17</v>
      </c>
      <c r="G1401" s="15">
        <v>7692</v>
      </c>
      <c r="H1401" s="16">
        <v>0.1</v>
      </c>
      <c r="I1401" s="13">
        <v>5</v>
      </c>
      <c r="J1401" s="15">
        <v>13076.4</v>
      </c>
      <c r="K1401" s="15">
        <v>117687.6</v>
      </c>
      <c r="L1401" s="15">
        <v>89604.621160392737</v>
      </c>
      <c r="M1401" s="15">
        <v>28082.978839607269</v>
      </c>
    </row>
    <row r="1402" spans="1:13" x14ac:dyDescent="0.25">
      <c r="A1402" s="12">
        <v>46327</v>
      </c>
      <c r="B1402" s="12" t="s">
        <v>13</v>
      </c>
      <c r="C1402" s="12" t="s">
        <v>21</v>
      </c>
      <c r="D1402" s="12" t="s">
        <v>18</v>
      </c>
      <c r="E1402" s="13">
        <v>66117</v>
      </c>
      <c r="F1402" s="14">
        <v>8</v>
      </c>
      <c r="G1402" s="15">
        <v>11245</v>
      </c>
      <c r="H1402" s="16">
        <v>0.05</v>
      </c>
      <c r="I1402" s="13">
        <v>1</v>
      </c>
      <c r="J1402" s="15">
        <v>4498</v>
      </c>
      <c r="K1402" s="15">
        <v>85462</v>
      </c>
      <c r="L1402" s="15">
        <v>69705.944548136715</v>
      </c>
      <c r="M1402" s="15">
        <v>15756.055451863291</v>
      </c>
    </row>
    <row r="1403" spans="1:13" x14ac:dyDescent="0.25">
      <c r="A1403" s="12">
        <v>46328</v>
      </c>
      <c r="B1403" s="12" t="s">
        <v>13</v>
      </c>
      <c r="C1403" s="12" t="s">
        <v>20</v>
      </c>
      <c r="D1403" s="12" t="s">
        <v>18</v>
      </c>
      <c r="E1403" s="13">
        <v>24141</v>
      </c>
      <c r="F1403" s="14">
        <v>42</v>
      </c>
      <c r="G1403" s="15">
        <v>30520</v>
      </c>
      <c r="H1403" s="16">
        <v>0.15</v>
      </c>
      <c r="I1403" s="13">
        <v>2</v>
      </c>
      <c r="J1403" s="15">
        <v>192276</v>
      </c>
      <c r="K1403" s="15">
        <v>1089564</v>
      </c>
      <c r="L1403" s="15">
        <v>724123.31726889452</v>
      </c>
      <c r="M1403" s="15">
        <v>365440.68273110548</v>
      </c>
    </row>
    <row r="1404" spans="1:13" x14ac:dyDescent="0.25">
      <c r="A1404" s="12">
        <v>46329</v>
      </c>
      <c r="B1404" s="12" t="s">
        <v>19</v>
      </c>
      <c r="C1404" s="12" t="s">
        <v>14</v>
      </c>
      <c r="D1404" s="12" t="s">
        <v>15</v>
      </c>
      <c r="E1404" s="13">
        <v>19344</v>
      </c>
      <c r="F1404" s="14">
        <v>34</v>
      </c>
      <c r="G1404" s="15">
        <v>43178</v>
      </c>
      <c r="H1404" s="16">
        <v>0</v>
      </c>
      <c r="I1404" s="13">
        <v>2</v>
      </c>
      <c r="J1404" s="15">
        <v>0</v>
      </c>
      <c r="K1404" s="15">
        <v>1468052</v>
      </c>
      <c r="L1404" s="15">
        <v>1198771.4381755651</v>
      </c>
      <c r="M1404" s="15">
        <v>269280.5618244349</v>
      </c>
    </row>
    <row r="1405" spans="1:13" x14ac:dyDescent="0.25">
      <c r="A1405" s="12">
        <v>46330</v>
      </c>
      <c r="B1405" s="12" t="s">
        <v>24</v>
      </c>
      <c r="C1405" s="12" t="s">
        <v>17</v>
      </c>
      <c r="D1405" s="12" t="s">
        <v>15</v>
      </c>
      <c r="E1405" s="13">
        <v>25896</v>
      </c>
      <c r="F1405" s="14">
        <v>9</v>
      </c>
      <c r="G1405" s="15">
        <v>21659</v>
      </c>
      <c r="H1405" s="16">
        <v>0</v>
      </c>
      <c r="I1405" s="13">
        <v>2</v>
      </c>
      <c r="J1405" s="15">
        <v>0</v>
      </c>
      <c r="K1405" s="15">
        <v>194931</v>
      </c>
      <c r="L1405" s="15">
        <v>164365.76696727439</v>
      </c>
      <c r="M1405" s="15">
        <v>30565.233032725631</v>
      </c>
    </row>
    <row r="1406" spans="1:13" x14ac:dyDescent="0.25">
      <c r="A1406" s="12">
        <v>46331</v>
      </c>
      <c r="B1406" s="12" t="s">
        <v>24</v>
      </c>
      <c r="C1406" s="12" t="s">
        <v>20</v>
      </c>
      <c r="D1406" s="12" t="s">
        <v>25</v>
      </c>
      <c r="E1406" s="13">
        <v>99353</v>
      </c>
      <c r="F1406" s="14">
        <v>23</v>
      </c>
      <c r="G1406" s="15">
        <v>3909</v>
      </c>
      <c r="H1406" s="16">
        <v>0.15</v>
      </c>
      <c r="I1406" s="13">
        <v>4</v>
      </c>
      <c r="J1406" s="15">
        <v>13486.05</v>
      </c>
      <c r="K1406" s="15">
        <v>76420.95</v>
      </c>
      <c r="L1406" s="15">
        <v>55295.848979711103</v>
      </c>
      <c r="M1406" s="15">
        <v>21125.101020288901</v>
      </c>
    </row>
    <row r="1407" spans="1:13" x14ac:dyDescent="0.25">
      <c r="A1407" s="12">
        <v>46332</v>
      </c>
      <c r="B1407" s="12" t="s">
        <v>16</v>
      </c>
      <c r="C1407" s="12" t="s">
        <v>14</v>
      </c>
      <c r="D1407" s="12" t="s">
        <v>15</v>
      </c>
      <c r="E1407" s="13">
        <v>39813</v>
      </c>
      <c r="F1407" s="14">
        <v>35</v>
      </c>
      <c r="G1407" s="15">
        <v>26245</v>
      </c>
      <c r="H1407" s="16">
        <v>0.2</v>
      </c>
      <c r="I1407" s="13">
        <v>5</v>
      </c>
      <c r="J1407" s="15">
        <v>183715</v>
      </c>
      <c r="K1407" s="15">
        <v>734860</v>
      </c>
      <c r="L1407" s="15">
        <v>605470.09123434569</v>
      </c>
      <c r="M1407" s="15">
        <v>129389.9087656543</v>
      </c>
    </row>
    <row r="1408" spans="1:13" x14ac:dyDescent="0.25">
      <c r="A1408" s="12">
        <v>46333</v>
      </c>
      <c r="B1408" s="12" t="s">
        <v>24</v>
      </c>
      <c r="C1408" s="12" t="s">
        <v>17</v>
      </c>
      <c r="D1408" s="12" t="s">
        <v>27</v>
      </c>
      <c r="E1408" s="13">
        <v>94431</v>
      </c>
      <c r="F1408" s="14">
        <v>7</v>
      </c>
      <c r="G1408" s="15">
        <v>46448</v>
      </c>
      <c r="H1408" s="16">
        <v>0.15</v>
      </c>
      <c r="I1408" s="13">
        <v>1</v>
      </c>
      <c r="J1408" s="15">
        <v>48770.400000000001</v>
      </c>
      <c r="K1408" s="15">
        <v>276365.59999999998</v>
      </c>
      <c r="L1408" s="15">
        <v>199317.3538921485</v>
      </c>
      <c r="M1408" s="15">
        <v>77048.246107851504</v>
      </c>
    </row>
    <row r="1409" spans="1:13" x14ac:dyDescent="0.25">
      <c r="A1409" s="12">
        <v>46334</v>
      </c>
      <c r="B1409" s="12" t="s">
        <v>19</v>
      </c>
      <c r="C1409" s="12" t="s">
        <v>21</v>
      </c>
      <c r="D1409" s="12" t="s">
        <v>27</v>
      </c>
      <c r="E1409" s="13">
        <v>75679</v>
      </c>
      <c r="F1409" s="14">
        <v>15</v>
      </c>
      <c r="G1409" s="15">
        <v>29955</v>
      </c>
      <c r="H1409" s="16">
        <v>0.15</v>
      </c>
      <c r="I1409" s="13">
        <v>1</v>
      </c>
      <c r="J1409" s="15">
        <v>67398.75</v>
      </c>
      <c r="K1409" s="15">
        <v>381926.25</v>
      </c>
      <c r="L1409" s="15">
        <v>306879.72362786857</v>
      </c>
      <c r="M1409" s="15">
        <v>75046.526372131368</v>
      </c>
    </row>
    <row r="1410" spans="1:13" x14ac:dyDescent="0.25">
      <c r="A1410" s="12">
        <v>46335</v>
      </c>
      <c r="B1410" s="12" t="s">
        <v>13</v>
      </c>
      <c r="C1410" s="12" t="s">
        <v>14</v>
      </c>
      <c r="D1410" s="12" t="s">
        <v>22</v>
      </c>
      <c r="E1410" s="13">
        <v>20681</v>
      </c>
      <c r="F1410" s="14">
        <v>20</v>
      </c>
      <c r="G1410" s="15">
        <v>39410</v>
      </c>
      <c r="H1410" s="16">
        <v>0.05</v>
      </c>
      <c r="I1410" s="13">
        <v>2</v>
      </c>
      <c r="J1410" s="15">
        <v>39410</v>
      </c>
      <c r="K1410" s="15">
        <v>748790</v>
      </c>
      <c r="L1410" s="15">
        <v>620896.00516799418</v>
      </c>
      <c r="M1410" s="15">
        <v>127893.9948320058</v>
      </c>
    </row>
    <row r="1411" spans="1:13" x14ac:dyDescent="0.25">
      <c r="A1411" s="12">
        <v>46336</v>
      </c>
      <c r="B1411" s="12" t="s">
        <v>24</v>
      </c>
      <c r="C1411" s="12" t="s">
        <v>17</v>
      </c>
      <c r="D1411" s="12" t="s">
        <v>18</v>
      </c>
      <c r="E1411" s="13">
        <v>82903</v>
      </c>
      <c r="F1411" s="14">
        <v>25</v>
      </c>
      <c r="G1411" s="15">
        <v>39235</v>
      </c>
      <c r="H1411" s="16">
        <v>0.15</v>
      </c>
      <c r="I1411" s="13">
        <v>5</v>
      </c>
      <c r="J1411" s="15">
        <v>147131.25</v>
      </c>
      <c r="K1411" s="15">
        <v>833743.75</v>
      </c>
      <c r="L1411" s="15">
        <v>748350.03554190695</v>
      </c>
      <c r="M1411" s="15">
        <v>85393.714458093047</v>
      </c>
    </row>
    <row r="1412" spans="1:13" x14ac:dyDescent="0.25">
      <c r="A1412" s="12">
        <v>46337</v>
      </c>
      <c r="B1412" s="12" t="s">
        <v>16</v>
      </c>
      <c r="C1412" s="12" t="s">
        <v>21</v>
      </c>
      <c r="D1412" s="12" t="s">
        <v>25</v>
      </c>
      <c r="E1412" s="13">
        <v>13228</v>
      </c>
      <c r="F1412" s="14">
        <v>3</v>
      </c>
      <c r="G1412" s="15">
        <v>29666</v>
      </c>
      <c r="H1412" s="16">
        <v>0</v>
      </c>
      <c r="I1412" s="13">
        <v>5</v>
      </c>
      <c r="J1412" s="15">
        <v>0</v>
      </c>
      <c r="K1412" s="15">
        <v>88998</v>
      </c>
      <c r="L1412" s="15">
        <v>62620.683639100782</v>
      </c>
      <c r="M1412" s="15">
        <v>26377.316360899222</v>
      </c>
    </row>
    <row r="1413" spans="1:13" x14ac:dyDescent="0.25">
      <c r="A1413" s="12">
        <v>46338</v>
      </c>
      <c r="B1413" s="12" t="s">
        <v>24</v>
      </c>
      <c r="C1413" s="12" t="s">
        <v>20</v>
      </c>
      <c r="D1413" s="12" t="s">
        <v>26</v>
      </c>
      <c r="E1413" s="13">
        <v>14582</v>
      </c>
      <c r="F1413" s="14">
        <v>46</v>
      </c>
      <c r="G1413" s="15">
        <v>40473</v>
      </c>
      <c r="H1413" s="16">
        <v>0.1</v>
      </c>
      <c r="I1413" s="13">
        <v>3</v>
      </c>
      <c r="J1413" s="15">
        <v>186175.8</v>
      </c>
      <c r="K1413" s="15">
        <v>1675582.2</v>
      </c>
      <c r="L1413" s="15">
        <v>1211969.104621477</v>
      </c>
      <c r="M1413" s="15">
        <v>463613.09537852253</v>
      </c>
    </row>
    <row r="1414" spans="1:13" x14ac:dyDescent="0.25">
      <c r="A1414" s="12">
        <v>46339</v>
      </c>
      <c r="B1414" s="12" t="s">
        <v>19</v>
      </c>
      <c r="C1414" s="12" t="s">
        <v>20</v>
      </c>
      <c r="D1414" s="12" t="s">
        <v>18</v>
      </c>
      <c r="E1414" s="13">
        <v>88683</v>
      </c>
      <c r="F1414" s="14">
        <v>24</v>
      </c>
      <c r="G1414" s="15">
        <v>28572</v>
      </c>
      <c r="H1414" s="16">
        <v>0.05</v>
      </c>
      <c r="I1414" s="13">
        <v>5</v>
      </c>
      <c r="J1414" s="15">
        <v>34286.400000000001</v>
      </c>
      <c r="K1414" s="15">
        <v>651441.6</v>
      </c>
      <c r="L1414" s="15">
        <v>423232.49894827709</v>
      </c>
      <c r="M1414" s="15">
        <v>228209.10105172289</v>
      </c>
    </row>
    <row r="1415" spans="1:13" x14ac:dyDescent="0.25">
      <c r="A1415" s="12">
        <v>46340</v>
      </c>
      <c r="B1415" s="12" t="s">
        <v>16</v>
      </c>
      <c r="C1415" s="12" t="s">
        <v>20</v>
      </c>
      <c r="D1415" s="12" t="s">
        <v>26</v>
      </c>
      <c r="E1415" s="13">
        <v>21397</v>
      </c>
      <c r="F1415" s="14">
        <v>34</v>
      </c>
      <c r="G1415" s="15">
        <v>49274</v>
      </c>
      <c r="H1415" s="16">
        <v>0.05</v>
      </c>
      <c r="I1415" s="13">
        <v>5</v>
      </c>
      <c r="J1415" s="15">
        <v>83765.8</v>
      </c>
      <c r="K1415" s="15">
        <v>1591550.2</v>
      </c>
      <c r="L1415" s="15">
        <v>1052367.875074202</v>
      </c>
      <c r="M1415" s="15">
        <v>539182.32492579776</v>
      </c>
    </row>
    <row r="1416" spans="1:13" x14ac:dyDescent="0.25">
      <c r="A1416" s="12">
        <v>46341</v>
      </c>
      <c r="B1416" s="12" t="s">
        <v>24</v>
      </c>
      <c r="C1416" s="12" t="s">
        <v>20</v>
      </c>
      <c r="D1416" s="12" t="s">
        <v>22</v>
      </c>
      <c r="E1416" s="13">
        <v>48799</v>
      </c>
      <c r="F1416" s="14">
        <v>46</v>
      </c>
      <c r="G1416" s="15">
        <v>12609</v>
      </c>
      <c r="H1416" s="16">
        <v>0.2</v>
      </c>
      <c r="I1416" s="13">
        <v>1</v>
      </c>
      <c r="J1416" s="15">
        <v>116002.8</v>
      </c>
      <c r="K1416" s="15">
        <v>464011.2</v>
      </c>
      <c r="L1416" s="15">
        <v>374929.63416890288</v>
      </c>
      <c r="M1416" s="15">
        <v>89081.565831097076</v>
      </c>
    </row>
    <row r="1417" spans="1:13" x14ac:dyDescent="0.25">
      <c r="A1417" s="12">
        <v>46342</v>
      </c>
      <c r="B1417" s="12" t="s">
        <v>16</v>
      </c>
      <c r="C1417" s="12" t="s">
        <v>23</v>
      </c>
      <c r="D1417" s="12" t="s">
        <v>22</v>
      </c>
      <c r="E1417" s="13">
        <v>47011</v>
      </c>
      <c r="F1417" s="14">
        <v>22</v>
      </c>
      <c r="G1417" s="15">
        <v>46302</v>
      </c>
      <c r="H1417" s="16">
        <v>0.1</v>
      </c>
      <c r="I1417" s="13">
        <v>5</v>
      </c>
      <c r="J1417" s="15">
        <v>101864.4</v>
      </c>
      <c r="K1417" s="15">
        <v>916779.6</v>
      </c>
      <c r="L1417" s="15">
        <v>802286.36679707526</v>
      </c>
      <c r="M1417" s="15">
        <v>114493.2332029247</v>
      </c>
    </row>
    <row r="1418" spans="1:13" x14ac:dyDescent="0.25">
      <c r="A1418" s="12">
        <v>46343</v>
      </c>
      <c r="B1418" s="12" t="s">
        <v>19</v>
      </c>
      <c r="C1418" s="12" t="s">
        <v>14</v>
      </c>
      <c r="D1418" s="12" t="s">
        <v>15</v>
      </c>
      <c r="E1418" s="13">
        <v>89183</v>
      </c>
      <c r="F1418" s="14">
        <v>11</v>
      </c>
      <c r="G1418" s="15">
        <v>2984</v>
      </c>
      <c r="H1418" s="16">
        <v>0.05</v>
      </c>
      <c r="I1418" s="13">
        <v>5</v>
      </c>
      <c r="J1418" s="15">
        <v>1641.2</v>
      </c>
      <c r="K1418" s="15">
        <v>31182.799999999999</v>
      </c>
      <c r="L1418" s="15">
        <v>22401.146185998641</v>
      </c>
      <c r="M1418" s="15">
        <v>8781.6538140013618</v>
      </c>
    </row>
    <row r="1419" spans="1:13" x14ac:dyDescent="0.25">
      <c r="A1419" s="12">
        <v>46344</v>
      </c>
      <c r="B1419" s="12" t="s">
        <v>13</v>
      </c>
      <c r="C1419" s="12" t="s">
        <v>14</v>
      </c>
      <c r="D1419" s="12" t="s">
        <v>22</v>
      </c>
      <c r="E1419" s="13">
        <v>54264</v>
      </c>
      <c r="F1419" s="14">
        <v>48</v>
      </c>
      <c r="G1419" s="15">
        <v>35122</v>
      </c>
      <c r="H1419" s="16">
        <v>0.15</v>
      </c>
      <c r="I1419" s="13">
        <v>1</v>
      </c>
      <c r="J1419" s="15">
        <v>252878.4</v>
      </c>
      <c r="K1419" s="15">
        <v>1432977.6</v>
      </c>
      <c r="L1419" s="15">
        <v>937100.47913991648</v>
      </c>
      <c r="M1419" s="15">
        <v>495877.12086008361</v>
      </c>
    </row>
    <row r="1420" spans="1:13" x14ac:dyDescent="0.25">
      <c r="A1420" s="12">
        <v>46345</v>
      </c>
      <c r="B1420" s="12" t="s">
        <v>19</v>
      </c>
      <c r="C1420" s="12" t="s">
        <v>23</v>
      </c>
      <c r="D1420" s="12" t="s">
        <v>22</v>
      </c>
      <c r="E1420" s="13">
        <v>52317</v>
      </c>
      <c r="F1420" s="14">
        <v>8</v>
      </c>
      <c r="G1420" s="15">
        <v>44899</v>
      </c>
      <c r="H1420" s="16">
        <v>0.05</v>
      </c>
      <c r="I1420" s="13">
        <v>5</v>
      </c>
      <c r="J1420" s="15">
        <v>17959.599999999999</v>
      </c>
      <c r="K1420" s="15">
        <v>341232.4</v>
      </c>
      <c r="L1420" s="15">
        <v>233924.99592397729</v>
      </c>
      <c r="M1420" s="15">
        <v>107307.40407602271</v>
      </c>
    </row>
    <row r="1421" spans="1:13" x14ac:dyDescent="0.25">
      <c r="A1421" s="12">
        <v>46346</v>
      </c>
      <c r="B1421" s="12" t="s">
        <v>19</v>
      </c>
      <c r="C1421" s="12" t="s">
        <v>17</v>
      </c>
      <c r="D1421" s="12" t="s">
        <v>26</v>
      </c>
      <c r="E1421" s="13">
        <v>57914</v>
      </c>
      <c r="F1421" s="14">
        <v>39</v>
      </c>
      <c r="G1421" s="15">
        <v>3097</v>
      </c>
      <c r="H1421" s="16">
        <v>0.05</v>
      </c>
      <c r="I1421" s="13">
        <v>1</v>
      </c>
      <c r="J1421" s="15">
        <v>6039.1500000000005</v>
      </c>
      <c r="K1421" s="15">
        <v>114743.85</v>
      </c>
      <c r="L1421" s="15">
        <v>84510.625367624802</v>
      </c>
      <c r="M1421" s="15">
        <v>30233.224632375201</v>
      </c>
    </row>
    <row r="1422" spans="1:13" x14ac:dyDescent="0.25">
      <c r="A1422" s="12">
        <v>46347</v>
      </c>
      <c r="B1422" s="12" t="s">
        <v>19</v>
      </c>
      <c r="C1422" s="12" t="s">
        <v>17</v>
      </c>
      <c r="D1422" s="12" t="s">
        <v>15</v>
      </c>
      <c r="E1422" s="13">
        <v>94633</v>
      </c>
      <c r="F1422" s="14">
        <v>43</v>
      </c>
      <c r="G1422" s="15">
        <v>41097</v>
      </c>
      <c r="H1422" s="16">
        <v>0.05</v>
      </c>
      <c r="I1422" s="13">
        <v>3</v>
      </c>
      <c r="J1422" s="15">
        <v>88358.55</v>
      </c>
      <c r="K1422" s="15">
        <v>1678812.45</v>
      </c>
      <c r="L1422" s="15">
        <v>1153671.6874605541</v>
      </c>
      <c r="M1422" s="15">
        <v>525140.76253944566</v>
      </c>
    </row>
    <row r="1423" spans="1:13" x14ac:dyDescent="0.25">
      <c r="A1423" s="12">
        <v>46348</v>
      </c>
      <c r="B1423" s="12" t="s">
        <v>19</v>
      </c>
      <c r="C1423" s="12" t="s">
        <v>20</v>
      </c>
      <c r="D1423" s="12" t="s">
        <v>22</v>
      </c>
      <c r="E1423" s="13">
        <v>55254</v>
      </c>
      <c r="F1423" s="14">
        <v>35</v>
      </c>
      <c r="G1423" s="15">
        <v>41454</v>
      </c>
      <c r="H1423" s="16">
        <v>0.2</v>
      </c>
      <c r="I1423" s="13">
        <v>4</v>
      </c>
      <c r="J1423" s="15">
        <v>290178</v>
      </c>
      <c r="K1423" s="15">
        <v>1160712</v>
      </c>
      <c r="L1423" s="15">
        <v>777762.6134185642</v>
      </c>
      <c r="M1423" s="15">
        <v>382949.3865814358</v>
      </c>
    </row>
    <row r="1424" spans="1:13" x14ac:dyDescent="0.25">
      <c r="A1424" s="12">
        <v>46349</v>
      </c>
      <c r="B1424" s="12" t="s">
        <v>13</v>
      </c>
      <c r="C1424" s="12" t="s">
        <v>21</v>
      </c>
      <c r="D1424" s="12" t="s">
        <v>18</v>
      </c>
      <c r="E1424" s="13">
        <v>50096</v>
      </c>
      <c r="F1424" s="14">
        <v>49</v>
      </c>
      <c r="G1424" s="15">
        <v>4483</v>
      </c>
      <c r="H1424" s="16">
        <v>0.05</v>
      </c>
      <c r="I1424" s="13">
        <v>1</v>
      </c>
      <c r="J1424" s="15">
        <v>10983.35</v>
      </c>
      <c r="K1424" s="15">
        <v>208683.65</v>
      </c>
      <c r="L1424" s="15">
        <v>171286.56883716339</v>
      </c>
      <c r="M1424" s="15">
        <v>37397.081162836606</v>
      </c>
    </row>
    <row r="1425" spans="1:13" x14ac:dyDescent="0.25">
      <c r="A1425" s="12">
        <v>46350</v>
      </c>
      <c r="B1425" s="12" t="s">
        <v>13</v>
      </c>
      <c r="C1425" s="12" t="s">
        <v>17</v>
      </c>
      <c r="D1425" s="12" t="s">
        <v>22</v>
      </c>
      <c r="E1425" s="13">
        <v>63785</v>
      </c>
      <c r="F1425" s="14">
        <v>46</v>
      </c>
      <c r="G1425" s="15">
        <v>39952</v>
      </c>
      <c r="H1425" s="16">
        <v>0.05</v>
      </c>
      <c r="I1425" s="13">
        <v>1</v>
      </c>
      <c r="J1425" s="15">
        <v>91889.600000000006</v>
      </c>
      <c r="K1425" s="15">
        <v>1745902.4</v>
      </c>
      <c r="L1425" s="15">
        <v>1051650.3800465439</v>
      </c>
      <c r="M1425" s="15">
        <v>694252.01995345554</v>
      </c>
    </row>
    <row r="1426" spans="1:13" x14ac:dyDescent="0.25">
      <c r="A1426" s="12">
        <v>46351</v>
      </c>
      <c r="B1426" s="12" t="s">
        <v>16</v>
      </c>
      <c r="C1426" s="12" t="s">
        <v>21</v>
      </c>
      <c r="D1426" s="12" t="s">
        <v>15</v>
      </c>
      <c r="E1426" s="13">
        <v>62344</v>
      </c>
      <c r="F1426" s="14">
        <v>38</v>
      </c>
      <c r="G1426" s="15">
        <v>43651</v>
      </c>
      <c r="H1426" s="16">
        <v>0.2</v>
      </c>
      <c r="I1426" s="13">
        <v>5</v>
      </c>
      <c r="J1426" s="15">
        <v>331747.59999999998</v>
      </c>
      <c r="K1426" s="15">
        <v>1326990.3999999999</v>
      </c>
      <c r="L1426" s="15">
        <v>1010860.359948735</v>
      </c>
      <c r="M1426" s="15">
        <v>316130.0400512648</v>
      </c>
    </row>
    <row r="1427" spans="1:13" x14ac:dyDescent="0.25">
      <c r="A1427" s="12">
        <v>46352</v>
      </c>
      <c r="B1427" s="12" t="s">
        <v>24</v>
      </c>
      <c r="C1427" s="12" t="s">
        <v>14</v>
      </c>
      <c r="D1427" s="12" t="s">
        <v>25</v>
      </c>
      <c r="E1427" s="13">
        <v>92643</v>
      </c>
      <c r="F1427" s="14">
        <v>8</v>
      </c>
      <c r="G1427" s="15">
        <v>17540</v>
      </c>
      <c r="H1427" s="16">
        <v>0.1</v>
      </c>
      <c r="I1427" s="13">
        <v>1</v>
      </c>
      <c r="J1427" s="15">
        <v>14032</v>
      </c>
      <c r="K1427" s="15">
        <v>126288</v>
      </c>
      <c r="L1427" s="15">
        <v>105845.76675785211</v>
      </c>
      <c r="M1427" s="15">
        <v>20442.23324214794</v>
      </c>
    </row>
    <row r="1428" spans="1:13" x14ac:dyDescent="0.25">
      <c r="A1428" s="12">
        <v>46353</v>
      </c>
      <c r="B1428" s="12" t="s">
        <v>13</v>
      </c>
      <c r="C1428" s="12" t="s">
        <v>21</v>
      </c>
      <c r="D1428" s="12" t="s">
        <v>15</v>
      </c>
      <c r="E1428" s="13">
        <v>78546</v>
      </c>
      <c r="F1428" s="14">
        <v>37</v>
      </c>
      <c r="G1428" s="15">
        <v>45272</v>
      </c>
      <c r="H1428" s="16">
        <v>0</v>
      </c>
      <c r="I1428" s="13">
        <v>2</v>
      </c>
      <c r="J1428" s="15">
        <v>0</v>
      </c>
      <c r="K1428" s="15">
        <v>1675064</v>
      </c>
      <c r="L1428" s="15">
        <v>1138823.225457625</v>
      </c>
      <c r="M1428" s="15">
        <v>536240.774542375</v>
      </c>
    </row>
    <row r="1429" spans="1:13" x14ac:dyDescent="0.25">
      <c r="A1429" s="12">
        <v>46354</v>
      </c>
      <c r="B1429" s="12" t="s">
        <v>13</v>
      </c>
      <c r="C1429" s="12" t="s">
        <v>14</v>
      </c>
      <c r="D1429" s="12" t="s">
        <v>26</v>
      </c>
      <c r="E1429" s="13">
        <v>81091</v>
      </c>
      <c r="F1429" s="14">
        <v>27</v>
      </c>
      <c r="G1429" s="15">
        <v>31054</v>
      </c>
      <c r="H1429" s="16">
        <v>0.2</v>
      </c>
      <c r="I1429" s="13">
        <v>2</v>
      </c>
      <c r="J1429" s="15">
        <v>167691.6</v>
      </c>
      <c r="K1429" s="15">
        <v>670766.4</v>
      </c>
      <c r="L1429" s="15">
        <v>523860.14241713542</v>
      </c>
      <c r="M1429" s="15">
        <v>146906.25758286461</v>
      </c>
    </row>
    <row r="1430" spans="1:13" x14ac:dyDescent="0.25">
      <c r="A1430" s="12">
        <v>46355</v>
      </c>
      <c r="B1430" s="12" t="s">
        <v>24</v>
      </c>
      <c r="C1430" s="12" t="s">
        <v>23</v>
      </c>
      <c r="D1430" s="12" t="s">
        <v>25</v>
      </c>
      <c r="E1430" s="13">
        <v>75603</v>
      </c>
      <c r="F1430" s="14">
        <v>28</v>
      </c>
      <c r="G1430" s="15">
        <v>28416</v>
      </c>
      <c r="H1430" s="16">
        <v>0.2</v>
      </c>
      <c r="I1430" s="13">
        <v>3</v>
      </c>
      <c r="J1430" s="15">
        <v>159129.60000000001</v>
      </c>
      <c r="K1430" s="15">
        <v>636518.40000000002</v>
      </c>
      <c r="L1430" s="15">
        <v>509641.20749645808</v>
      </c>
      <c r="M1430" s="15">
        <v>126877.1925035419</v>
      </c>
    </row>
    <row r="1431" spans="1:13" x14ac:dyDescent="0.25">
      <c r="A1431" s="12">
        <v>46356</v>
      </c>
      <c r="B1431" s="12" t="s">
        <v>13</v>
      </c>
      <c r="C1431" s="12" t="s">
        <v>23</v>
      </c>
      <c r="D1431" s="12" t="s">
        <v>18</v>
      </c>
      <c r="E1431" s="13">
        <v>38412</v>
      </c>
      <c r="F1431" s="14">
        <v>40</v>
      </c>
      <c r="G1431" s="15">
        <v>45371</v>
      </c>
      <c r="H1431" s="16">
        <v>0.05</v>
      </c>
      <c r="I1431" s="13">
        <v>1</v>
      </c>
      <c r="J1431" s="15">
        <v>90742</v>
      </c>
      <c r="K1431" s="15">
        <v>1724098</v>
      </c>
      <c r="L1431" s="15">
        <v>1373256.8307067871</v>
      </c>
      <c r="M1431" s="15">
        <v>350841.16929321323</v>
      </c>
    </row>
    <row r="1432" spans="1:13" x14ac:dyDescent="0.25">
      <c r="A1432" s="12">
        <v>46357</v>
      </c>
      <c r="B1432" s="12" t="s">
        <v>19</v>
      </c>
      <c r="C1432" s="12" t="s">
        <v>20</v>
      </c>
      <c r="D1432" s="12" t="s">
        <v>27</v>
      </c>
      <c r="E1432" s="13">
        <v>61658</v>
      </c>
      <c r="F1432" s="14">
        <v>34</v>
      </c>
      <c r="G1432" s="15">
        <v>26872</v>
      </c>
      <c r="H1432" s="16">
        <v>0.05</v>
      </c>
      <c r="I1432" s="13">
        <v>5</v>
      </c>
      <c r="J1432" s="15">
        <v>45682.400000000001</v>
      </c>
      <c r="K1432" s="15">
        <v>867965.6</v>
      </c>
      <c r="L1432" s="15">
        <v>636874.00357712118</v>
      </c>
      <c r="M1432" s="15">
        <v>231091.59642287879</v>
      </c>
    </row>
    <row r="1433" spans="1:13" x14ac:dyDescent="0.25">
      <c r="A1433" s="12">
        <v>46358</v>
      </c>
      <c r="B1433" s="12" t="s">
        <v>19</v>
      </c>
      <c r="C1433" s="12" t="s">
        <v>17</v>
      </c>
      <c r="D1433" s="12" t="s">
        <v>15</v>
      </c>
      <c r="E1433" s="13">
        <v>59549</v>
      </c>
      <c r="F1433" s="14">
        <v>32</v>
      </c>
      <c r="G1433" s="15">
        <v>39580</v>
      </c>
      <c r="H1433" s="16">
        <v>0</v>
      </c>
      <c r="I1433" s="13">
        <v>5</v>
      </c>
      <c r="J1433" s="15">
        <v>0</v>
      </c>
      <c r="K1433" s="15">
        <v>1266560</v>
      </c>
      <c r="L1433" s="15">
        <v>891624.54489718401</v>
      </c>
      <c r="M1433" s="15">
        <v>374935.45510281599</v>
      </c>
    </row>
    <row r="1434" spans="1:13" x14ac:dyDescent="0.25">
      <c r="A1434" s="12">
        <v>46359</v>
      </c>
      <c r="B1434" s="12" t="s">
        <v>24</v>
      </c>
      <c r="C1434" s="12" t="s">
        <v>20</v>
      </c>
      <c r="D1434" s="12" t="s">
        <v>26</v>
      </c>
      <c r="E1434" s="13">
        <v>21549</v>
      </c>
      <c r="F1434" s="14">
        <v>15</v>
      </c>
      <c r="G1434" s="15">
        <v>41206</v>
      </c>
      <c r="H1434" s="16">
        <v>0.05</v>
      </c>
      <c r="I1434" s="13">
        <v>4</v>
      </c>
      <c r="J1434" s="15">
        <v>30904.5</v>
      </c>
      <c r="K1434" s="15">
        <v>587185.5</v>
      </c>
      <c r="L1434" s="15">
        <v>499564.04843486188</v>
      </c>
      <c r="M1434" s="15">
        <v>87621.451565138064</v>
      </c>
    </row>
    <row r="1435" spans="1:13" x14ac:dyDescent="0.25">
      <c r="A1435" s="12">
        <v>46360</v>
      </c>
      <c r="B1435" s="12" t="s">
        <v>16</v>
      </c>
      <c r="C1435" s="12" t="s">
        <v>14</v>
      </c>
      <c r="D1435" s="12" t="s">
        <v>18</v>
      </c>
      <c r="E1435" s="13">
        <v>81216</v>
      </c>
      <c r="F1435" s="14">
        <v>44</v>
      </c>
      <c r="G1435" s="15">
        <v>43222</v>
      </c>
      <c r="H1435" s="16">
        <v>0.15</v>
      </c>
      <c r="I1435" s="13">
        <v>3</v>
      </c>
      <c r="J1435" s="15">
        <v>285265.2</v>
      </c>
      <c r="K1435" s="15">
        <v>1616502.8</v>
      </c>
      <c r="L1435" s="15">
        <v>1337710.6839416879</v>
      </c>
      <c r="M1435" s="15">
        <v>278792.11605831189</v>
      </c>
    </row>
    <row r="1436" spans="1:13" x14ac:dyDescent="0.25">
      <c r="A1436" s="12">
        <v>46361</v>
      </c>
      <c r="B1436" s="12" t="s">
        <v>16</v>
      </c>
      <c r="C1436" s="12" t="s">
        <v>20</v>
      </c>
      <c r="D1436" s="12" t="s">
        <v>25</v>
      </c>
      <c r="E1436" s="13">
        <v>35739</v>
      </c>
      <c r="F1436" s="14">
        <v>17</v>
      </c>
      <c r="G1436" s="15">
        <v>29548</v>
      </c>
      <c r="H1436" s="16">
        <v>0.05</v>
      </c>
      <c r="I1436" s="13">
        <v>5</v>
      </c>
      <c r="J1436" s="15">
        <v>25115.8</v>
      </c>
      <c r="K1436" s="15">
        <v>477200.2</v>
      </c>
      <c r="L1436" s="15">
        <v>332311.02990124607</v>
      </c>
      <c r="M1436" s="15">
        <v>144889.17009875391</v>
      </c>
    </row>
    <row r="1437" spans="1:13" x14ac:dyDescent="0.25">
      <c r="A1437" s="12">
        <v>46362</v>
      </c>
      <c r="B1437" s="12" t="s">
        <v>24</v>
      </c>
      <c r="C1437" s="12" t="s">
        <v>21</v>
      </c>
      <c r="D1437" s="12" t="s">
        <v>18</v>
      </c>
      <c r="E1437" s="13">
        <v>31209</v>
      </c>
      <c r="F1437" s="14">
        <v>33</v>
      </c>
      <c r="G1437" s="15">
        <v>20169</v>
      </c>
      <c r="H1437" s="16">
        <v>0.05</v>
      </c>
      <c r="I1437" s="13">
        <v>4</v>
      </c>
      <c r="J1437" s="15">
        <v>33278.85</v>
      </c>
      <c r="K1437" s="15">
        <v>632298.15</v>
      </c>
      <c r="L1437" s="15">
        <v>398920.54381808918</v>
      </c>
      <c r="M1437" s="15">
        <v>233377.60618191081</v>
      </c>
    </row>
    <row r="1438" spans="1:13" x14ac:dyDescent="0.25">
      <c r="A1438" s="12">
        <v>46363</v>
      </c>
      <c r="B1438" s="12" t="s">
        <v>24</v>
      </c>
      <c r="C1438" s="12" t="s">
        <v>14</v>
      </c>
      <c r="D1438" s="12" t="s">
        <v>15</v>
      </c>
      <c r="E1438" s="13">
        <v>97968</v>
      </c>
      <c r="F1438" s="14">
        <v>47</v>
      </c>
      <c r="G1438" s="15">
        <v>10277</v>
      </c>
      <c r="H1438" s="16">
        <v>0.15</v>
      </c>
      <c r="I1438" s="13">
        <v>5</v>
      </c>
      <c r="J1438" s="15">
        <v>72452.849999999991</v>
      </c>
      <c r="K1438" s="15">
        <v>410566.15</v>
      </c>
      <c r="L1438" s="15">
        <v>255184.21424234891</v>
      </c>
      <c r="M1438" s="15">
        <v>155381.93575765111</v>
      </c>
    </row>
    <row r="1439" spans="1:13" x14ac:dyDescent="0.25">
      <c r="A1439" s="12">
        <v>46364</v>
      </c>
      <c r="B1439" s="12" t="s">
        <v>19</v>
      </c>
      <c r="C1439" s="12" t="s">
        <v>23</v>
      </c>
      <c r="D1439" s="12" t="s">
        <v>22</v>
      </c>
      <c r="E1439" s="13">
        <v>25116</v>
      </c>
      <c r="F1439" s="14">
        <v>46</v>
      </c>
      <c r="G1439" s="15">
        <v>36831</v>
      </c>
      <c r="H1439" s="16">
        <v>0</v>
      </c>
      <c r="I1439" s="13">
        <v>4</v>
      </c>
      <c r="J1439" s="15">
        <v>0</v>
      </c>
      <c r="K1439" s="15">
        <v>1694226</v>
      </c>
      <c r="L1439" s="15">
        <v>1064453.0438795411</v>
      </c>
      <c r="M1439" s="15">
        <v>629772.95612045913</v>
      </c>
    </row>
    <row r="1440" spans="1:13" x14ac:dyDescent="0.25">
      <c r="A1440" s="12">
        <v>46365</v>
      </c>
      <c r="B1440" s="12" t="s">
        <v>16</v>
      </c>
      <c r="C1440" s="12" t="s">
        <v>17</v>
      </c>
      <c r="D1440" s="12" t="s">
        <v>15</v>
      </c>
      <c r="E1440" s="13">
        <v>30045</v>
      </c>
      <c r="F1440" s="14">
        <v>16</v>
      </c>
      <c r="G1440" s="15">
        <v>21468</v>
      </c>
      <c r="H1440" s="16">
        <v>0.15</v>
      </c>
      <c r="I1440" s="13">
        <v>2</v>
      </c>
      <c r="J1440" s="15">
        <v>51523.199999999997</v>
      </c>
      <c r="K1440" s="15">
        <v>291964.79999999999</v>
      </c>
      <c r="L1440" s="15">
        <v>226232.08093996879</v>
      </c>
      <c r="M1440" s="15">
        <v>65732.719060031231</v>
      </c>
    </row>
    <row r="1441" spans="1:13" x14ac:dyDescent="0.25">
      <c r="A1441" s="12">
        <v>46366</v>
      </c>
      <c r="B1441" s="12" t="s">
        <v>13</v>
      </c>
      <c r="C1441" s="12" t="s">
        <v>14</v>
      </c>
      <c r="D1441" s="12" t="s">
        <v>27</v>
      </c>
      <c r="E1441" s="13">
        <v>36327</v>
      </c>
      <c r="F1441" s="14">
        <v>29</v>
      </c>
      <c r="G1441" s="15">
        <v>38309</v>
      </c>
      <c r="H1441" s="16">
        <v>0.2</v>
      </c>
      <c r="I1441" s="13">
        <v>2</v>
      </c>
      <c r="J1441" s="15">
        <v>222192.2</v>
      </c>
      <c r="K1441" s="15">
        <v>888768.8</v>
      </c>
      <c r="L1441" s="15">
        <v>547035.99900507601</v>
      </c>
      <c r="M1441" s="15">
        <v>341732.80099492398</v>
      </c>
    </row>
    <row r="1442" spans="1:13" x14ac:dyDescent="0.25">
      <c r="A1442" s="12">
        <v>46367</v>
      </c>
      <c r="B1442" s="12" t="s">
        <v>19</v>
      </c>
      <c r="C1442" s="12" t="s">
        <v>14</v>
      </c>
      <c r="D1442" s="12" t="s">
        <v>15</v>
      </c>
      <c r="E1442" s="13">
        <v>45709</v>
      </c>
      <c r="F1442" s="14">
        <v>9</v>
      </c>
      <c r="G1442" s="15">
        <v>11792</v>
      </c>
      <c r="H1442" s="16">
        <v>0.15</v>
      </c>
      <c r="I1442" s="13">
        <v>5</v>
      </c>
      <c r="J1442" s="15">
        <v>15919.2</v>
      </c>
      <c r="K1442" s="15">
        <v>90208.8</v>
      </c>
      <c r="L1442" s="15">
        <v>63243.41072347678</v>
      </c>
      <c r="M1442" s="15">
        <v>26965.389276523219</v>
      </c>
    </row>
    <row r="1443" spans="1:13" x14ac:dyDescent="0.25">
      <c r="A1443" s="12">
        <v>46368</v>
      </c>
      <c r="B1443" s="12" t="s">
        <v>24</v>
      </c>
      <c r="C1443" s="12" t="s">
        <v>21</v>
      </c>
      <c r="D1443" s="12" t="s">
        <v>25</v>
      </c>
      <c r="E1443" s="13">
        <v>53617</v>
      </c>
      <c r="F1443" s="14">
        <v>33</v>
      </c>
      <c r="G1443" s="15">
        <v>41294</v>
      </c>
      <c r="H1443" s="16">
        <v>0.1</v>
      </c>
      <c r="I1443" s="13">
        <v>3</v>
      </c>
      <c r="J1443" s="15">
        <v>136270.20000000001</v>
      </c>
      <c r="K1443" s="15">
        <v>1226431.8</v>
      </c>
      <c r="L1443" s="15">
        <v>1012983.49985344</v>
      </c>
      <c r="M1443" s="15">
        <v>213448.3001465605</v>
      </c>
    </row>
    <row r="1444" spans="1:13" x14ac:dyDescent="0.25">
      <c r="A1444" s="12">
        <v>46369</v>
      </c>
      <c r="B1444" s="12" t="s">
        <v>16</v>
      </c>
      <c r="C1444" s="12" t="s">
        <v>17</v>
      </c>
      <c r="D1444" s="12" t="s">
        <v>25</v>
      </c>
      <c r="E1444" s="13">
        <v>70139</v>
      </c>
      <c r="F1444" s="14">
        <v>49</v>
      </c>
      <c r="G1444" s="15">
        <v>14423</v>
      </c>
      <c r="H1444" s="16">
        <v>0.2</v>
      </c>
      <c r="I1444" s="13">
        <v>1</v>
      </c>
      <c r="J1444" s="15">
        <v>141345.4</v>
      </c>
      <c r="K1444" s="15">
        <v>565381.6</v>
      </c>
      <c r="L1444" s="15">
        <v>389154.6712024592</v>
      </c>
      <c r="M1444" s="15">
        <v>176226.92879754081</v>
      </c>
    </row>
    <row r="1445" spans="1:13" x14ac:dyDescent="0.25">
      <c r="A1445" s="12">
        <v>46370</v>
      </c>
      <c r="B1445" s="12" t="s">
        <v>13</v>
      </c>
      <c r="C1445" s="12" t="s">
        <v>23</v>
      </c>
      <c r="D1445" s="12" t="s">
        <v>15</v>
      </c>
      <c r="E1445" s="13">
        <v>36905</v>
      </c>
      <c r="F1445" s="14">
        <v>29</v>
      </c>
      <c r="G1445" s="15">
        <v>28203</v>
      </c>
      <c r="H1445" s="16">
        <v>0.05</v>
      </c>
      <c r="I1445" s="13">
        <v>3</v>
      </c>
      <c r="J1445" s="15">
        <v>40894.350000000013</v>
      </c>
      <c r="K1445" s="15">
        <v>776992.65</v>
      </c>
      <c r="L1445" s="15">
        <v>644121.01969637815</v>
      </c>
      <c r="M1445" s="15">
        <v>132871.6303036219</v>
      </c>
    </row>
    <row r="1446" spans="1:13" x14ac:dyDescent="0.25">
      <c r="A1446" s="12">
        <v>46371</v>
      </c>
      <c r="B1446" s="12" t="s">
        <v>13</v>
      </c>
      <c r="C1446" s="12" t="s">
        <v>14</v>
      </c>
      <c r="D1446" s="12" t="s">
        <v>25</v>
      </c>
      <c r="E1446" s="13">
        <v>74148</v>
      </c>
      <c r="F1446" s="14">
        <v>13</v>
      </c>
      <c r="G1446" s="15">
        <v>19157</v>
      </c>
      <c r="H1446" s="16">
        <v>0.2</v>
      </c>
      <c r="I1446" s="13">
        <v>3</v>
      </c>
      <c r="J1446" s="15">
        <v>49808.2</v>
      </c>
      <c r="K1446" s="15">
        <v>199232.8</v>
      </c>
      <c r="L1446" s="15">
        <v>164096.1255989096</v>
      </c>
      <c r="M1446" s="15">
        <v>35136.674401090422</v>
      </c>
    </row>
    <row r="1447" spans="1:13" x14ac:dyDescent="0.25">
      <c r="A1447" s="12">
        <v>46372</v>
      </c>
      <c r="B1447" s="12" t="s">
        <v>19</v>
      </c>
      <c r="C1447" s="12" t="s">
        <v>14</v>
      </c>
      <c r="D1447" s="12" t="s">
        <v>22</v>
      </c>
      <c r="E1447" s="13">
        <v>82603</v>
      </c>
      <c r="F1447" s="14">
        <v>21</v>
      </c>
      <c r="G1447" s="15">
        <v>4129</v>
      </c>
      <c r="H1447" s="16">
        <v>0</v>
      </c>
      <c r="I1447" s="13">
        <v>1</v>
      </c>
      <c r="J1447" s="15">
        <v>0</v>
      </c>
      <c r="K1447" s="15">
        <v>86709</v>
      </c>
      <c r="L1447" s="15">
        <v>58420.02745304806</v>
      </c>
      <c r="M1447" s="15">
        <v>28288.97254695194</v>
      </c>
    </row>
    <row r="1448" spans="1:13" x14ac:dyDescent="0.25">
      <c r="A1448" s="12">
        <v>46373</v>
      </c>
      <c r="B1448" s="12" t="s">
        <v>16</v>
      </c>
      <c r="C1448" s="12" t="s">
        <v>21</v>
      </c>
      <c r="D1448" s="12" t="s">
        <v>18</v>
      </c>
      <c r="E1448" s="13">
        <v>52919</v>
      </c>
      <c r="F1448" s="14">
        <v>21</v>
      </c>
      <c r="G1448" s="15">
        <v>2614</v>
      </c>
      <c r="H1448" s="16">
        <v>0</v>
      </c>
      <c r="I1448" s="13">
        <v>2</v>
      </c>
      <c r="J1448" s="15">
        <v>0</v>
      </c>
      <c r="K1448" s="15">
        <v>54894</v>
      </c>
      <c r="L1448" s="15">
        <v>44938.789426203351</v>
      </c>
      <c r="M1448" s="15">
        <v>9955.2105737966485</v>
      </c>
    </row>
    <row r="1449" spans="1:13" x14ac:dyDescent="0.25">
      <c r="A1449" s="12">
        <v>46374</v>
      </c>
      <c r="B1449" s="12" t="s">
        <v>16</v>
      </c>
      <c r="C1449" s="12" t="s">
        <v>20</v>
      </c>
      <c r="D1449" s="12" t="s">
        <v>15</v>
      </c>
      <c r="E1449" s="13">
        <v>93521</v>
      </c>
      <c r="F1449" s="14">
        <v>5</v>
      </c>
      <c r="G1449" s="15">
        <v>34945</v>
      </c>
      <c r="H1449" s="16">
        <v>0.15</v>
      </c>
      <c r="I1449" s="13">
        <v>2</v>
      </c>
      <c r="J1449" s="15">
        <v>26208.75</v>
      </c>
      <c r="K1449" s="15">
        <v>148516.25</v>
      </c>
      <c r="L1449" s="15">
        <v>122426.8446461337</v>
      </c>
      <c r="M1449" s="15">
        <v>26089.405353866339</v>
      </c>
    </row>
    <row r="1450" spans="1:13" x14ac:dyDescent="0.25">
      <c r="A1450" s="12">
        <v>46375</v>
      </c>
      <c r="B1450" s="12" t="s">
        <v>24</v>
      </c>
      <c r="C1450" s="12" t="s">
        <v>23</v>
      </c>
      <c r="D1450" s="12" t="s">
        <v>22</v>
      </c>
      <c r="E1450" s="13">
        <v>93400</v>
      </c>
      <c r="F1450" s="14">
        <v>10</v>
      </c>
      <c r="G1450" s="15">
        <v>36362</v>
      </c>
      <c r="H1450" s="16">
        <v>0.2</v>
      </c>
      <c r="I1450" s="13">
        <v>1</v>
      </c>
      <c r="J1450" s="15">
        <v>72724</v>
      </c>
      <c r="K1450" s="15">
        <v>290896</v>
      </c>
      <c r="L1450" s="15">
        <v>209222.9271482506</v>
      </c>
      <c r="M1450" s="15">
        <v>81673.07285174937</v>
      </c>
    </row>
    <row r="1451" spans="1:13" x14ac:dyDescent="0.25">
      <c r="A1451" s="12">
        <v>46376</v>
      </c>
      <c r="B1451" s="12" t="s">
        <v>16</v>
      </c>
      <c r="C1451" s="12" t="s">
        <v>17</v>
      </c>
      <c r="D1451" s="12" t="s">
        <v>18</v>
      </c>
      <c r="E1451" s="13">
        <v>98150</v>
      </c>
      <c r="F1451" s="14">
        <v>6</v>
      </c>
      <c r="G1451" s="15">
        <v>26074</v>
      </c>
      <c r="H1451" s="16">
        <v>0.05</v>
      </c>
      <c r="I1451" s="13">
        <v>4</v>
      </c>
      <c r="J1451" s="15">
        <v>7822.2000000000007</v>
      </c>
      <c r="K1451" s="15">
        <v>148621.79999999999</v>
      </c>
      <c r="L1451" s="15">
        <v>98555.001315160553</v>
      </c>
      <c r="M1451" s="15">
        <v>50066.798684839443</v>
      </c>
    </row>
    <row r="1452" spans="1:13" x14ac:dyDescent="0.25">
      <c r="A1452" s="12">
        <v>46377</v>
      </c>
      <c r="B1452" s="12" t="s">
        <v>16</v>
      </c>
      <c r="C1452" s="12" t="s">
        <v>14</v>
      </c>
      <c r="D1452" s="12" t="s">
        <v>18</v>
      </c>
      <c r="E1452" s="13">
        <v>68446</v>
      </c>
      <c r="F1452" s="14">
        <v>13</v>
      </c>
      <c r="G1452" s="15">
        <v>32849</v>
      </c>
      <c r="H1452" s="16">
        <v>0</v>
      </c>
      <c r="I1452" s="13">
        <v>3</v>
      </c>
      <c r="J1452" s="15">
        <v>0</v>
      </c>
      <c r="K1452" s="15">
        <v>427037</v>
      </c>
      <c r="L1452" s="15">
        <v>323002.77646880492</v>
      </c>
      <c r="M1452" s="15">
        <v>104034.22353119509</v>
      </c>
    </row>
    <row r="1453" spans="1:13" x14ac:dyDescent="0.25">
      <c r="A1453" s="12">
        <v>46378</v>
      </c>
      <c r="B1453" s="12" t="s">
        <v>19</v>
      </c>
      <c r="C1453" s="12" t="s">
        <v>14</v>
      </c>
      <c r="D1453" s="12" t="s">
        <v>22</v>
      </c>
      <c r="E1453" s="13">
        <v>62428</v>
      </c>
      <c r="F1453" s="14">
        <v>1</v>
      </c>
      <c r="G1453" s="15">
        <v>22757</v>
      </c>
      <c r="H1453" s="16">
        <v>0.05</v>
      </c>
      <c r="I1453" s="13">
        <v>5</v>
      </c>
      <c r="J1453" s="15">
        <v>1137.8499999999999</v>
      </c>
      <c r="K1453" s="15">
        <v>21619.15</v>
      </c>
      <c r="L1453" s="15">
        <v>18947.43979938433</v>
      </c>
      <c r="M1453" s="15">
        <v>2671.710200615667</v>
      </c>
    </row>
    <row r="1454" spans="1:13" x14ac:dyDescent="0.25">
      <c r="A1454" s="12">
        <v>46379</v>
      </c>
      <c r="B1454" s="12" t="s">
        <v>16</v>
      </c>
      <c r="C1454" s="12" t="s">
        <v>23</v>
      </c>
      <c r="D1454" s="12" t="s">
        <v>26</v>
      </c>
      <c r="E1454" s="13">
        <v>57894</v>
      </c>
      <c r="F1454" s="14">
        <v>20</v>
      </c>
      <c r="G1454" s="15">
        <v>35552</v>
      </c>
      <c r="H1454" s="16">
        <v>0.1</v>
      </c>
      <c r="I1454" s="13">
        <v>2</v>
      </c>
      <c r="J1454" s="15">
        <v>71104</v>
      </c>
      <c r="K1454" s="15">
        <v>639936</v>
      </c>
      <c r="L1454" s="15">
        <v>506755.73198569322</v>
      </c>
      <c r="M1454" s="15">
        <v>133180.26801430681</v>
      </c>
    </row>
    <row r="1455" spans="1:13" x14ac:dyDescent="0.25">
      <c r="A1455" s="12">
        <v>46380</v>
      </c>
      <c r="B1455" s="12" t="s">
        <v>13</v>
      </c>
      <c r="C1455" s="12" t="s">
        <v>20</v>
      </c>
      <c r="D1455" s="12" t="s">
        <v>15</v>
      </c>
      <c r="E1455" s="13">
        <v>91149</v>
      </c>
      <c r="F1455" s="14">
        <v>47</v>
      </c>
      <c r="G1455" s="15">
        <v>38320</v>
      </c>
      <c r="H1455" s="16">
        <v>0</v>
      </c>
      <c r="I1455" s="13">
        <v>5</v>
      </c>
      <c r="J1455" s="15">
        <v>0</v>
      </c>
      <c r="K1455" s="15">
        <v>1801040</v>
      </c>
      <c r="L1455" s="15">
        <v>1174056.1005379809</v>
      </c>
      <c r="M1455" s="15">
        <v>626983.89946201933</v>
      </c>
    </row>
    <row r="1456" spans="1:13" x14ac:dyDescent="0.25">
      <c r="A1456" s="12">
        <v>46381</v>
      </c>
      <c r="B1456" s="12" t="s">
        <v>19</v>
      </c>
      <c r="C1456" s="12" t="s">
        <v>14</v>
      </c>
      <c r="D1456" s="12" t="s">
        <v>18</v>
      </c>
      <c r="E1456" s="13">
        <v>16447</v>
      </c>
      <c r="F1456" s="14">
        <v>46</v>
      </c>
      <c r="G1456" s="15">
        <v>18473</v>
      </c>
      <c r="H1456" s="16">
        <v>0.15</v>
      </c>
      <c r="I1456" s="13">
        <v>1</v>
      </c>
      <c r="J1456" s="15">
        <v>127463.7</v>
      </c>
      <c r="K1456" s="15">
        <v>722294.3</v>
      </c>
      <c r="L1456" s="15">
        <v>581322.01050616521</v>
      </c>
      <c r="M1456" s="15">
        <v>140972.2894938348</v>
      </c>
    </row>
    <row r="1457" spans="1:13" x14ac:dyDescent="0.25">
      <c r="A1457" s="12">
        <v>46382</v>
      </c>
      <c r="B1457" s="12" t="s">
        <v>19</v>
      </c>
      <c r="C1457" s="12" t="s">
        <v>23</v>
      </c>
      <c r="D1457" s="12" t="s">
        <v>18</v>
      </c>
      <c r="E1457" s="13">
        <v>15499</v>
      </c>
      <c r="F1457" s="14">
        <v>8</v>
      </c>
      <c r="G1457" s="15">
        <v>26237</v>
      </c>
      <c r="H1457" s="16">
        <v>0.1</v>
      </c>
      <c r="I1457" s="13">
        <v>5</v>
      </c>
      <c r="J1457" s="15">
        <v>20989.599999999999</v>
      </c>
      <c r="K1457" s="15">
        <v>188906.4</v>
      </c>
      <c r="L1457" s="15">
        <v>137554.25578587389</v>
      </c>
      <c r="M1457" s="15">
        <v>51352.144214126049</v>
      </c>
    </row>
    <row r="1458" spans="1:13" x14ac:dyDescent="0.25">
      <c r="A1458" s="12">
        <v>46383</v>
      </c>
      <c r="B1458" s="12" t="s">
        <v>24</v>
      </c>
      <c r="C1458" s="12" t="s">
        <v>21</v>
      </c>
      <c r="D1458" s="12" t="s">
        <v>25</v>
      </c>
      <c r="E1458" s="13">
        <v>49041</v>
      </c>
      <c r="F1458" s="14">
        <v>10</v>
      </c>
      <c r="G1458" s="15">
        <v>12547</v>
      </c>
      <c r="H1458" s="16">
        <v>0.2</v>
      </c>
      <c r="I1458" s="13">
        <v>5</v>
      </c>
      <c r="J1458" s="15">
        <v>25094</v>
      </c>
      <c r="K1458" s="15">
        <v>100376</v>
      </c>
      <c r="L1458" s="15">
        <v>78038.188369002877</v>
      </c>
      <c r="M1458" s="15">
        <v>22337.811630997119</v>
      </c>
    </row>
    <row r="1459" spans="1:13" x14ac:dyDescent="0.25">
      <c r="A1459" s="12">
        <v>46384</v>
      </c>
      <c r="B1459" s="12" t="s">
        <v>16</v>
      </c>
      <c r="C1459" s="12" t="s">
        <v>20</v>
      </c>
      <c r="D1459" s="12" t="s">
        <v>18</v>
      </c>
      <c r="E1459" s="13">
        <v>41315</v>
      </c>
      <c r="F1459" s="14">
        <v>9</v>
      </c>
      <c r="G1459" s="15">
        <v>22613</v>
      </c>
      <c r="H1459" s="16">
        <v>0.05</v>
      </c>
      <c r="I1459" s="13">
        <v>3</v>
      </c>
      <c r="J1459" s="15">
        <v>10175.85</v>
      </c>
      <c r="K1459" s="15">
        <v>193341.15</v>
      </c>
      <c r="L1459" s="15">
        <v>158582.12541150241</v>
      </c>
      <c r="M1459" s="15">
        <v>34759.024588497618</v>
      </c>
    </row>
    <row r="1460" spans="1:13" x14ac:dyDescent="0.25">
      <c r="A1460" s="12">
        <v>46385</v>
      </c>
      <c r="B1460" s="12" t="s">
        <v>24</v>
      </c>
      <c r="C1460" s="12" t="s">
        <v>17</v>
      </c>
      <c r="D1460" s="12" t="s">
        <v>22</v>
      </c>
      <c r="E1460" s="13">
        <v>11299</v>
      </c>
      <c r="F1460" s="14">
        <v>49</v>
      </c>
      <c r="G1460" s="15">
        <v>1194</v>
      </c>
      <c r="H1460" s="16">
        <v>0</v>
      </c>
      <c r="I1460" s="13">
        <v>1</v>
      </c>
      <c r="J1460" s="15">
        <v>0</v>
      </c>
      <c r="K1460" s="15">
        <v>58506</v>
      </c>
      <c r="L1460" s="15">
        <v>44141.852924311243</v>
      </c>
      <c r="M1460" s="15">
        <v>14364.147075688759</v>
      </c>
    </row>
    <row r="1461" spans="1:13" x14ac:dyDescent="0.25">
      <c r="A1461" s="12">
        <v>46386</v>
      </c>
      <c r="B1461" s="12" t="s">
        <v>13</v>
      </c>
      <c r="C1461" s="12" t="s">
        <v>14</v>
      </c>
      <c r="D1461" s="12" t="s">
        <v>18</v>
      </c>
      <c r="E1461" s="13">
        <v>14994</v>
      </c>
      <c r="F1461" s="14">
        <v>41</v>
      </c>
      <c r="G1461" s="15">
        <v>16088</v>
      </c>
      <c r="H1461" s="16">
        <v>0.1</v>
      </c>
      <c r="I1461" s="13">
        <v>5</v>
      </c>
      <c r="J1461" s="15">
        <v>65960.800000000003</v>
      </c>
      <c r="K1461" s="15">
        <v>593647.19999999995</v>
      </c>
      <c r="L1461" s="15">
        <v>501154.11220509472</v>
      </c>
      <c r="M1461" s="15">
        <v>92493.087794905237</v>
      </c>
    </row>
    <row r="1462" spans="1:13" x14ac:dyDescent="0.25">
      <c r="A1462" s="12">
        <v>46387</v>
      </c>
      <c r="B1462" s="12" t="s">
        <v>19</v>
      </c>
      <c r="C1462" s="12" t="s">
        <v>23</v>
      </c>
      <c r="D1462" s="12" t="s">
        <v>26</v>
      </c>
      <c r="E1462" s="13">
        <v>91163</v>
      </c>
      <c r="F1462" s="14">
        <v>3</v>
      </c>
      <c r="G1462" s="15">
        <v>46323</v>
      </c>
      <c r="H1462" s="16">
        <v>0.1</v>
      </c>
      <c r="I1462" s="13">
        <v>2</v>
      </c>
      <c r="J1462" s="15">
        <v>13896.9</v>
      </c>
      <c r="K1462" s="15">
        <v>125072.1</v>
      </c>
      <c r="L1462" s="15">
        <v>102139.7144495542</v>
      </c>
      <c r="M1462" s="15">
        <v>22932.38555044583</v>
      </c>
    </row>
    <row r="1463" spans="1:13" x14ac:dyDescent="0.25">
      <c r="A1463" s="12">
        <v>46388</v>
      </c>
      <c r="B1463" s="12" t="s">
        <v>19</v>
      </c>
      <c r="C1463" s="12" t="s">
        <v>21</v>
      </c>
      <c r="D1463" s="12" t="s">
        <v>15</v>
      </c>
      <c r="E1463" s="13">
        <v>17489</v>
      </c>
      <c r="F1463" s="14">
        <v>11</v>
      </c>
      <c r="G1463" s="15">
        <v>49348</v>
      </c>
      <c r="H1463" s="16">
        <v>0</v>
      </c>
      <c r="I1463" s="13">
        <v>1</v>
      </c>
      <c r="J1463" s="15">
        <v>0</v>
      </c>
      <c r="K1463" s="15">
        <v>542828</v>
      </c>
      <c r="L1463" s="15">
        <v>425860.50930467038</v>
      </c>
      <c r="M1463" s="15">
        <v>116967.4906953296</v>
      </c>
    </row>
    <row r="1464" spans="1:13" x14ac:dyDescent="0.25">
      <c r="A1464" s="12">
        <v>46389</v>
      </c>
      <c r="B1464" s="12" t="s">
        <v>19</v>
      </c>
      <c r="C1464" s="12" t="s">
        <v>17</v>
      </c>
      <c r="D1464" s="12" t="s">
        <v>15</v>
      </c>
      <c r="E1464" s="13">
        <v>42355</v>
      </c>
      <c r="F1464" s="14">
        <v>12</v>
      </c>
      <c r="G1464" s="15">
        <v>20567</v>
      </c>
      <c r="H1464" s="16">
        <v>0.2</v>
      </c>
      <c r="I1464" s="13">
        <v>2</v>
      </c>
      <c r="J1464" s="15">
        <v>49360.800000000003</v>
      </c>
      <c r="K1464" s="15">
        <v>197443.20000000001</v>
      </c>
      <c r="L1464" s="15">
        <v>127397.8248284851</v>
      </c>
      <c r="M1464" s="15">
        <v>70045.375171514956</v>
      </c>
    </row>
    <row r="1465" spans="1:13" x14ac:dyDescent="0.25">
      <c r="A1465" s="12">
        <v>46390</v>
      </c>
      <c r="B1465" s="12" t="s">
        <v>13</v>
      </c>
      <c r="C1465" s="12" t="s">
        <v>23</v>
      </c>
      <c r="D1465" s="12" t="s">
        <v>18</v>
      </c>
      <c r="E1465" s="13">
        <v>83805</v>
      </c>
      <c r="F1465" s="14">
        <v>10</v>
      </c>
      <c r="G1465" s="15">
        <v>7204</v>
      </c>
      <c r="H1465" s="16">
        <v>0.2</v>
      </c>
      <c r="I1465" s="13">
        <v>4</v>
      </c>
      <c r="J1465" s="15">
        <v>14408</v>
      </c>
      <c r="K1465" s="15">
        <v>57632</v>
      </c>
      <c r="L1465" s="15">
        <v>49032.425748016649</v>
      </c>
      <c r="M1465" s="15">
        <v>8599.5742519833511</v>
      </c>
    </row>
    <row r="1466" spans="1:13" x14ac:dyDescent="0.25">
      <c r="A1466" s="12">
        <v>46391</v>
      </c>
      <c r="B1466" s="12" t="s">
        <v>13</v>
      </c>
      <c r="C1466" s="12" t="s">
        <v>23</v>
      </c>
      <c r="D1466" s="12" t="s">
        <v>27</v>
      </c>
      <c r="E1466" s="13">
        <v>78367</v>
      </c>
      <c r="F1466" s="14">
        <v>25</v>
      </c>
      <c r="G1466" s="15">
        <v>40636</v>
      </c>
      <c r="H1466" s="16">
        <v>0.15</v>
      </c>
      <c r="I1466" s="13">
        <v>5</v>
      </c>
      <c r="J1466" s="15">
        <v>152385</v>
      </c>
      <c r="K1466" s="15">
        <v>863515</v>
      </c>
      <c r="L1466" s="15">
        <v>760559.55345223227</v>
      </c>
      <c r="M1466" s="15">
        <v>102955.4465477677</v>
      </c>
    </row>
    <row r="1467" spans="1:13" x14ac:dyDescent="0.25">
      <c r="A1467" s="12">
        <v>46392</v>
      </c>
      <c r="B1467" s="12" t="s">
        <v>24</v>
      </c>
      <c r="C1467" s="12" t="s">
        <v>17</v>
      </c>
      <c r="D1467" s="12" t="s">
        <v>27</v>
      </c>
      <c r="E1467" s="13">
        <v>87355</v>
      </c>
      <c r="F1467" s="14">
        <v>49</v>
      </c>
      <c r="G1467" s="15">
        <v>2471</v>
      </c>
      <c r="H1467" s="16">
        <v>0.2</v>
      </c>
      <c r="I1467" s="13">
        <v>1</v>
      </c>
      <c r="J1467" s="15">
        <v>24215.8</v>
      </c>
      <c r="K1467" s="15">
        <v>96863.2</v>
      </c>
      <c r="L1467" s="15">
        <v>62097.984054169341</v>
      </c>
      <c r="M1467" s="15">
        <v>34765.215945830663</v>
      </c>
    </row>
    <row r="1468" spans="1:13" x14ac:dyDescent="0.25">
      <c r="A1468" s="12">
        <v>46393</v>
      </c>
      <c r="B1468" s="12" t="s">
        <v>24</v>
      </c>
      <c r="C1468" s="12" t="s">
        <v>21</v>
      </c>
      <c r="D1468" s="12" t="s">
        <v>22</v>
      </c>
      <c r="E1468" s="13">
        <v>97173</v>
      </c>
      <c r="F1468" s="14">
        <v>49</v>
      </c>
      <c r="G1468" s="15">
        <v>47861</v>
      </c>
      <c r="H1468" s="16">
        <v>0.15</v>
      </c>
      <c r="I1468" s="13">
        <v>2</v>
      </c>
      <c r="J1468" s="15">
        <v>351778.35</v>
      </c>
      <c r="K1468" s="15">
        <v>1993410.65</v>
      </c>
      <c r="L1468" s="15">
        <v>1488025.910154189</v>
      </c>
      <c r="M1468" s="15">
        <v>505384.73984581139</v>
      </c>
    </row>
    <row r="1469" spans="1:13" x14ac:dyDescent="0.25">
      <c r="A1469" s="12">
        <v>46394</v>
      </c>
      <c r="B1469" s="12" t="s">
        <v>24</v>
      </c>
      <c r="C1469" s="12" t="s">
        <v>21</v>
      </c>
      <c r="D1469" s="12" t="s">
        <v>27</v>
      </c>
      <c r="E1469" s="13">
        <v>11996</v>
      </c>
      <c r="F1469" s="14">
        <v>25</v>
      </c>
      <c r="G1469" s="15">
        <v>41323</v>
      </c>
      <c r="H1469" s="16">
        <v>0.1</v>
      </c>
      <c r="I1469" s="13">
        <v>5</v>
      </c>
      <c r="J1469" s="15">
        <v>103307.5</v>
      </c>
      <c r="K1469" s="15">
        <v>929767.5</v>
      </c>
      <c r="L1469" s="15">
        <v>630072.40152001823</v>
      </c>
      <c r="M1469" s="15">
        <v>299695.09847998183</v>
      </c>
    </row>
    <row r="1470" spans="1:13" x14ac:dyDescent="0.25">
      <c r="A1470" s="12">
        <v>46395</v>
      </c>
      <c r="B1470" s="12" t="s">
        <v>16</v>
      </c>
      <c r="C1470" s="12" t="s">
        <v>20</v>
      </c>
      <c r="D1470" s="12" t="s">
        <v>22</v>
      </c>
      <c r="E1470" s="13">
        <v>54387</v>
      </c>
      <c r="F1470" s="14">
        <v>11</v>
      </c>
      <c r="G1470" s="15">
        <v>11941</v>
      </c>
      <c r="H1470" s="16">
        <v>0</v>
      </c>
      <c r="I1470" s="13">
        <v>3</v>
      </c>
      <c r="J1470" s="15">
        <v>0</v>
      </c>
      <c r="K1470" s="15">
        <v>131351</v>
      </c>
      <c r="L1470" s="15">
        <v>108542.8172860966</v>
      </c>
      <c r="M1470" s="15">
        <v>22808.182713903381</v>
      </c>
    </row>
    <row r="1471" spans="1:13" x14ac:dyDescent="0.25">
      <c r="A1471" s="12">
        <v>46396</v>
      </c>
      <c r="B1471" s="12" t="s">
        <v>19</v>
      </c>
      <c r="C1471" s="12" t="s">
        <v>14</v>
      </c>
      <c r="D1471" s="12" t="s">
        <v>25</v>
      </c>
      <c r="E1471" s="13">
        <v>13089</v>
      </c>
      <c r="F1471" s="14">
        <v>36</v>
      </c>
      <c r="G1471" s="15">
        <v>31976</v>
      </c>
      <c r="H1471" s="16">
        <v>0.2</v>
      </c>
      <c r="I1471" s="13">
        <v>2</v>
      </c>
      <c r="J1471" s="15">
        <v>230227.20000000001</v>
      </c>
      <c r="K1471" s="15">
        <v>920908.80000000005</v>
      </c>
      <c r="L1471" s="15">
        <v>751911.80464125762</v>
      </c>
      <c r="M1471" s="15">
        <v>168996.9953587424</v>
      </c>
    </row>
    <row r="1472" spans="1:13" x14ac:dyDescent="0.25">
      <c r="A1472" s="12">
        <v>46397</v>
      </c>
      <c r="B1472" s="12" t="s">
        <v>19</v>
      </c>
      <c r="C1472" s="12" t="s">
        <v>17</v>
      </c>
      <c r="D1472" s="12" t="s">
        <v>22</v>
      </c>
      <c r="E1472" s="13">
        <v>30659</v>
      </c>
      <c r="F1472" s="14">
        <v>39</v>
      </c>
      <c r="G1472" s="15">
        <v>15177</v>
      </c>
      <c r="H1472" s="16">
        <v>0.15</v>
      </c>
      <c r="I1472" s="13">
        <v>2</v>
      </c>
      <c r="J1472" s="15">
        <v>88785.45</v>
      </c>
      <c r="K1472" s="15">
        <v>503117.55</v>
      </c>
      <c r="L1472" s="15">
        <v>323135.06300785008</v>
      </c>
      <c r="M1472" s="15">
        <v>179982.4869921499</v>
      </c>
    </row>
    <row r="1473" spans="1:13" x14ac:dyDescent="0.25">
      <c r="A1473" s="12">
        <v>46398</v>
      </c>
      <c r="B1473" s="12" t="s">
        <v>24</v>
      </c>
      <c r="C1473" s="12" t="s">
        <v>17</v>
      </c>
      <c r="D1473" s="12" t="s">
        <v>27</v>
      </c>
      <c r="E1473" s="13">
        <v>55178</v>
      </c>
      <c r="F1473" s="14">
        <v>26</v>
      </c>
      <c r="G1473" s="15">
        <v>28318</v>
      </c>
      <c r="H1473" s="16">
        <v>0.1</v>
      </c>
      <c r="I1473" s="13">
        <v>4</v>
      </c>
      <c r="J1473" s="15">
        <v>73626.8</v>
      </c>
      <c r="K1473" s="15">
        <v>662641.19999999995</v>
      </c>
      <c r="L1473" s="15">
        <v>571931.04103846091</v>
      </c>
      <c r="M1473" s="15">
        <v>90710.15896153904</v>
      </c>
    </row>
    <row r="1474" spans="1:13" x14ac:dyDescent="0.25">
      <c r="A1474" s="12">
        <v>46399</v>
      </c>
      <c r="B1474" s="12" t="s">
        <v>19</v>
      </c>
      <c r="C1474" s="12" t="s">
        <v>17</v>
      </c>
      <c r="D1474" s="12" t="s">
        <v>18</v>
      </c>
      <c r="E1474" s="13">
        <v>91268</v>
      </c>
      <c r="F1474" s="14">
        <v>14</v>
      </c>
      <c r="G1474" s="15">
        <v>2368</v>
      </c>
      <c r="H1474" s="16">
        <v>0.2</v>
      </c>
      <c r="I1474" s="13">
        <v>3</v>
      </c>
      <c r="J1474" s="15">
        <v>6630.4000000000005</v>
      </c>
      <c r="K1474" s="15">
        <v>26521.599999999999</v>
      </c>
      <c r="L1474" s="15">
        <v>17352.86856407969</v>
      </c>
      <c r="M1474" s="15">
        <v>9168.7314359203046</v>
      </c>
    </row>
    <row r="1475" spans="1:13" x14ac:dyDescent="0.25">
      <c r="A1475" s="12">
        <v>46400</v>
      </c>
      <c r="B1475" s="12" t="s">
        <v>24</v>
      </c>
      <c r="C1475" s="12" t="s">
        <v>21</v>
      </c>
      <c r="D1475" s="12" t="s">
        <v>25</v>
      </c>
      <c r="E1475" s="13">
        <v>95042</v>
      </c>
      <c r="F1475" s="14">
        <v>39</v>
      </c>
      <c r="G1475" s="15">
        <v>18555</v>
      </c>
      <c r="H1475" s="16">
        <v>0.05</v>
      </c>
      <c r="I1475" s="13">
        <v>4</v>
      </c>
      <c r="J1475" s="15">
        <v>36182.25</v>
      </c>
      <c r="K1475" s="15">
        <v>687462.75</v>
      </c>
      <c r="L1475" s="15">
        <v>576903.41467031057</v>
      </c>
      <c r="M1475" s="15">
        <v>110559.33532968941</v>
      </c>
    </row>
    <row r="1476" spans="1:13" x14ac:dyDescent="0.25">
      <c r="A1476" s="12">
        <v>46401</v>
      </c>
      <c r="B1476" s="12" t="s">
        <v>16</v>
      </c>
      <c r="C1476" s="12" t="s">
        <v>14</v>
      </c>
      <c r="D1476" s="12" t="s">
        <v>27</v>
      </c>
      <c r="E1476" s="13">
        <v>80726</v>
      </c>
      <c r="F1476" s="14">
        <v>40</v>
      </c>
      <c r="G1476" s="15">
        <v>2228</v>
      </c>
      <c r="H1476" s="16">
        <v>0.1</v>
      </c>
      <c r="I1476" s="13">
        <v>3</v>
      </c>
      <c r="J1476" s="15">
        <v>8912</v>
      </c>
      <c r="K1476" s="15">
        <v>80208</v>
      </c>
      <c r="L1476" s="15">
        <v>59120.844205512913</v>
      </c>
      <c r="M1476" s="15">
        <v>21087.155794487091</v>
      </c>
    </row>
    <row r="1477" spans="1:13" x14ac:dyDescent="0.25">
      <c r="A1477" s="12">
        <v>46402</v>
      </c>
      <c r="B1477" s="12" t="s">
        <v>16</v>
      </c>
      <c r="C1477" s="12" t="s">
        <v>20</v>
      </c>
      <c r="D1477" s="12" t="s">
        <v>22</v>
      </c>
      <c r="E1477" s="13">
        <v>80111</v>
      </c>
      <c r="F1477" s="14">
        <v>1</v>
      </c>
      <c r="G1477" s="15">
        <v>8132</v>
      </c>
      <c r="H1477" s="16">
        <v>0.2</v>
      </c>
      <c r="I1477" s="13">
        <v>2</v>
      </c>
      <c r="J1477" s="15">
        <v>1626.4</v>
      </c>
      <c r="K1477" s="15">
        <v>6505.6</v>
      </c>
      <c r="L1477" s="15">
        <v>4544.0424698915731</v>
      </c>
      <c r="M1477" s="15">
        <v>1961.557530108427</v>
      </c>
    </row>
    <row r="1478" spans="1:13" x14ac:dyDescent="0.25">
      <c r="A1478" s="12">
        <v>46403</v>
      </c>
      <c r="B1478" s="12" t="s">
        <v>13</v>
      </c>
      <c r="C1478" s="12" t="s">
        <v>23</v>
      </c>
      <c r="D1478" s="12" t="s">
        <v>26</v>
      </c>
      <c r="E1478" s="13">
        <v>44565</v>
      </c>
      <c r="F1478" s="14">
        <v>4</v>
      </c>
      <c r="G1478" s="15">
        <v>12543</v>
      </c>
      <c r="H1478" s="16">
        <v>0.1</v>
      </c>
      <c r="I1478" s="13">
        <v>4</v>
      </c>
      <c r="J1478" s="15">
        <v>5017.2000000000007</v>
      </c>
      <c r="K1478" s="15">
        <v>45154.8</v>
      </c>
      <c r="L1478" s="15">
        <v>29236.458677460469</v>
      </c>
      <c r="M1478" s="15">
        <v>15918.341322539531</v>
      </c>
    </row>
    <row r="1479" spans="1:13" x14ac:dyDescent="0.25">
      <c r="A1479" s="12">
        <v>46404</v>
      </c>
      <c r="B1479" s="12" t="s">
        <v>16</v>
      </c>
      <c r="C1479" s="12" t="s">
        <v>23</v>
      </c>
      <c r="D1479" s="12" t="s">
        <v>15</v>
      </c>
      <c r="E1479" s="13">
        <v>99242</v>
      </c>
      <c r="F1479" s="14">
        <v>30</v>
      </c>
      <c r="G1479" s="15">
        <v>6903</v>
      </c>
      <c r="H1479" s="16">
        <v>0</v>
      </c>
      <c r="I1479" s="13">
        <v>5</v>
      </c>
      <c r="J1479" s="15">
        <v>0</v>
      </c>
      <c r="K1479" s="15">
        <v>207090</v>
      </c>
      <c r="L1479" s="15">
        <v>134667.37089162169</v>
      </c>
      <c r="M1479" s="15">
        <v>72422.629108378344</v>
      </c>
    </row>
    <row r="1480" spans="1:13" x14ac:dyDescent="0.25">
      <c r="A1480" s="12">
        <v>46405</v>
      </c>
      <c r="B1480" s="12" t="s">
        <v>24</v>
      </c>
      <c r="C1480" s="12" t="s">
        <v>17</v>
      </c>
      <c r="D1480" s="12" t="s">
        <v>27</v>
      </c>
      <c r="E1480" s="13">
        <v>32884</v>
      </c>
      <c r="F1480" s="14">
        <v>12</v>
      </c>
      <c r="G1480" s="15">
        <v>16232</v>
      </c>
      <c r="H1480" s="16">
        <v>0</v>
      </c>
      <c r="I1480" s="13">
        <v>3</v>
      </c>
      <c r="J1480" s="15">
        <v>0</v>
      </c>
      <c r="K1480" s="15">
        <v>194784</v>
      </c>
      <c r="L1480" s="15">
        <v>155548.10694205799</v>
      </c>
      <c r="M1480" s="15">
        <v>39235.893057941947</v>
      </c>
    </row>
    <row r="1481" spans="1:13" x14ac:dyDescent="0.25">
      <c r="A1481" s="12">
        <v>46406</v>
      </c>
      <c r="B1481" s="12" t="s">
        <v>16</v>
      </c>
      <c r="C1481" s="12" t="s">
        <v>14</v>
      </c>
      <c r="D1481" s="12" t="s">
        <v>22</v>
      </c>
      <c r="E1481" s="13">
        <v>27199</v>
      </c>
      <c r="F1481" s="14">
        <v>35</v>
      </c>
      <c r="G1481" s="15">
        <v>19026</v>
      </c>
      <c r="H1481" s="16">
        <v>0</v>
      </c>
      <c r="I1481" s="13">
        <v>2</v>
      </c>
      <c r="J1481" s="15">
        <v>0</v>
      </c>
      <c r="K1481" s="15">
        <v>665910</v>
      </c>
      <c r="L1481" s="15">
        <v>509507.12989136012</v>
      </c>
      <c r="M1481" s="15">
        <v>156402.87010863991</v>
      </c>
    </row>
    <row r="1482" spans="1:13" x14ac:dyDescent="0.25">
      <c r="A1482" s="12">
        <v>46407</v>
      </c>
      <c r="B1482" s="12" t="s">
        <v>13</v>
      </c>
      <c r="C1482" s="12" t="s">
        <v>21</v>
      </c>
      <c r="D1482" s="12" t="s">
        <v>25</v>
      </c>
      <c r="E1482" s="13">
        <v>70038</v>
      </c>
      <c r="F1482" s="14">
        <v>13</v>
      </c>
      <c r="G1482" s="15">
        <v>9840</v>
      </c>
      <c r="H1482" s="16">
        <v>0.05</v>
      </c>
      <c r="I1482" s="13">
        <v>1</v>
      </c>
      <c r="J1482" s="15">
        <v>6396</v>
      </c>
      <c r="K1482" s="15">
        <v>121524</v>
      </c>
      <c r="L1482" s="15">
        <v>77365.292634223326</v>
      </c>
      <c r="M1482" s="15">
        <v>44158.707365776667</v>
      </c>
    </row>
    <row r="1483" spans="1:13" x14ac:dyDescent="0.25">
      <c r="A1483" s="12">
        <v>46408</v>
      </c>
      <c r="B1483" s="12" t="s">
        <v>19</v>
      </c>
      <c r="C1483" s="12" t="s">
        <v>14</v>
      </c>
      <c r="D1483" s="12" t="s">
        <v>27</v>
      </c>
      <c r="E1483" s="13">
        <v>67786</v>
      </c>
      <c r="F1483" s="14">
        <v>31</v>
      </c>
      <c r="G1483" s="15">
        <v>39452</v>
      </c>
      <c r="H1483" s="16">
        <v>0</v>
      </c>
      <c r="I1483" s="13">
        <v>3</v>
      </c>
      <c r="J1483" s="15">
        <v>0</v>
      </c>
      <c r="K1483" s="15">
        <v>1223012</v>
      </c>
      <c r="L1483" s="15">
        <v>775156.45070711907</v>
      </c>
      <c r="M1483" s="15">
        <v>447855.54929288093</v>
      </c>
    </row>
    <row r="1484" spans="1:13" x14ac:dyDescent="0.25">
      <c r="A1484" s="12">
        <v>46409</v>
      </c>
      <c r="B1484" s="12" t="s">
        <v>24</v>
      </c>
      <c r="C1484" s="12" t="s">
        <v>14</v>
      </c>
      <c r="D1484" s="12" t="s">
        <v>27</v>
      </c>
      <c r="E1484" s="13">
        <v>59294</v>
      </c>
      <c r="F1484" s="14">
        <v>38</v>
      </c>
      <c r="G1484" s="15">
        <v>22894</v>
      </c>
      <c r="H1484" s="16">
        <v>0.05</v>
      </c>
      <c r="I1484" s="13">
        <v>3</v>
      </c>
      <c r="J1484" s="15">
        <v>43498.600000000013</v>
      </c>
      <c r="K1484" s="15">
        <v>826473.4</v>
      </c>
      <c r="L1484" s="15">
        <v>513812.86997652688</v>
      </c>
      <c r="M1484" s="15">
        <v>312660.53002347308</v>
      </c>
    </row>
    <row r="1485" spans="1:13" x14ac:dyDescent="0.25">
      <c r="A1485" s="12">
        <v>46410</v>
      </c>
      <c r="B1485" s="12" t="s">
        <v>19</v>
      </c>
      <c r="C1485" s="12" t="s">
        <v>21</v>
      </c>
      <c r="D1485" s="12" t="s">
        <v>15</v>
      </c>
      <c r="E1485" s="13">
        <v>88015</v>
      </c>
      <c r="F1485" s="14">
        <v>43</v>
      </c>
      <c r="G1485" s="15">
        <v>33521</v>
      </c>
      <c r="H1485" s="16">
        <v>0</v>
      </c>
      <c r="I1485" s="13">
        <v>5</v>
      </c>
      <c r="J1485" s="15">
        <v>0</v>
      </c>
      <c r="K1485" s="15">
        <v>1441403</v>
      </c>
      <c r="L1485" s="15">
        <v>1186462.3457418811</v>
      </c>
      <c r="M1485" s="15">
        <v>254940.65425811941</v>
      </c>
    </row>
    <row r="1486" spans="1:13" x14ac:dyDescent="0.25">
      <c r="A1486" s="12">
        <v>46411</v>
      </c>
      <c r="B1486" s="12" t="s">
        <v>13</v>
      </c>
      <c r="C1486" s="12" t="s">
        <v>17</v>
      </c>
      <c r="D1486" s="12" t="s">
        <v>22</v>
      </c>
      <c r="E1486" s="13">
        <v>44178</v>
      </c>
      <c r="F1486" s="14">
        <v>23</v>
      </c>
      <c r="G1486" s="15">
        <v>4602</v>
      </c>
      <c r="H1486" s="16">
        <v>0.1</v>
      </c>
      <c r="I1486" s="13">
        <v>3</v>
      </c>
      <c r="J1486" s="15">
        <v>10584.6</v>
      </c>
      <c r="K1486" s="15">
        <v>95261.4</v>
      </c>
      <c r="L1486" s="15">
        <v>77501.305222158422</v>
      </c>
      <c r="M1486" s="15">
        <v>17760.094777841568</v>
      </c>
    </row>
    <row r="1487" spans="1:13" x14ac:dyDescent="0.25">
      <c r="A1487" s="12">
        <v>46412</v>
      </c>
      <c r="B1487" s="12" t="s">
        <v>13</v>
      </c>
      <c r="C1487" s="12" t="s">
        <v>14</v>
      </c>
      <c r="D1487" s="12" t="s">
        <v>26</v>
      </c>
      <c r="E1487" s="13">
        <v>22665</v>
      </c>
      <c r="F1487" s="14">
        <v>4</v>
      </c>
      <c r="G1487" s="15">
        <v>36810</v>
      </c>
      <c r="H1487" s="16">
        <v>0.2</v>
      </c>
      <c r="I1487" s="13">
        <v>3</v>
      </c>
      <c r="J1487" s="15">
        <v>29448</v>
      </c>
      <c r="K1487" s="15">
        <v>117792</v>
      </c>
      <c r="L1487" s="15">
        <v>72740.010982422624</v>
      </c>
      <c r="M1487" s="15">
        <v>45051.989017577383</v>
      </c>
    </row>
    <row r="1488" spans="1:13" x14ac:dyDescent="0.25">
      <c r="A1488" s="12">
        <v>46413</v>
      </c>
      <c r="B1488" s="12" t="s">
        <v>13</v>
      </c>
      <c r="C1488" s="12" t="s">
        <v>23</v>
      </c>
      <c r="D1488" s="12" t="s">
        <v>25</v>
      </c>
      <c r="E1488" s="13">
        <v>10534</v>
      </c>
      <c r="F1488" s="14">
        <v>16</v>
      </c>
      <c r="G1488" s="15">
        <v>19659</v>
      </c>
      <c r="H1488" s="16">
        <v>0.2</v>
      </c>
      <c r="I1488" s="13">
        <v>5</v>
      </c>
      <c r="J1488" s="15">
        <v>62908.800000000003</v>
      </c>
      <c r="K1488" s="15">
        <v>251635.20000000001</v>
      </c>
      <c r="L1488" s="15">
        <v>193276.22175805789</v>
      </c>
      <c r="M1488" s="15">
        <v>58358.978241942154</v>
      </c>
    </row>
    <row r="1489" spans="1:13" x14ac:dyDescent="0.25">
      <c r="A1489" s="12">
        <v>46414</v>
      </c>
      <c r="B1489" s="12" t="s">
        <v>19</v>
      </c>
      <c r="C1489" s="12" t="s">
        <v>21</v>
      </c>
      <c r="D1489" s="12" t="s">
        <v>22</v>
      </c>
      <c r="E1489" s="13">
        <v>46132</v>
      </c>
      <c r="F1489" s="14">
        <v>7</v>
      </c>
      <c r="G1489" s="15">
        <v>6712</v>
      </c>
      <c r="H1489" s="16">
        <v>0</v>
      </c>
      <c r="I1489" s="13">
        <v>5</v>
      </c>
      <c r="J1489" s="15">
        <v>0</v>
      </c>
      <c r="K1489" s="15">
        <v>46984</v>
      </c>
      <c r="L1489" s="15">
        <v>29383.927343376759</v>
      </c>
      <c r="M1489" s="15">
        <v>17600.072656623241</v>
      </c>
    </row>
    <row r="1490" spans="1:13" x14ac:dyDescent="0.25">
      <c r="A1490" s="12">
        <v>46415</v>
      </c>
      <c r="B1490" s="12" t="s">
        <v>19</v>
      </c>
      <c r="C1490" s="12" t="s">
        <v>20</v>
      </c>
      <c r="D1490" s="12" t="s">
        <v>25</v>
      </c>
      <c r="E1490" s="13">
        <v>46110</v>
      </c>
      <c r="F1490" s="14">
        <v>22</v>
      </c>
      <c r="G1490" s="15">
        <v>32324</v>
      </c>
      <c r="H1490" s="16">
        <v>0.2</v>
      </c>
      <c r="I1490" s="13">
        <v>4</v>
      </c>
      <c r="J1490" s="15">
        <v>142225.60000000001</v>
      </c>
      <c r="K1490" s="15">
        <v>568902.40000000002</v>
      </c>
      <c r="L1490" s="15">
        <v>495584.38136678288</v>
      </c>
      <c r="M1490" s="15">
        <v>73318.018633217085</v>
      </c>
    </row>
    <row r="1491" spans="1:13" x14ac:dyDescent="0.25">
      <c r="A1491" s="12">
        <v>46416</v>
      </c>
      <c r="B1491" s="12" t="s">
        <v>19</v>
      </c>
      <c r="C1491" s="12" t="s">
        <v>17</v>
      </c>
      <c r="D1491" s="12" t="s">
        <v>27</v>
      </c>
      <c r="E1491" s="13">
        <v>68754</v>
      </c>
      <c r="F1491" s="14">
        <v>29</v>
      </c>
      <c r="G1491" s="15">
        <v>37905</v>
      </c>
      <c r="H1491" s="16">
        <v>0</v>
      </c>
      <c r="I1491" s="13">
        <v>2</v>
      </c>
      <c r="J1491" s="15">
        <v>0</v>
      </c>
      <c r="K1491" s="15">
        <v>1099245</v>
      </c>
      <c r="L1491" s="15">
        <v>958690.28623399942</v>
      </c>
      <c r="M1491" s="15">
        <v>140554.71376600061</v>
      </c>
    </row>
    <row r="1492" spans="1:13" x14ac:dyDescent="0.25">
      <c r="A1492" s="12">
        <v>46417</v>
      </c>
      <c r="B1492" s="12" t="s">
        <v>19</v>
      </c>
      <c r="C1492" s="12" t="s">
        <v>21</v>
      </c>
      <c r="D1492" s="12" t="s">
        <v>15</v>
      </c>
      <c r="E1492" s="13">
        <v>73580</v>
      </c>
      <c r="F1492" s="14">
        <v>11</v>
      </c>
      <c r="G1492" s="15">
        <v>12025</v>
      </c>
      <c r="H1492" s="16">
        <v>0</v>
      </c>
      <c r="I1492" s="13">
        <v>2</v>
      </c>
      <c r="J1492" s="15">
        <v>0</v>
      </c>
      <c r="K1492" s="15">
        <v>132275</v>
      </c>
      <c r="L1492" s="15">
        <v>107072.6306182595</v>
      </c>
      <c r="M1492" s="15">
        <v>25202.369381740471</v>
      </c>
    </row>
    <row r="1493" spans="1:13" x14ac:dyDescent="0.25">
      <c r="A1493" s="12">
        <v>46418</v>
      </c>
      <c r="B1493" s="12" t="s">
        <v>13</v>
      </c>
      <c r="C1493" s="12" t="s">
        <v>20</v>
      </c>
      <c r="D1493" s="12" t="s">
        <v>15</v>
      </c>
      <c r="E1493" s="13">
        <v>32469</v>
      </c>
      <c r="F1493" s="14">
        <v>33</v>
      </c>
      <c r="G1493" s="15">
        <v>29260</v>
      </c>
      <c r="H1493" s="16">
        <v>0.15</v>
      </c>
      <c r="I1493" s="13">
        <v>4</v>
      </c>
      <c r="J1493" s="15">
        <v>144837</v>
      </c>
      <c r="K1493" s="15">
        <v>820743</v>
      </c>
      <c r="L1493" s="15">
        <v>720494.72218469356</v>
      </c>
      <c r="M1493" s="15">
        <v>100248.2778153064</v>
      </c>
    </row>
    <row r="1494" spans="1:13" x14ac:dyDescent="0.25">
      <c r="A1494" s="12">
        <v>46419</v>
      </c>
      <c r="B1494" s="12" t="s">
        <v>13</v>
      </c>
      <c r="C1494" s="12" t="s">
        <v>20</v>
      </c>
      <c r="D1494" s="12" t="s">
        <v>18</v>
      </c>
      <c r="E1494" s="13">
        <v>74016</v>
      </c>
      <c r="F1494" s="14">
        <v>29</v>
      </c>
      <c r="G1494" s="15">
        <v>44739</v>
      </c>
      <c r="H1494" s="16">
        <v>0.15</v>
      </c>
      <c r="I1494" s="13">
        <v>2</v>
      </c>
      <c r="J1494" s="15">
        <v>194614.65</v>
      </c>
      <c r="K1494" s="15">
        <v>1102816.3500000001</v>
      </c>
      <c r="L1494" s="15">
        <v>930154.91075917962</v>
      </c>
      <c r="M1494" s="15">
        <v>172661.4392408205</v>
      </c>
    </row>
    <row r="1495" spans="1:13" x14ac:dyDescent="0.25">
      <c r="A1495" s="12">
        <v>46420</v>
      </c>
      <c r="B1495" s="12" t="s">
        <v>24</v>
      </c>
      <c r="C1495" s="12" t="s">
        <v>14</v>
      </c>
      <c r="D1495" s="12" t="s">
        <v>26</v>
      </c>
      <c r="E1495" s="13">
        <v>56233</v>
      </c>
      <c r="F1495" s="14">
        <v>39</v>
      </c>
      <c r="G1495" s="15">
        <v>45768</v>
      </c>
      <c r="H1495" s="16">
        <v>0.15</v>
      </c>
      <c r="I1495" s="13">
        <v>3</v>
      </c>
      <c r="J1495" s="15">
        <v>267742.8</v>
      </c>
      <c r="K1495" s="15">
        <v>1517209.2</v>
      </c>
      <c r="L1495" s="15">
        <v>1287445.4249854251</v>
      </c>
      <c r="M1495" s="15">
        <v>229763.77501457461</v>
      </c>
    </row>
    <row r="1496" spans="1:13" x14ac:dyDescent="0.25">
      <c r="A1496" s="12">
        <v>46421</v>
      </c>
      <c r="B1496" s="12" t="s">
        <v>24</v>
      </c>
      <c r="C1496" s="12" t="s">
        <v>14</v>
      </c>
      <c r="D1496" s="12" t="s">
        <v>15</v>
      </c>
      <c r="E1496" s="13">
        <v>76708</v>
      </c>
      <c r="F1496" s="14">
        <v>12</v>
      </c>
      <c r="G1496" s="15">
        <v>27957</v>
      </c>
      <c r="H1496" s="16">
        <v>0.05</v>
      </c>
      <c r="I1496" s="13">
        <v>4</v>
      </c>
      <c r="J1496" s="15">
        <v>16774.2</v>
      </c>
      <c r="K1496" s="15">
        <v>318709.8</v>
      </c>
      <c r="L1496" s="15">
        <v>245697.32253407201</v>
      </c>
      <c r="M1496" s="15">
        <v>73012.477465928008</v>
      </c>
    </row>
    <row r="1497" spans="1:13" x14ac:dyDescent="0.25">
      <c r="A1497" s="12">
        <v>46422</v>
      </c>
      <c r="B1497" s="12" t="s">
        <v>19</v>
      </c>
      <c r="C1497" s="12" t="s">
        <v>14</v>
      </c>
      <c r="D1497" s="12" t="s">
        <v>27</v>
      </c>
      <c r="E1497" s="13">
        <v>68232</v>
      </c>
      <c r="F1497" s="14">
        <v>7</v>
      </c>
      <c r="G1497" s="15">
        <v>48515</v>
      </c>
      <c r="H1497" s="16">
        <v>0.15</v>
      </c>
      <c r="I1497" s="13">
        <v>4</v>
      </c>
      <c r="J1497" s="15">
        <v>50940.75</v>
      </c>
      <c r="K1497" s="15">
        <v>288664.25</v>
      </c>
      <c r="L1497" s="15">
        <v>199703.0546726021</v>
      </c>
      <c r="M1497" s="15">
        <v>88961.195327397872</v>
      </c>
    </row>
    <row r="1498" spans="1:13" x14ac:dyDescent="0.25">
      <c r="A1498" s="12">
        <v>46423</v>
      </c>
      <c r="B1498" s="12" t="s">
        <v>16</v>
      </c>
      <c r="C1498" s="12" t="s">
        <v>21</v>
      </c>
      <c r="D1498" s="12" t="s">
        <v>26</v>
      </c>
      <c r="E1498" s="13">
        <v>96437</v>
      </c>
      <c r="F1498" s="14">
        <v>39</v>
      </c>
      <c r="G1498" s="15">
        <v>11032</v>
      </c>
      <c r="H1498" s="16">
        <v>0</v>
      </c>
      <c r="I1498" s="13">
        <v>2</v>
      </c>
      <c r="J1498" s="15">
        <v>0</v>
      </c>
      <c r="K1498" s="15">
        <v>430248</v>
      </c>
      <c r="L1498" s="15">
        <v>286261.09010418301</v>
      </c>
      <c r="M1498" s="15">
        <v>143986.90989581699</v>
      </c>
    </row>
    <row r="1499" spans="1:13" x14ac:dyDescent="0.25">
      <c r="A1499" s="12">
        <v>46424</v>
      </c>
      <c r="B1499" s="12" t="s">
        <v>16</v>
      </c>
      <c r="C1499" s="12" t="s">
        <v>21</v>
      </c>
      <c r="D1499" s="12" t="s">
        <v>22</v>
      </c>
      <c r="E1499" s="13">
        <v>44409</v>
      </c>
      <c r="F1499" s="14">
        <v>42</v>
      </c>
      <c r="G1499" s="15">
        <v>14018</v>
      </c>
      <c r="H1499" s="16">
        <v>0.1</v>
      </c>
      <c r="I1499" s="13">
        <v>1</v>
      </c>
      <c r="J1499" s="15">
        <v>58875.600000000013</v>
      </c>
      <c r="K1499" s="15">
        <v>529880.4</v>
      </c>
      <c r="L1499" s="15">
        <v>369941.30356739898</v>
      </c>
      <c r="M1499" s="15">
        <v>159939.09643260101</v>
      </c>
    </row>
    <row r="1500" spans="1:13" x14ac:dyDescent="0.25">
      <c r="A1500" s="12">
        <v>46425</v>
      </c>
      <c r="B1500" s="12" t="s">
        <v>13</v>
      </c>
      <c r="C1500" s="12" t="s">
        <v>17</v>
      </c>
      <c r="D1500" s="12" t="s">
        <v>15</v>
      </c>
      <c r="E1500" s="13">
        <v>29324</v>
      </c>
      <c r="F1500" s="14">
        <v>48</v>
      </c>
      <c r="G1500" s="15">
        <v>6976</v>
      </c>
      <c r="H1500" s="16">
        <v>0.15</v>
      </c>
      <c r="I1500" s="13">
        <v>2</v>
      </c>
      <c r="J1500" s="15">
        <v>50227.199999999997</v>
      </c>
      <c r="K1500" s="15">
        <v>284620.79999999999</v>
      </c>
      <c r="L1500" s="15">
        <v>224437.34163248789</v>
      </c>
      <c r="M1500" s="15">
        <v>60183.458367512118</v>
      </c>
    </row>
    <row r="1501" spans="1:13" x14ac:dyDescent="0.25">
      <c r="A1501" s="12">
        <v>46426</v>
      </c>
      <c r="B1501" s="12" t="s">
        <v>13</v>
      </c>
      <c r="C1501" s="12" t="s">
        <v>14</v>
      </c>
      <c r="D1501" s="12" t="s">
        <v>26</v>
      </c>
      <c r="E1501" s="13">
        <v>18738</v>
      </c>
      <c r="F1501" s="14">
        <v>26</v>
      </c>
      <c r="G1501" s="15">
        <v>20243</v>
      </c>
      <c r="H1501" s="16">
        <v>0.15</v>
      </c>
      <c r="I1501" s="13">
        <v>1</v>
      </c>
      <c r="J1501" s="15">
        <v>78947.7</v>
      </c>
      <c r="K1501" s="15">
        <v>447370.3</v>
      </c>
      <c r="L1501" s="15">
        <v>291594.60186969029</v>
      </c>
      <c r="M1501" s="15">
        <v>155775.69813030961</v>
      </c>
    </row>
    <row r="1502" spans="1:13" x14ac:dyDescent="0.25">
      <c r="A1502" s="12">
        <v>46427</v>
      </c>
      <c r="B1502" s="12" t="s">
        <v>13</v>
      </c>
      <c r="C1502" s="12" t="s">
        <v>20</v>
      </c>
      <c r="D1502" s="12" t="s">
        <v>27</v>
      </c>
      <c r="E1502" s="13">
        <v>34054</v>
      </c>
      <c r="F1502" s="14">
        <v>40</v>
      </c>
      <c r="G1502" s="15">
        <v>1504</v>
      </c>
      <c r="H1502" s="16">
        <v>0.1</v>
      </c>
      <c r="I1502" s="13">
        <v>4</v>
      </c>
      <c r="J1502" s="15">
        <v>6016</v>
      </c>
      <c r="K1502" s="15">
        <v>54144</v>
      </c>
      <c r="L1502" s="15">
        <v>36687.545091747343</v>
      </c>
      <c r="M1502" s="15">
        <v>17456.454908252661</v>
      </c>
    </row>
    <row r="1503" spans="1:13" x14ac:dyDescent="0.25">
      <c r="A1503" s="12">
        <v>46428</v>
      </c>
      <c r="B1503" s="12" t="s">
        <v>24</v>
      </c>
      <c r="C1503" s="12" t="s">
        <v>23</v>
      </c>
      <c r="D1503" s="12" t="s">
        <v>18</v>
      </c>
      <c r="E1503" s="13">
        <v>39709</v>
      </c>
      <c r="F1503" s="14">
        <v>9</v>
      </c>
      <c r="G1503" s="15">
        <v>43554</v>
      </c>
      <c r="H1503" s="16">
        <v>0</v>
      </c>
      <c r="I1503" s="13">
        <v>1</v>
      </c>
      <c r="J1503" s="15">
        <v>0</v>
      </c>
      <c r="K1503" s="15">
        <v>391986</v>
      </c>
      <c r="L1503" s="15">
        <v>290233.59160912287</v>
      </c>
      <c r="M1503" s="15">
        <v>101752.4083908771</v>
      </c>
    </row>
    <row r="1504" spans="1:13" x14ac:dyDescent="0.25">
      <c r="A1504" s="12">
        <v>46429</v>
      </c>
      <c r="B1504" s="12" t="s">
        <v>24</v>
      </c>
      <c r="C1504" s="12" t="s">
        <v>17</v>
      </c>
      <c r="D1504" s="12" t="s">
        <v>25</v>
      </c>
      <c r="E1504" s="13">
        <v>95643</v>
      </c>
      <c r="F1504" s="14">
        <v>41</v>
      </c>
      <c r="G1504" s="15">
        <v>37985</v>
      </c>
      <c r="H1504" s="16">
        <v>0.05</v>
      </c>
      <c r="I1504" s="13">
        <v>3</v>
      </c>
      <c r="J1504" s="15">
        <v>77869.25</v>
      </c>
      <c r="K1504" s="15">
        <v>1479515.75</v>
      </c>
      <c r="L1504" s="15">
        <v>991149.83739186614</v>
      </c>
      <c r="M1504" s="15">
        <v>488365.91260813392</v>
      </c>
    </row>
    <row r="1505" spans="1:13" x14ac:dyDescent="0.25">
      <c r="A1505" s="12">
        <v>46430</v>
      </c>
      <c r="B1505" s="12" t="s">
        <v>13</v>
      </c>
      <c r="C1505" s="12" t="s">
        <v>21</v>
      </c>
      <c r="D1505" s="12" t="s">
        <v>25</v>
      </c>
      <c r="E1505" s="13">
        <v>10363</v>
      </c>
      <c r="F1505" s="14">
        <v>34</v>
      </c>
      <c r="G1505" s="15">
        <v>3771</v>
      </c>
      <c r="H1505" s="16">
        <v>0.15</v>
      </c>
      <c r="I1505" s="13">
        <v>5</v>
      </c>
      <c r="J1505" s="15">
        <v>19232.099999999999</v>
      </c>
      <c r="K1505" s="15">
        <v>108981.9</v>
      </c>
      <c r="L1505" s="15">
        <v>84634.591664588646</v>
      </c>
      <c r="M1505" s="15">
        <v>24347.308335411351</v>
      </c>
    </row>
    <row r="1506" spans="1:13" x14ac:dyDescent="0.25">
      <c r="A1506" s="12">
        <v>46431</v>
      </c>
      <c r="B1506" s="12" t="s">
        <v>13</v>
      </c>
      <c r="C1506" s="12" t="s">
        <v>17</v>
      </c>
      <c r="D1506" s="12" t="s">
        <v>27</v>
      </c>
      <c r="E1506" s="13">
        <v>20358</v>
      </c>
      <c r="F1506" s="14">
        <v>45</v>
      </c>
      <c r="G1506" s="15">
        <v>45982</v>
      </c>
      <c r="H1506" s="16">
        <v>0.1</v>
      </c>
      <c r="I1506" s="13">
        <v>1</v>
      </c>
      <c r="J1506" s="15">
        <v>206919</v>
      </c>
      <c r="K1506" s="15">
        <v>1862271</v>
      </c>
      <c r="L1506" s="15">
        <v>1633123.7837068189</v>
      </c>
      <c r="M1506" s="15">
        <v>229147.21629318059</v>
      </c>
    </row>
    <row r="1507" spans="1:13" x14ac:dyDescent="0.25">
      <c r="A1507" s="12">
        <v>46432</v>
      </c>
      <c r="B1507" s="12" t="s">
        <v>13</v>
      </c>
      <c r="C1507" s="12" t="s">
        <v>17</v>
      </c>
      <c r="D1507" s="12" t="s">
        <v>27</v>
      </c>
      <c r="E1507" s="13">
        <v>13240</v>
      </c>
      <c r="F1507" s="14">
        <v>13</v>
      </c>
      <c r="G1507" s="15">
        <v>709</v>
      </c>
      <c r="H1507" s="16">
        <v>0</v>
      </c>
      <c r="I1507" s="13">
        <v>5</v>
      </c>
      <c r="J1507" s="15">
        <v>0</v>
      </c>
      <c r="K1507" s="15">
        <v>9217</v>
      </c>
      <c r="L1507" s="15">
        <v>7598.741905105715</v>
      </c>
      <c r="M1507" s="15">
        <v>1618.258094894285</v>
      </c>
    </row>
    <row r="1508" spans="1:13" x14ac:dyDescent="0.25">
      <c r="A1508" s="12">
        <v>46433</v>
      </c>
      <c r="B1508" s="12" t="s">
        <v>16</v>
      </c>
      <c r="C1508" s="12" t="s">
        <v>17</v>
      </c>
      <c r="D1508" s="12" t="s">
        <v>25</v>
      </c>
      <c r="E1508" s="13">
        <v>82201</v>
      </c>
      <c r="F1508" s="14">
        <v>36</v>
      </c>
      <c r="G1508" s="15">
        <v>25963</v>
      </c>
      <c r="H1508" s="16">
        <v>0.2</v>
      </c>
      <c r="I1508" s="13">
        <v>3</v>
      </c>
      <c r="J1508" s="15">
        <v>186933.6</v>
      </c>
      <c r="K1508" s="15">
        <v>747734.4</v>
      </c>
      <c r="L1508" s="15">
        <v>598133.67134240072</v>
      </c>
      <c r="M1508" s="15">
        <v>149600.72865759931</v>
      </c>
    </row>
    <row r="1509" spans="1:13" x14ac:dyDescent="0.25">
      <c r="A1509" s="12">
        <v>46434</v>
      </c>
      <c r="B1509" s="12" t="s">
        <v>24</v>
      </c>
      <c r="C1509" s="12" t="s">
        <v>17</v>
      </c>
      <c r="D1509" s="12" t="s">
        <v>18</v>
      </c>
      <c r="E1509" s="13">
        <v>55689</v>
      </c>
      <c r="F1509" s="14">
        <v>25</v>
      </c>
      <c r="G1509" s="15">
        <v>6039</v>
      </c>
      <c r="H1509" s="16">
        <v>0.05</v>
      </c>
      <c r="I1509" s="13">
        <v>5</v>
      </c>
      <c r="J1509" s="15">
        <v>7548.75</v>
      </c>
      <c r="K1509" s="15">
        <v>143426.25</v>
      </c>
      <c r="L1509" s="15">
        <v>111129.0168284455</v>
      </c>
      <c r="M1509" s="15">
        <v>32297.233171554471</v>
      </c>
    </row>
    <row r="1510" spans="1:13" x14ac:dyDescent="0.25">
      <c r="A1510" s="12">
        <v>46435</v>
      </c>
      <c r="B1510" s="12" t="s">
        <v>16</v>
      </c>
      <c r="C1510" s="12" t="s">
        <v>23</v>
      </c>
      <c r="D1510" s="12" t="s">
        <v>26</v>
      </c>
      <c r="E1510" s="13">
        <v>11936</v>
      </c>
      <c r="F1510" s="14">
        <v>24</v>
      </c>
      <c r="G1510" s="15">
        <v>49805</v>
      </c>
      <c r="H1510" s="16">
        <v>0.1</v>
      </c>
      <c r="I1510" s="13">
        <v>3</v>
      </c>
      <c r="J1510" s="15">
        <v>119532</v>
      </c>
      <c r="K1510" s="15">
        <v>1075788</v>
      </c>
      <c r="L1510" s="15">
        <v>802951.35162115179</v>
      </c>
      <c r="M1510" s="15">
        <v>272836.64837884821</v>
      </c>
    </row>
    <row r="1511" spans="1:13" x14ac:dyDescent="0.25">
      <c r="A1511" s="12">
        <v>46436</v>
      </c>
      <c r="B1511" s="12" t="s">
        <v>16</v>
      </c>
      <c r="C1511" s="12" t="s">
        <v>14</v>
      </c>
      <c r="D1511" s="12" t="s">
        <v>25</v>
      </c>
      <c r="E1511" s="13">
        <v>53965</v>
      </c>
      <c r="F1511" s="14">
        <v>44</v>
      </c>
      <c r="G1511" s="15">
        <v>20477</v>
      </c>
      <c r="H1511" s="16">
        <v>0.1</v>
      </c>
      <c r="I1511" s="13">
        <v>5</v>
      </c>
      <c r="J1511" s="15">
        <v>90098.8</v>
      </c>
      <c r="K1511" s="15">
        <v>810889.2</v>
      </c>
      <c r="L1511" s="15">
        <v>531918.3056664184</v>
      </c>
      <c r="M1511" s="15">
        <v>278970.89433358161</v>
      </c>
    </row>
    <row r="1512" spans="1:13" x14ac:dyDescent="0.25">
      <c r="A1512" s="12">
        <v>46437</v>
      </c>
      <c r="B1512" s="12" t="s">
        <v>13</v>
      </c>
      <c r="C1512" s="12" t="s">
        <v>20</v>
      </c>
      <c r="D1512" s="12" t="s">
        <v>27</v>
      </c>
      <c r="E1512" s="13">
        <v>87534</v>
      </c>
      <c r="F1512" s="14">
        <v>17</v>
      </c>
      <c r="G1512" s="15">
        <v>9106</v>
      </c>
      <c r="H1512" s="16">
        <v>0.1</v>
      </c>
      <c r="I1512" s="13">
        <v>5</v>
      </c>
      <c r="J1512" s="15">
        <v>15480.2</v>
      </c>
      <c r="K1512" s="15">
        <v>139321.79999999999</v>
      </c>
      <c r="L1512" s="15">
        <v>120988.8813386672</v>
      </c>
      <c r="M1512" s="15">
        <v>18332.918661332809</v>
      </c>
    </row>
    <row r="1513" spans="1:13" x14ac:dyDescent="0.25">
      <c r="A1513" s="12">
        <v>46438</v>
      </c>
      <c r="B1513" s="12" t="s">
        <v>13</v>
      </c>
      <c r="C1513" s="12" t="s">
        <v>17</v>
      </c>
      <c r="D1513" s="12" t="s">
        <v>15</v>
      </c>
      <c r="E1513" s="13">
        <v>10882</v>
      </c>
      <c r="F1513" s="14">
        <v>2</v>
      </c>
      <c r="G1513" s="15">
        <v>44884</v>
      </c>
      <c r="H1513" s="16">
        <v>0.15</v>
      </c>
      <c r="I1513" s="13">
        <v>2</v>
      </c>
      <c r="J1513" s="15">
        <v>13465.2</v>
      </c>
      <c r="K1513" s="15">
        <v>76302.8</v>
      </c>
      <c r="L1513" s="15">
        <v>51470.877856315521</v>
      </c>
      <c r="M1513" s="15">
        <v>24831.922143684478</v>
      </c>
    </row>
    <row r="1514" spans="1:13" x14ac:dyDescent="0.25">
      <c r="A1514" s="12">
        <v>46439</v>
      </c>
      <c r="B1514" s="12" t="s">
        <v>19</v>
      </c>
      <c r="C1514" s="12" t="s">
        <v>17</v>
      </c>
      <c r="D1514" s="12" t="s">
        <v>22</v>
      </c>
      <c r="E1514" s="13">
        <v>30224</v>
      </c>
      <c r="F1514" s="14">
        <v>13</v>
      </c>
      <c r="G1514" s="15">
        <v>34552</v>
      </c>
      <c r="H1514" s="16">
        <v>0.2</v>
      </c>
      <c r="I1514" s="13">
        <v>1</v>
      </c>
      <c r="J1514" s="15">
        <v>89835.200000000012</v>
      </c>
      <c r="K1514" s="15">
        <v>359340.79999999999</v>
      </c>
      <c r="L1514" s="15">
        <v>225447.78153481151</v>
      </c>
      <c r="M1514" s="15">
        <v>133893.01846518851</v>
      </c>
    </row>
    <row r="1515" spans="1:13" x14ac:dyDescent="0.25">
      <c r="A1515" s="12">
        <v>46440</v>
      </c>
      <c r="B1515" s="12" t="s">
        <v>19</v>
      </c>
      <c r="C1515" s="12" t="s">
        <v>17</v>
      </c>
      <c r="D1515" s="12" t="s">
        <v>18</v>
      </c>
      <c r="E1515" s="13">
        <v>40825</v>
      </c>
      <c r="F1515" s="14">
        <v>31</v>
      </c>
      <c r="G1515" s="15">
        <v>3648</v>
      </c>
      <c r="H1515" s="16">
        <v>0.05</v>
      </c>
      <c r="I1515" s="13">
        <v>5</v>
      </c>
      <c r="J1515" s="15">
        <v>5654.4000000000005</v>
      </c>
      <c r="K1515" s="15">
        <v>107433.60000000001</v>
      </c>
      <c r="L1515" s="15">
        <v>88633.2092277552</v>
      </c>
      <c r="M1515" s="15">
        <v>18800.390772244809</v>
      </c>
    </row>
    <row r="1516" spans="1:13" x14ac:dyDescent="0.25">
      <c r="A1516" s="12">
        <v>46441</v>
      </c>
      <c r="B1516" s="12" t="s">
        <v>16</v>
      </c>
      <c r="C1516" s="12" t="s">
        <v>14</v>
      </c>
      <c r="D1516" s="12" t="s">
        <v>18</v>
      </c>
      <c r="E1516" s="13">
        <v>80740</v>
      </c>
      <c r="F1516" s="14">
        <v>29</v>
      </c>
      <c r="G1516" s="15">
        <v>34036</v>
      </c>
      <c r="H1516" s="16">
        <v>0</v>
      </c>
      <c r="I1516" s="13">
        <v>4</v>
      </c>
      <c r="J1516" s="15">
        <v>0</v>
      </c>
      <c r="K1516" s="15">
        <v>987044</v>
      </c>
      <c r="L1516" s="15">
        <v>644228.47784051148</v>
      </c>
      <c r="M1516" s="15">
        <v>342815.52215948852</v>
      </c>
    </row>
    <row r="1517" spans="1:13" x14ac:dyDescent="0.25">
      <c r="A1517" s="12">
        <v>46442</v>
      </c>
      <c r="B1517" s="12" t="s">
        <v>24</v>
      </c>
      <c r="C1517" s="12" t="s">
        <v>21</v>
      </c>
      <c r="D1517" s="12" t="s">
        <v>15</v>
      </c>
      <c r="E1517" s="13">
        <v>38885</v>
      </c>
      <c r="F1517" s="14">
        <v>28</v>
      </c>
      <c r="G1517" s="15">
        <v>6107</v>
      </c>
      <c r="H1517" s="16">
        <v>0</v>
      </c>
      <c r="I1517" s="13">
        <v>2</v>
      </c>
      <c r="J1517" s="15">
        <v>0</v>
      </c>
      <c r="K1517" s="15">
        <v>170996</v>
      </c>
      <c r="L1517" s="15">
        <v>121675.4185012629</v>
      </c>
      <c r="M1517" s="15">
        <v>49320.581498737127</v>
      </c>
    </row>
    <row r="1518" spans="1:13" x14ac:dyDescent="0.25">
      <c r="A1518" s="12">
        <v>46443</v>
      </c>
      <c r="B1518" s="12" t="s">
        <v>13</v>
      </c>
      <c r="C1518" s="12" t="s">
        <v>21</v>
      </c>
      <c r="D1518" s="12" t="s">
        <v>15</v>
      </c>
      <c r="E1518" s="13">
        <v>50056</v>
      </c>
      <c r="F1518" s="14">
        <v>27</v>
      </c>
      <c r="G1518" s="15">
        <v>20086</v>
      </c>
      <c r="H1518" s="16">
        <v>0.2</v>
      </c>
      <c r="I1518" s="13">
        <v>1</v>
      </c>
      <c r="J1518" s="15">
        <v>108464.4</v>
      </c>
      <c r="K1518" s="15">
        <v>433857.6</v>
      </c>
      <c r="L1518" s="15">
        <v>263996.04933134897</v>
      </c>
      <c r="M1518" s="15">
        <v>169861.55066865101</v>
      </c>
    </row>
    <row r="1519" spans="1:13" x14ac:dyDescent="0.25">
      <c r="A1519" s="12">
        <v>46444</v>
      </c>
      <c r="B1519" s="12" t="s">
        <v>13</v>
      </c>
      <c r="C1519" s="12" t="s">
        <v>23</v>
      </c>
      <c r="D1519" s="12" t="s">
        <v>27</v>
      </c>
      <c r="E1519" s="13">
        <v>13203</v>
      </c>
      <c r="F1519" s="14">
        <v>15</v>
      </c>
      <c r="G1519" s="15">
        <v>29750</v>
      </c>
      <c r="H1519" s="16">
        <v>0.1</v>
      </c>
      <c r="I1519" s="13">
        <v>2</v>
      </c>
      <c r="J1519" s="15">
        <v>44625</v>
      </c>
      <c r="K1519" s="15">
        <v>401625</v>
      </c>
      <c r="L1519" s="15">
        <v>257489.97372684229</v>
      </c>
      <c r="M1519" s="15">
        <v>144135.02627315771</v>
      </c>
    </row>
    <row r="1520" spans="1:13" x14ac:dyDescent="0.25">
      <c r="A1520" s="12">
        <v>46445</v>
      </c>
      <c r="B1520" s="12" t="s">
        <v>16</v>
      </c>
      <c r="C1520" s="12" t="s">
        <v>21</v>
      </c>
      <c r="D1520" s="12" t="s">
        <v>25</v>
      </c>
      <c r="E1520" s="13">
        <v>70241</v>
      </c>
      <c r="F1520" s="14">
        <v>31</v>
      </c>
      <c r="G1520" s="15">
        <v>19094</v>
      </c>
      <c r="H1520" s="16">
        <v>0.1</v>
      </c>
      <c r="I1520" s="13">
        <v>1</v>
      </c>
      <c r="J1520" s="15">
        <v>59191.4</v>
      </c>
      <c r="K1520" s="15">
        <v>532722.6</v>
      </c>
      <c r="L1520" s="15">
        <v>347314.40655235812</v>
      </c>
      <c r="M1520" s="15">
        <v>185408.19344764191</v>
      </c>
    </row>
    <row r="1521" spans="1:13" x14ac:dyDescent="0.25">
      <c r="A1521" s="12">
        <v>46446</v>
      </c>
      <c r="B1521" s="12" t="s">
        <v>19</v>
      </c>
      <c r="C1521" s="12" t="s">
        <v>17</v>
      </c>
      <c r="D1521" s="12" t="s">
        <v>26</v>
      </c>
      <c r="E1521" s="13">
        <v>12244</v>
      </c>
      <c r="F1521" s="14">
        <v>40</v>
      </c>
      <c r="G1521" s="15">
        <v>7899</v>
      </c>
      <c r="H1521" s="16">
        <v>0.1</v>
      </c>
      <c r="I1521" s="13">
        <v>3</v>
      </c>
      <c r="J1521" s="15">
        <v>31596</v>
      </c>
      <c r="K1521" s="15">
        <v>284364</v>
      </c>
      <c r="L1521" s="15">
        <v>175260.08447026549</v>
      </c>
      <c r="M1521" s="15">
        <v>109103.9155297345</v>
      </c>
    </row>
    <row r="1522" spans="1:13" x14ac:dyDescent="0.25">
      <c r="A1522" s="12">
        <v>46447</v>
      </c>
      <c r="B1522" s="12" t="s">
        <v>24</v>
      </c>
      <c r="C1522" s="12" t="s">
        <v>17</v>
      </c>
      <c r="D1522" s="12" t="s">
        <v>18</v>
      </c>
      <c r="E1522" s="13">
        <v>78619</v>
      </c>
      <c r="F1522" s="14">
        <v>15</v>
      </c>
      <c r="G1522" s="15">
        <v>25617</v>
      </c>
      <c r="H1522" s="16">
        <v>0.1</v>
      </c>
      <c r="I1522" s="13">
        <v>5</v>
      </c>
      <c r="J1522" s="15">
        <v>38425.5</v>
      </c>
      <c r="K1522" s="15">
        <v>345829.5</v>
      </c>
      <c r="L1522" s="15">
        <v>275625.10409412009</v>
      </c>
      <c r="M1522" s="15">
        <v>70204.395905879908</v>
      </c>
    </row>
    <row r="1523" spans="1:13" x14ac:dyDescent="0.25">
      <c r="A1523" s="12">
        <v>46448</v>
      </c>
      <c r="B1523" s="12" t="s">
        <v>19</v>
      </c>
      <c r="C1523" s="12" t="s">
        <v>17</v>
      </c>
      <c r="D1523" s="12" t="s">
        <v>18</v>
      </c>
      <c r="E1523" s="13">
        <v>31584</v>
      </c>
      <c r="F1523" s="14">
        <v>33</v>
      </c>
      <c r="G1523" s="15">
        <v>33626</v>
      </c>
      <c r="H1523" s="16">
        <v>0.1</v>
      </c>
      <c r="I1523" s="13">
        <v>4</v>
      </c>
      <c r="J1523" s="15">
        <v>110965.8</v>
      </c>
      <c r="K1523" s="15">
        <v>998692.2</v>
      </c>
      <c r="L1523" s="15">
        <v>849989.26710232964</v>
      </c>
      <c r="M1523" s="15">
        <v>148702.93289767031</v>
      </c>
    </row>
    <row r="1524" spans="1:13" x14ac:dyDescent="0.25">
      <c r="A1524" s="12">
        <v>46449</v>
      </c>
      <c r="B1524" s="12" t="s">
        <v>19</v>
      </c>
      <c r="C1524" s="12" t="s">
        <v>23</v>
      </c>
      <c r="D1524" s="12" t="s">
        <v>15</v>
      </c>
      <c r="E1524" s="13">
        <v>18521</v>
      </c>
      <c r="F1524" s="14">
        <v>20</v>
      </c>
      <c r="G1524" s="15">
        <v>34117</v>
      </c>
      <c r="H1524" s="16">
        <v>0.2</v>
      </c>
      <c r="I1524" s="13">
        <v>2</v>
      </c>
      <c r="J1524" s="15">
        <v>136468</v>
      </c>
      <c r="K1524" s="15">
        <v>545872</v>
      </c>
      <c r="L1524" s="15">
        <v>388657.92825113668</v>
      </c>
      <c r="M1524" s="15">
        <v>157214.07174886329</v>
      </c>
    </row>
    <row r="1525" spans="1:13" x14ac:dyDescent="0.25">
      <c r="A1525" s="12">
        <v>46450</v>
      </c>
      <c r="B1525" s="12" t="s">
        <v>19</v>
      </c>
      <c r="C1525" s="12" t="s">
        <v>17</v>
      </c>
      <c r="D1525" s="12" t="s">
        <v>25</v>
      </c>
      <c r="E1525" s="13">
        <v>60017</v>
      </c>
      <c r="F1525" s="14">
        <v>42</v>
      </c>
      <c r="G1525" s="15">
        <v>7998</v>
      </c>
      <c r="H1525" s="16">
        <v>0.15</v>
      </c>
      <c r="I1525" s="13">
        <v>2</v>
      </c>
      <c r="J1525" s="15">
        <v>50387.4</v>
      </c>
      <c r="K1525" s="15">
        <v>285528.59999999998</v>
      </c>
      <c r="L1525" s="15">
        <v>246232.13909708409</v>
      </c>
      <c r="M1525" s="15">
        <v>39296.460902915831</v>
      </c>
    </row>
    <row r="1526" spans="1:13" x14ac:dyDescent="0.25">
      <c r="A1526" s="12">
        <v>46451</v>
      </c>
      <c r="B1526" s="12" t="s">
        <v>19</v>
      </c>
      <c r="C1526" s="12" t="s">
        <v>21</v>
      </c>
      <c r="D1526" s="12" t="s">
        <v>18</v>
      </c>
      <c r="E1526" s="13">
        <v>43541</v>
      </c>
      <c r="F1526" s="14">
        <v>12</v>
      </c>
      <c r="G1526" s="15">
        <v>37790</v>
      </c>
      <c r="H1526" s="16">
        <v>0.05</v>
      </c>
      <c r="I1526" s="13">
        <v>2</v>
      </c>
      <c r="J1526" s="15">
        <v>22674</v>
      </c>
      <c r="K1526" s="15">
        <v>430806</v>
      </c>
      <c r="L1526" s="15">
        <v>286056.89531998499</v>
      </c>
      <c r="M1526" s="15">
        <v>144749.10468001501</v>
      </c>
    </row>
    <row r="1527" spans="1:13" x14ac:dyDescent="0.25">
      <c r="A1527" s="12">
        <v>46452</v>
      </c>
      <c r="B1527" s="12" t="s">
        <v>13</v>
      </c>
      <c r="C1527" s="12" t="s">
        <v>14</v>
      </c>
      <c r="D1527" s="12" t="s">
        <v>26</v>
      </c>
      <c r="E1527" s="13">
        <v>39063</v>
      </c>
      <c r="F1527" s="14">
        <v>37</v>
      </c>
      <c r="G1527" s="15">
        <v>46041</v>
      </c>
      <c r="H1527" s="16">
        <v>0.1</v>
      </c>
      <c r="I1527" s="13">
        <v>2</v>
      </c>
      <c r="J1527" s="15">
        <v>170351.7</v>
      </c>
      <c r="K1527" s="15">
        <v>1533165.3</v>
      </c>
      <c r="L1527" s="15">
        <v>1069562.371906918</v>
      </c>
      <c r="M1527" s="15">
        <v>463602.92809308157</v>
      </c>
    </row>
    <row r="1528" spans="1:13" x14ac:dyDescent="0.25">
      <c r="A1528" s="12">
        <v>46453</v>
      </c>
      <c r="B1528" s="12" t="s">
        <v>13</v>
      </c>
      <c r="C1528" s="12" t="s">
        <v>14</v>
      </c>
      <c r="D1528" s="12" t="s">
        <v>15</v>
      </c>
      <c r="E1528" s="13">
        <v>80268</v>
      </c>
      <c r="F1528" s="14">
        <v>9</v>
      </c>
      <c r="G1528" s="15">
        <v>10128</v>
      </c>
      <c r="H1528" s="16">
        <v>0.15</v>
      </c>
      <c r="I1528" s="13">
        <v>5</v>
      </c>
      <c r="J1528" s="15">
        <v>13672.8</v>
      </c>
      <c r="K1528" s="15">
        <v>77479.199999999997</v>
      </c>
      <c r="L1528" s="15">
        <v>49991.214489138147</v>
      </c>
      <c r="M1528" s="15">
        <v>27487.98551086185</v>
      </c>
    </row>
    <row r="1529" spans="1:13" x14ac:dyDescent="0.25">
      <c r="A1529" s="12">
        <v>46454</v>
      </c>
      <c r="B1529" s="12" t="s">
        <v>19</v>
      </c>
      <c r="C1529" s="12" t="s">
        <v>20</v>
      </c>
      <c r="D1529" s="12" t="s">
        <v>26</v>
      </c>
      <c r="E1529" s="13">
        <v>74952</v>
      </c>
      <c r="F1529" s="14">
        <v>23</v>
      </c>
      <c r="G1529" s="15">
        <v>829</v>
      </c>
      <c r="H1529" s="16">
        <v>0</v>
      </c>
      <c r="I1529" s="13">
        <v>1</v>
      </c>
      <c r="J1529" s="15">
        <v>0</v>
      </c>
      <c r="K1529" s="15">
        <v>19067</v>
      </c>
      <c r="L1529" s="15">
        <v>14989.86065371622</v>
      </c>
      <c r="M1529" s="15">
        <v>4077.1393462837841</v>
      </c>
    </row>
    <row r="1530" spans="1:13" x14ac:dyDescent="0.25">
      <c r="A1530" s="12">
        <v>46455</v>
      </c>
      <c r="B1530" s="12" t="s">
        <v>24</v>
      </c>
      <c r="C1530" s="12" t="s">
        <v>21</v>
      </c>
      <c r="D1530" s="12" t="s">
        <v>25</v>
      </c>
      <c r="E1530" s="13">
        <v>49563</v>
      </c>
      <c r="F1530" s="14">
        <v>8</v>
      </c>
      <c r="G1530" s="15">
        <v>39119</v>
      </c>
      <c r="H1530" s="16">
        <v>0.2</v>
      </c>
      <c r="I1530" s="13">
        <v>5</v>
      </c>
      <c r="J1530" s="15">
        <v>62590.400000000001</v>
      </c>
      <c r="K1530" s="15">
        <v>250361.60000000001</v>
      </c>
      <c r="L1530" s="15">
        <v>181752.7267684906</v>
      </c>
      <c r="M1530" s="15">
        <v>68608.87323150938</v>
      </c>
    </row>
    <row r="1531" spans="1:13" x14ac:dyDescent="0.25">
      <c r="A1531" s="12">
        <v>46456</v>
      </c>
      <c r="B1531" s="12" t="s">
        <v>16</v>
      </c>
      <c r="C1531" s="12" t="s">
        <v>17</v>
      </c>
      <c r="D1531" s="12" t="s">
        <v>18</v>
      </c>
      <c r="E1531" s="13">
        <v>49752</v>
      </c>
      <c r="F1531" s="14">
        <v>32</v>
      </c>
      <c r="G1531" s="15">
        <v>7532</v>
      </c>
      <c r="H1531" s="16">
        <v>0.15</v>
      </c>
      <c r="I1531" s="13">
        <v>3</v>
      </c>
      <c r="J1531" s="15">
        <v>36153.599999999999</v>
      </c>
      <c r="K1531" s="15">
        <v>204870.39999999999</v>
      </c>
      <c r="L1531" s="15">
        <v>160615.32137425151</v>
      </c>
      <c r="M1531" s="15">
        <v>44255.078625748458</v>
      </c>
    </row>
    <row r="1532" spans="1:13" x14ac:dyDescent="0.25">
      <c r="A1532" s="12">
        <v>46457</v>
      </c>
      <c r="B1532" s="12" t="s">
        <v>24</v>
      </c>
      <c r="C1532" s="12" t="s">
        <v>14</v>
      </c>
      <c r="D1532" s="12" t="s">
        <v>22</v>
      </c>
      <c r="E1532" s="13">
        <v>12567</v>
      </c>
      <c r="F1532" s="14">
        <v>48</v>
      </c>
      <c r="G1532" s="15">
        <v>48594</v>
      </c>
      <c r="H1532" s="16">
        <v>0.1</v>
      </c>
      <c r="I1532" s="13">
        <v>5</v>
      </c>
      <c r="J1532" s="15">
        <v>233251.20000000001</v>
      </c>
      <c r="K1532" s="15">
        <v>2099260.7999999998</v>
      </c>
      <c r="L1532" s="15">
        <v>1739242.761371315</v>
      </c>
      <c r="M1532" s="15">
        <v>360018.03862868459</v>
      </c>
    </row>
    <row r="1533" spans="1:13" x14ac:dyDescent="0.25">
      <c r="A1533" s="12">
        <v>46458</v>
      </c>
      <c r="B1533" s="12" t="s">
        <v>24</v>
      </c>
      <c r="C1533" s="12" t="s">
        <v>21</v>
      </c>
      <c r="D1533" s="12" t="s">
        <v>18</v>
      </c>
      <c r="E1533" s="13">
        <v>26121</v>
      </c>
      <c r="F1533" s="14">
        <v>14</v>
      </c>
      <c r="G1533" s="15">
        <v>38534</v>
      </c>
      <c r="H1533" s="16">
        <v>0.1</v>
      </c>
      <c r="I1533" s="13">
        <v>5</v>
      </c>
      <c r="J1533" s="15">
        <v>53947.600000000013</v>
      </c>
      <c r="K1533" s="15">
        <v>485528.4</v>
      </c>
      <c r="L1533" s="15">
        <v>370803.33367489558</v>
      </c>
      <c r="M1533" s="15">
        <v>114725.0663251044</v>
      </c>
    </row>
    <row r="1534" spans="1:13" x14ac:dyDescent="0.25">
      <c r="A1534" s="12">
        <v>46459</v>
      </c>
      <c r="B1534" s="12" t="s">
        <v>24</v>
      </c>
      <c r="C1534" s="12" t="s">
        <v>14</v>
      </c>
      <c r="D1534" s="12" t="s">
        <v>25</v>
      </c>
      <c r="E1534" s="13">
        <v>11674</v>
      </c>
      <c r="F1534" s="14">
        <v>27</v>
      </c>
      <c r="G1534" s="15">
        <v>37622</v>
      </c>
      <c r="H1534" s="16">
        <v>0.1</v>
      </c>
      <c r="I1534" s="13">
        <v>3</v>
      </c>
      <c r="J1534" s="15">
        <v>101579.4</v>
      </c>
      <c r="K1534" s="15">
        <v>914214.6</v>
      </c>
      <c r="L1534" s="15">
        <v>720665.4101563188</v>
      </c>
      <c r="M1534" s="15">
        <v>193549.1898436812</v>
      </c>
    </row>
    <row r="1535" spans="1:13" x14ac:dyDescent="0.25">
      <c r="A1535" s="12">
        <v>46460</v>
      </c>
      <c r="B1535" s="12" t="s">
        <v>19</v>
      </c>
      <c r="C1535" s="12" t="s">
        <v>17</v>
      </c>
      <c r="D1535" s="12" t="s">
        <v>18</v>
      </c>
      <c r="E1535" s="13">
        <v>86411</v>
      </c>
      <c r="F1535" s="14">
        <v>25</v>
      </c>
      <c r="G1535" s="15">
        <v>21122</v>
      </c>
      <c r="H1535" s="16">
        <v>0.15</v>
      </c>
      <c r="I1535" s="13">
        <v>5</v>
      </c>
      <c r="J1535" s="15">
        <v>79207.5</v>
      </c>
      <c r="K1535" s="15">
        <v>448842.5</v>
      </c>
      <c r="L1535" s="15">
        <v>395239.52677156148</v>
      </c>
      <c r="M1535" s="15">
        <v>53602.973228438474</v>
      </c>
    </row>
    <row r="1536" spans="1:13" x14ac:dyDescent="0.25">
      <c r="A1536" s="12">
        <v>46461</v>
      </c>
      <c r="B1536" s="12" t="s">
        <v>13</v>
      </c>
      <c r="C1536" s="12" t="s">
        <v>14</v>
      </c>
      <c r="D1536" s="12" t="s">
        <v>18</v>
      </c>
      <c r="E1536" s="13">
        <v>76275</v>
      </c>
      <c r="F1536" s="14">
        <v>13</v>
      </c>
      <c r="G1536" s="15">
        <v>29084</v>
      </c>
      <c r="H1536" s="16">
        <v>0.1</v>
      </c>
      <c r="I1536" s="13">
        <v>1</v>
      </c>
      <c r="J1536" s="15">
        <v>37809.199999999997</v>
      </c>
      <c r="K1536" s="15">
        <v>340282.8</v>
      </c>
      <c r="L1536" s="15">
        <v>234699.61219612919</v>
      </c>
      <c r="M1536" s="15">
        <v>105583.18780387079</v>
      </c>
    </row>
    <row r="1537" spans="1:13" x14ac:dyDescent="0.25">
      <c r="A1537" s="12">
        <v>46462</v>
      </c>
      <c r="B1537" s="12" t="s">
        <v>24</v>
      </c>
      <c r="C1537" s="12" t="s">
        <v>20</v>
      </c>
      <c r="D1537" s="12" t="s">
        <v>27</v>
      </c>
      <c r="E1537" s="13">
        <v>77081</v>
      </c>
      <c r="F1537" s="14">
        <v>21</v>
      </c>
      <c r="G1537" s="15">
        <v>48350</v>
      </c>
      <c r="H1537" s="16">
        <v>0.15</v>
      </c>
      <c r="I1537" s="13">
        <v>4</v>
      </c>
      <c r="J1537" s="15">
        <v>152302.5</v>
      </c>
      <c r="K1537" s="15">
        <v>863047.5</v>
      </c>
      <c r="L1537" s="15">
        <v>610821.16179845599</v>
      </c>
      <c r="M1537" s="15">
        <v>252226.33820154399</v>
      </c>
    </row>
    <row r="1538" spans="1:13" x14ac:dyDescent="0.25">
      <c r="A1538" s="12">
        <v>46463</v>
      </c>
      <c r="B1538" s="12" t="s">
        <v>19</v>
      </c>
      <c r="C1538" s="12" t="s">
        <v>20</v>
      </c>
      <c r="D1538" s="12" t="s">
        <v>18</v>
      </c>
      <c r="E1538" s="13">
        <v>39140</v>
      </c>
      <c r="F1538" s="14">
        <v>45</v>
      </c>
      <c r="G1538" s="15">
        <v>5222</v>
      </c>
      <c r="H1538" s="16">
        <v>0.1</v>
      </c>
      <c r="I1538" s="13">
        <v>3</v>
      </c>
      <c r="J1538" s="15">
        <v>23499</v>
      </c>
      <c r="K1538" s="15">
        <v>211491</v>
      </c>
      <c r="L1538" s="15">
        <v>172430.9405013808</v>
      </c>
      <c r="M1538" s="15">
        <v>39060.059498619201</v>
      </c>
    </row>
    <row r="1539" spans="1:13" x14ac:dyDescent="0.25">
      <c r="A1539" s="12">
        <v>46464</v>
      </c>
      <c r="B1539" s="12" t="s">
        <v>24</v>
      </c>
      <c r="C1539" s="12" t="s">
        <v>14</v>
      </c>
      <c r="D1539" s="12" t="s">
        <v>18</v>
      </c>
      <c r="E1539" s="13">
        <v>19327</v>
      </c>
      <c r="F1539" s="14">
        <v>31</v>
      </c>
      <c r="G1539" s="15">
        <v>18272</v>
      </c>
      <c r="H1539" s="16">
        <v>0</v>
      </c>
      <c r="I1539" s="13">
        <v>2</v>
      </c>
      <c r="J1539" s="15">
        <v>0</v>
      </c>
      <c r="K1539" s="15">
        <v>566432</v>
      </c>
      <c r="L1539" s="15">
        <v>443738.10199101502</v>
      </c>
      <c r="M1539" s="15">
        <v>122693.89800898499</v>
      </c>
    </row>
    <row r="1540" spans="1:13" x14ac:dyDescent="0.25">
      <c r="A1540" s="12">
        <v>46465</v>
      </c>
      <c r="B1540" s="12" t="s">
        <v>24</v>
      </c>
      <c r="C1540" s="12" t="s">
        <v>21</v>
      </c>
      <c r="D1540" s="12" t="s">
        <v>26</v>
      </c>
      <c r="E1540" s="13">
        <v>80663</v>
      </c>
      <c r="F1540" s="14">
        <v>37</v>
      </c>
      <c r="G1540" s="15">
        <v>21069</v>
      </c>
      <c r="H1540" s="16">
        <v>0</v>
      </c>
      <c r="I1540" s="13">
        <v>1</v>
      </c>
      <c r="J1540" s="15">
        <v>0</v>
      </c>
      <c r="K1540" s="15">
        <v>779553</v>
      </c>
      <c r="L1540" s="15">
        <v>509484.55839979439</v>
      </c>
      <c r="M1540" s="15">
        <v>270068.44160020561</v>
      </c>
    </row>
    <row r="1541" spans="1:13" x14ac:dyDescent="0.25">
      <c r="A1541" s="12">
        <v>46466</v>
      </c>
      <c r="B1541" s="12" t="s">
        <v>19</v>
      </c>
      <c r="C1541" s="12" t="s">
        <v>21</v>
      </c>
      <c r="D1541" s="12" t="s">
        <v>22</v>
      </c>
      <c r="E1541" s="13">
        <v>33331</v>
      </c>
      <c r="F1541" s="14">
        <v>48</v>
      </c>
      <c r="G1541" s="15">
        <v>42179</v>
      </c>
      <c r="H1541" s="16">
        <v>0.05</v>
      </c>
      <c r="I1541" s="13">
        <v>4</v>
      </c>
      <c r="J1541" s="15">
        <v>101229.6</v>
      </c>
      <c r="K1541" s="15">
        <v>1923362.4</v>
      </c>
      <c r="L1541" s="15">
        <v>1371057.7178805959</v>
      </c>
      <c r="M1541" s="15">
        <v>552304.68211940397</v>
      </c>
    </row>
    <row r="1542" spans="1:13" x14ac:dyDescent="0.25">
      <c r="A1542" s="12">
        <v>46467</v>
      </c>
      <c r="B1542" s="12" t="s">
        <v>13</v>
      </c>
      <c r="C1542" s="12" t="s">
        <v>21</v>
      </c>
      <c r="D1542" s="12" t="s">
        <v>26</v>
      </c>
      <c r="E1542" s="13">
        <v>33004</v>
      </c>
      <c r="F1542" s="14">
        <v>43</v>
      </c>
      <c r="G1542" s="15">
        <v>3735</v>
      </c>
      <c r="H1542" s="16">
        <v>0.1</v>
      </c>
      <c r="I1542" s="13">
        <v>1</v>
      </c>
      <c r="J1542" s="15">
        <v>16060.5</v>
      </c>
      <c r="K1542" s="15">
        <v>144544.5</v>
      </c>
      <c r="L1542" s="15">
        <v>107013.7235064316</v>
      </c>
      <c r="M1542" s="15">
        <v>37530.776493568403</v>
      </c>
    </row>
    <row r="1543" spans="1:13" x14ac:dyDescent="0.25">
      <c r="A1543" s="12">
        <v>46468</v>
      </c>
      <c r="B1543" s="12" t="s">
        <v>13</v>
      </c>
      <c r="C1543" s="12" t="s">
        <v>14</v>
      </c>
      <c r="D1543" s="12" t="s">
        <v>26</v>
      </c>
      <c r="E1543" s="13">
        <v>20492</v>
      </c>
      <c r="F1543" s="14">
        <v>5</v>
      </c>
      <c r="G1543" s="15">
        <v>5076</v>
      </c>
      <c r="H1543" s="16">
        <v>0.1</v>
      </c>
      <c r="I1543" s="13">
        <v>1</v>
      </c>
      <c r="J1543" s="15">
        <v>2538</v>
      </c>
      <c r="K1543" s="15">
        <v>22842</v>
      </c>
      <c r="L1543" s="15">
        <v>16579.110803662181</v>
      </c>
      <c r="M1543" s="15">
        <v>6262.8891963378164</v>
      </c>
    </row>
    <row r="1544" spans="1:13" x14ac:dyDescent="0.25">
      <c r="A1544" s="12">
        <v>46469</v>
      </c>
      <c r="B1544" s="12" t="s">
        <v>16</v>
      </c>
      <c r="C1544" s="12" t="s">
        <v>21</v>
      </c>
      <c r="D1544" s="12" t="s">
        <v>15</v>
      </c>
      <c r="E1544" s="13">
        <v>64797</v>
      </c>
      <c r="F1544" s="14">
        <v>13</v>
      </c>
      <c r="G1544" s="15">
        <v>27207</v>
      </c>
      <c r="H1544" s="16">
        <v>0.15</v>
      </c>
      <c r="I1544" s="13">
        <v>2</v>
      </c>
      <c r="J1544" s="15">
        <v>53053.65</v>
      </c>
      <c r="K1544" s="15">
        <v>300637.34999999998</v>
      </c>
      <c r="L1544" s="15">
        <v>196461.2297837089</v>
      </c>
      <c r="M1544" s="15">
        <v>104176.12021629111</v>
      </c>
    </row>
    <row r="1545" spans="1:13" x14ac:dyDescent="0.25">
      <c r="A1545" s="12">
        <v>46470</v>
      </c>
      <c r="B1545" s="12" t="s">
        <v>19</v>
      </c>
      <c r="C1545" s="12" t="s">
        <v>17</v>
      </c>
      <c r="D1545" s="12" t="s">
        <v>27</v>
      </c>
      <c r="E1545" s="13">
        <v>68095</v>
      </c>
      <c r="F1545" s="14">
        <v>28</v>
      </c>
      <c r="G1545" s="15">
        <v>34368</v>
      </c>
      <c r="H1545" s="16">
        <v>0.15</v>
      </c>
      <c r="I1545" s="13">
        <v>4</v>
      </c>
      <c r="J1545" s="15">
        <v>144345.60000000001</v>
      </c>
      <c r="K1545" s="15">
        <v>817958.40000000002</v>
      </c>
      <c r="L1545" s="15">
        <v>717618.64763631253</v>
      </c>
      <c r="M1545" s="15">
        <v>100339.7523636875</v>
      </c>
    </row>
    <row r="1546" spans="1:13" x14ac:dyDescent="0.25">
      <c r="A1546" s="12">
        <v>46471</v>
      </c>
      <c r="B1546" s="12" t="s">
        <v>16</v>
      </c>
      <c r="C1546" s="12" t="s">
        <v>20</v>
      </c>
      <c r="D1546" s="12" t="s">
        <v>26</v>
      </c>
      <c r="E1546" s="13">
        <v>23749</v>
      </c>
      <c r="F1546" s="14">
        <v>43</v>
      </c>
      <c r="G1546" s="15">
        <v>42132</v>
      </c>
      <c r="H1546" s="16">
        <v>0.1</v>
      </c>
      <c r="I1546" s="13">
        <v>1</v>
      </c>
      <c r="J1546" s="15">
        <v>181167.6</v>
      </c>
      <c r="K1546" s="15">
        <v>1630508.4</v>
      </c>
      <c r="L1546" s="15">
        <v>1351195.1833258879</v>
      </c>
      <c r="M1546" s="15">
        <v>279313.21667411219</v>
      </c>
    </row>
    <row r="1547" spans="1:13" x14ac:dyDescent="0.25">
      <c r="A1547" s="12">
        <v>46472</v>
      </c>
      <c r="B1547" s="12" t="s">
        <v>16</v>
      </c>
      <c r="C1547" s="12" t="s">
        <v>17</v>
      </c>
      <c r="D1547" s="12" t="s">
        <v>25</v>
      </c>
      <c r="E1547" s="13">
        <v>73217</v>
      </c>
      <c r="F1547" s="14">
        <v>25</v>
      </c>
      <c r="G1547" s="15">
        <v>41976</v>
      </c>
      <c r="H1547" s="16">
        <v>0.05</v>
      </c>
      <c r="I1547" s="13">
        <v>2</v>
      </c>
      <c r="J1547" s="15">
        <v>52470</v>
      </c>
      <c r="K1547" s="15">
        <v>996930</v>
      </c>
      <c r="L1547" s="15">
        <v>742121.42091098428</v>
      </c>
      <c r="M1547" s="15">
        <v>254808.57908901569</v>
      </c>
    </row>
    <row r="1548" spans="1:13" x14ac:dyDescent="0.25">
      <c r="A1548" s="12">
        <v>46473</v>
      </c>
      <c r="B1548" s="12" t="s">
        <v>16</v>
      </c>
      <c r="C1548" s="12" t="s">
        <v>21</v>
      </c>
      <c r="D1548" s="12" t="s">
        <v>25</v>
      </c>
      <c r="E1548" s="13">
        <v>99044</v>
      </c>
      <c r="F1548" s="14">
        <v>35</v>
      </c>
      <c r="G1548" s="15">
        <v>30785</v>
      </c>
      <c r="H1548" s="16">
        <v>0.1</v>
      </c>
      <c r="I1548" s="13">
        <v>3</v>
      </c>
      <c r="J1548" s="15">
        <v>107747.5</v>
      </c>
      <c r="K1548" s="15">
        <v>969727.5</v>
      </c>
      <c r="L1548" s="15">
        <v>779678.66424822528</v>
      </c>
      <c r="M1548" s="15">
        <v>190048.83575177469</v>
      </c>
    </row>
    <row r="1549" spans="1:13" x14ac:dyDescent="0.25">
      <c r="A1549" s="12">
        <v>46474</v>
      </c>
      <c r="B1549" s="12" t="s">
        <v>13</v>
      </c>
      <c r="C1549" s="12" t="s">
        <v>17</v>
      </c>
      <c r="D1549" s="12" t="s">
        <v>18</v>
      </c>
      <c r="E1549" s="13">
        <v>19045</v>
      </c>
      <c r="F1549" s="14">
        <v>47</v>
      </c>
      <c r="G1549" s="15">
        <v>24654</v>
      </c>
      <c r="H1549" s="16">
        <v>0.15</v>
      </c>
      <c r="I1549" s="13">
        <v>2</v>
      </c>
      <c r="J1549" s="15">
        <v>173810.7</v>
      </c>
      <c r="K1549" s="15">
        <v>984927.3</v>
      </c>
      <c r="L1549" s="15">
        <v>856083.83988096751</v>
      </c>
      <c r="M1549" s="15">
        <v>128843.4601190325</v>
      </c>
    </row>
    <row r="1550" spans="1:13" x14ac:dyDescent="0.25">
      <c r="A1550" s="12">
        <v>46475</v>
      </c>
      <c r="B1550" s="12" t="s">
        <v>19</v>
      </c>
      <c r="C1550" s="12" t="s">
        <v>21</v>
      </c>
      <c r="D1550" s="12" t="s">
        <v>15</v>
      </c>
      <c r="E1550" s="13">
        <v>30116</v>
      </c>
      <c r="F1550" s="14">
        <v>39</v>
      </c>
      <c r="G1550" s="15">
        <v>20554</v>
      </c>
      <c r="H1550" s="16">
        <v>0.1</v>
      </c>
      <c r="I1550" s="13">
        <v>5</v>
      </c>
      <c r="J1550" s="15">
        <v>80160.600000000006</v>
      </c>
      <c r="K1550" s="15">
        <v>721445.4</v>
      </c>
      <c r="L1550" s="15">
        <v>462339.90258171019</v>
      </c>
      <c r="M1550" s="15">
        <v>259105.4974182898</v>
      </c>
    </row>
    <row r="1551" spans="1:13" x14ac:dyDescent="0.25">
      <c r="A1551" s="12">
        <v>46476</v>
      </c>
      <c r="B1551" s="12" t="s">
        <v>16</v>
      </c>
      <c r="C1551" s="12" t="s">
        <v>14</v>
      </c>
      <c r="D1551" s="12" t="s">
        <v>27</v>
      </c>
      <c r="E1551" s="13">
        <v>28667</v>
      </c>
      <c r="F1551" s="14">
        <v>7</v>
      </c>
      <c r="G1551" s="15">
        <v>17665</v>
      </c>
      <c r="H1551" s="16">
        <v>0.15</v>
      </c>
      <c r="I1551" s="13">
        <v>2</v>
      </c>
      <c r="J1551" s="15">
        <v>18548.25</v>
      </c>
      <c r="K1551" s="15">
        <v>105106.75</v>
      </c>
      <c r="L1551" s="15">
        <v>70958.819294218687</v>
      </c>
      <c r="M1551" s="15">
        <v>34147.930705781313</v>
      </c>
    </row>
    <row r="1552" spans="1:13" x14ac:dyDescent="0.25">
      <c r="A1552" s="12">
        <v>46477</v>
      </c>
      <c r="B1552" s="12" t="s">
        <v>19</v>
      </c>
      <c r="C1552" s="12" t="s">
        <v>17</v>
      </c>
      <c r="D1552" s="12" t="s">
        <v>27</v>
      </c>
      <c r="E1552" s="13">
        <v>85057</v>
      </c>
      <c r="F1552" s="14">
        <v>38</v>
      </c>
      <c r="G1552" s="15">
        <v>14939</v>
      </c>
      <c r="H1552" s="16">
        <v>0.1</v>
      </c>
      <c r="I1552" s="13">
        <v>2</v>
      </c>
      <c r="J1552" s="15">
        <v>56768.2</v>
      </c>
      <c r="K1552" s="15">
        <v>510913.8</v>
      </c>
      <c r="L1552" s="15">
        <v>389730.34695018962</v>
      </c>
      <c r="M1552" s="15">
        <v>121183.4530498104</v>
      </c>
    </row>
    <row r="1553" spans="1:13" x14ac:dyDescent="0.25">
      <c r="A1553" s="12">
        <v>46478</v>
      </c>
      <c r="B1553" s="12" t="s">
        <v>19</v>
      </c>
      <c r="C1553" s="12" t="s">
        <v>14</v>
      </c>
      <c r="D1553" s="12" t="s">
        <v>18</v>
      </c>
      <c r="E1553" s="13">
        <v>84205</v>
      </c>
      <c r="F1553" s="14">
        <v>32</v>
      </c>
      <c r="G1553" s="15">
        <v>45018</v>
      </c>
      <c r="H1553" s="16">
        <v>0.2</v>
      </c>
      <c r="I1553" s="13">
        <v>2</v>
      </c>
      <c r="J1553" s="15">
        <v>288115.20000000001</v>
      </c>
      <c r="K1553" s="15">
        <v>1152460.8</v>
      </c>
      <c r="L1553" s="15">
        <v>967724.91953311104</v>
      </c>
      <c r="M1553" s="15">
        <v>184735.88046688901</v>
      </c>
    </row>
    <row r="1554" spans="1:13" x14ac:dyDescent="0.25">
      <c r="A1554" s="12">
        <v>46479</v>
      </c>
      <c r="B1554" s="12" t="s">
        <v>13</v>
      </c>
      <c r="C1554" s="12" t="s">
        <v>14</v>
      </c>
      <c r="D1554" s="12" t="s">
        <v>25</v>
      </c>
      <c r="E1554" s="13">
        <v>37302</v>
      </c>
      <c r="F1554" s="14">
        <v>3</v>
      </c>
      <c r="G1554" s="15">
        <v>23015</v>
      </c>
      <c r="H1554" s="16">
        <v>0.15</v>
      </c>
      <c r="I1554" s="13">
        <v>1</v>
      </c>
      <c r="J1554" s="15">
        <v>10356.75</v>
      </c>
      <c r="K1554" s="15">
        <v>58688.25</v>
      </c>
      <c r="L1554" s="15">
        <v>35851.27091021886</v>
      </c>
      <c r="M1554" s="15">
        <v>22836.97908978114</v>
      </c>
    </row>
    <row r="1555" spans="1:13" x14ac:dyDescent="0.25">
      <c r="A1555" s="12">
        <v>46480</v>
      </c>
      <c r="B1555" s="12" t="s">
        <v>16</v>
      </c>
      <c r="C1555" s="12" t="s">
        <v>23</v>
      </c>
      <c r="D1555" s="12" t="s">
        <v>22</v>
      </c>
      <c r="E1555" s="13">
        <v>21283</v>
      </c>
      <c r="F1555" s="14">
        <v>45</v>
      </c>
      <c r="G1555" s="15">
        <v>27462</v>
      </c>
      <c r="H1555" s="16">
        <v>0.05</v>
      </c>
      <c r="I1555" s="13">
        <v>4</v>
      </c>
      <c r="J1555" s="15">
        <v>61789.5</v>
      </c>
      <c r="K1555" s="15">
        <v>1174000.5</v>
      </c>
      <c r="L1555" s="15">
        <v>1050971.640101881</v>
      </c>
      <c r="M1555" s="15">
        <v>123028.8598981192</v>
      </c>
    </row>
    <row r="1556" spans="1:13" x14ac:dyDescent="0.25">
      <c r="A1556" s="12">
        <v>46481</v>
      </c>
      <c r="B1556" s="12" t="s">
        <v>16</v>
      </c>
      <c r="C1556" s="12" t="s">
        <v>21</v>
      </c>
      <c r="D1556" s="12" t="s">
        <v>15</v>
      </c>
      <c r="E1556" s="13">
        <v>40935</v>
      </c>
      <c r="F1556" s="14">
        <v>39</v>
      </c>
      <c r="G1556" s="15">
        <v>43049</v>
      </c>
      <c r="H1556" s="16">
        <v>0.2</v>
      </c>
      <c r="I1556" s="13">
        <v>2</v>
      </c>
      <c r="J1556" s="15">
        <v>335782.2</v>
      </c>
      <c r="K1556" s="15">
        <v>1343128.8</v>
      </c>
      <c r="L1556" s="15">
        <v>989176.7278924532</v>
      </c>
      <c r="M1556" s="15">
        <v>353952.07210754679</v>
      </c>
    </row>
    <row r="1557" spans="1:13" x14ac:dyDescent="0.25">
      <c r="A1557" s="12">
        <v>46482</v>
      </c>
      <c r="B1557" s="12" t="s">
        <v>19</v>
      </c>
      <c r="C1557" s="12" t="s">
        <v>20</v>
      </c>
      <c r="D1557" s="12" t="s">
        <v>18</v>
      </c>
      <c r="E1557" s="13">
        <v>82534</v>
      </c>
      <c r="F1557" s="14">
        <v>37</v>
      </c>
      <c r="G1557" s="15">
        <v>38263</v>
      </c>
      <c r="H1557" s="16">
        <v>0.1</v>
      </c>
      <c r="I1557" s="13">
        <v>2</v>
      </c>
      <c r="J1557" s="15">
        <v>141573.1</v>
      </c>
      <c r="K1557" s="15">
        <v>1274157.8999999999</v>
      </c>
      <c r="L1557" s="15">
        <v>901809.89872475364</v>
      </c>
      <c r="M1557" s="15">
        <v>372348.00127524632</v>
      </c>
    </row>
    <row r="1558" spans="1:13" x14ac:dyDescent="0.25">
      <c r="A1558" s="12">
        <v>46483</v>
      </c>
      <c r="B1558" s="12" t="s">
        <v>24</v>
      </c>
      <c r="C1558" s="12" t="s">
        <v>21</v>
      </c>
      <c r="D1558" s="12" t="s">
        <v>15</v>
      </c>
      <c r="E1558" s="13">
        <v>41624</v>
      </c>
      <c r="F1558" s="14">
        <v>22</v>
      </c>
      <c r="G1558" s="15">
        <v>45254</v>
      </c>
      <c r="H1558" s="16">
        <v>0.15</v>
      </c>
      <c r="I1558" s="13">
        <v>5</v>
      </c>
      <c r="J1558" s="15">
        <v>149338.20000000001</v>
      </c>
      <c r="K1558" s="15">
        <v>846249.8</v>
      </c>
      <c r="L1558" s="15">
        <v>582065.27909310581</v>
      </c>
      <c r="M1558" s="15">
        <v>264184.52090689418</v>
      </c>
    </row>
    <row r="1559" spans="1:13" x14ac:dyDescent="0.25">
      <c r="A1559" s="12">
        <v>46484</v>
      </c>
      <c r="B1559" s="12" t="s">
        <v>13</v>
      </c>
      <c r="C1559" s="12" t="s">
        <v>20</v>
      </c>
      <c r="D1559" s="12" t="s">
        <v>25</v>
      </c>
      <c r="E1559" s="13">
        <v>23440</v>
      </c>
      <c r="F1559" s="14">
        <v>8</v>
      </c>
      <c r="G1559" s="15">
        <v>45778</v>
      </c>
      <c r="H1559" s="16">
        <v>0.2</v>
      </c>
      <c r="I1559" s="13">
        <v>5</v>
      </c>
      <c r="J1559" s="15">
        <v>73244.800000000003</v>
      </c>
      <c r="K1559" s="15">
        <v>292979.20000000001</v>
      </c>
      <c r="L1559" s="15">
        <v>191112.38661665589</v>
      </c>
      <c r="M1559" s="15">
        <v>101866.8133833442</v>
      </c>
    </row>
    <row r="1560" spans="1:13" x14ac:dyDescent="0.25">
      <c r="A1560" s="12">
        <v>46485</v>
      </c>
      <c r="B1560" s="12" t="s">
        <v>13</v>
      </c>
      <c r="C1560" s="12" t="s">
        <v>21</v>
      </c>
      <c r="D1560" s="12" t="s">
        <v>25</v>
      </c>
      <c r="E1560" s="13">
        <v>56501</v>
      </c>
      <c r="F1560" s="14">
        <v>17</v>
      </c>
      <c r="G1560" s="15">
        <v>19964</v>
      </c>
      <c r="H1560" s="16">
        <v>0.05</v>
      </c>
      <c r="I1560" s="13">
        <v>3</v>
      </c>
      <c r="J1560" s="15">
        <v>16969.400000000001</v>
      </c>
      <c r="K1560" s="15">
        <v>322418.59999999998</v>
      </c>
      <c r="L1560" s="15">
        <v>270016.6054541241</v>
      </c>
      <c r="M1560" s="15">
        <v>52401.994545875867</v>
      </c>
    </row>
    <row r="1561" spans="1:13" x14ac:dyDescent="0.25">
      <c r="A1561" s="12">
        <v>46486</v>
      </c>
      <c r="B1561" s="12" t="s">
        <v>13</v>
      </c>
      <c r="C1561" s="12" t="s">
        <v>14</v>
      </c>
      <c r="D1561" s="12" t="s">
        <v>22</v>
      </c>
      <c r="E1561" s="13">
        <v>97333</v>
      </c>
      <c r="F1561" s="14">
        <v>27</v>
      </c>
      <c r="G1561" s="15">
        <v>42536</v>
      </c>
      <c r="H1561" s="16">
        <v>0.15</v>
      </c>
      <c r="I1561" s="13">
        <v>3</v>
      </c>
      <c r="J1561" s="15">
        <v>172270.8</v>
      </c>
      <c r="K1561" s="15">
        <v>976201.2</v>
      </c>
      <c r="L1561" s="15">
        <v>865523.65623664111</v>
      </c>
      <c r="M1561" s="15">
        <v>110677.5437633588</v>
      </c>
    </row>
    <row r="1562" spans="1:13" x14ac:dyDescent="0.25">
      <c r="A1562" s="12">
        <v>46487</v>
      </c>
      <c r="B1562" s="12" t="s">
        <v>13</v>
      </c>
      <c r="C1562" s="12" t="s">
        <v>17</v>
      </c>
      <c r="D1562" s="12" t="s">
        <v>22</v>
      </c>
      <c r="E1562" s="13">
        <v>11269</v>
      </c>
      <c r="F1562" s="14">
        <v>33</v>
      </c>
      <c r="G1562" s="15">
        <v>30913</v>
      </c>
      <c r="H1562" s="16">
        <v>0.2</v>
      </c>
      <c r="I1562" s="13">
        <v>5</v>
      </c>
      <c r="J1562" s="15">
        <v>204025.8</v>
      </c>
      <c r="K1562" s="15">
        <v>816103.2</v>
      </c>
      <c r="L1562" s="15">
        <v>590934.96242776338</v>
      </c>
      <c r="M1562" s="15">
        <v>225168.2375722366</v>
      </c>
    </row>
    <row r="1563" spans="1:13" x14ac:dyDescent="0.25">
      <c r="A1563" s="12">
        <v>46488</v>
      </c>
      <c r="B1563" s="12" t="s">
        <v>16</v>
      </c>
      <c r="C1563" s="12" t="s">
        <v>17</v>
      </c>
      <c r="D1563" s="12" t="s">
        <v>27</v>
      </c>
      <c r="E1563" s="13">
        <v>17868</v>
      </c>
      <c r="F1563" s="14">
        <v>46</v>
      </c>
      <c r="G1563" s="15">
        <v>33770</v>
      </c>
      <c r="H1563" s="16">
        <v>0.2</v>
      </c>
      <c r="I1563" s="13">
        <v>4</v>
      </c>
      <c r="J1563" s="15">
        <v>310684</v>
      </c>
      <c r="K1563" s="15">
        <v>1242736</v>
      </c>
      <c r="L1563" s="15">
        <v>1100723.8453545391</v>
      </c>
      <c r="M1563" s="15">
        <v>142012.15464546069</v>
      </c>
    </row>
    <row r="1564" spans="1:13" x14ac:dyDescent="0.25">
      <c r="A1564" s="12">
        <v>46489</v>
      </c>
      <c r="B1564" s="12" t="s">
        <v>16</v>
      </c>
      <c r="C1564" s="12" t="s">
        <v>23</v>
      </c>
      <c r="D1564" s="12" t="s">
        <v>15</v>
      </c>
      <c r="E1564" s="13">
        <v>40251</v>
      </c>
      <c r="F1564" s="14">
        <v>17</v>
      </c>
      <c r="G1564" s="15">
        <v>42799</v>
      </c>
      <c r="H1564" s="16">
        <v>0.2</v>
      </c>
      <c r="I1564" s="13">
        <v>3</v>
      </c>
      <c r="J1564" s="15">
        <v>145516.6</v>
      </c>
      <c r="K1564" s="15">
        <v>582066.4</v>
      </c>
      <c r="L1564" s="15">
        <v>493091.31370345643</v>
      </c>
      <c r="M1564" s="15">
        <v>88975.086296543595</v>
      </c>
    </row>
    <row r="1565" spans="1:13" x14ac:dyDescent="0.25">
      <c r="A1565" s="12">
        <v>46490</v>
      </c>
      <c r="B1565" s="12" t="s">
        <v>24</v>
      </c>
      <c r="C1565" s="12" t="s">
        <v>20</v>
      </c>
      <c r="D1565" s="12" t="s">
        <v>15</v>
      </c>
      <c r="E1565" s="13">
        <v>87909</v>
      </c>
      <c r="F1565" s="14">
        <v>42</v>
      </c>
      <c r="G1565" s="15">
        <v>20769</v>
      </c>
      <c r="H1565" s="16">
        <v>0</v>
      </c>
      <c r="I1565" s="13">
        <v>4</v>
      </c>
      <c r="J1565" s="15">
        <v>0</v>
      </c>
      <c r="K1565" s="15">
        <v>872298</v>
      </c>
      <c r="L1565" s="15">
        <v>649264.78091860132</v>
      </c>
      <c r="M1565" s="15">
        <v>223033.21908139871</v>
      </c>
    </row>
    <row r="1566" spans="1:13" x14ac:dyDescent="0.25">
      <c r="A1566" s="12">
        <v>46491</v>
      </c>
      <c r="B1566" s="12" t="s">
        <v>13</v>
      </c>
      <c r="C1566" s="12" t="s">
        <v>20</v>
      </c>
      <c r="D1566" s="12" t="s">
        <v>25</v>
      </c>
      <c r="E1566" s="13">
        <v>94523</v>
      </c>
      <c r="F1566" s="14">
        <v>12</v>
      </c>
      <c r="G1566" s="15">
        <v>32041</v>
      </c>
      <c r="H1566" s="16">
        <v>0.1</v>
      </c>
      <c r="I1566" s="13">
        <v>5</v>
      </c>
      <c r="J1566" s="15">
        <v>38449.199999999997</v>
      </c>
      <c r="K1566" s="15">
        <v>346042.8</v>
      </c>
      <c r="L1566" s="15">
        <v>277598.25188943249</v>
      </c>
      <c r="M1566" s="15">
        <v>68444.548110567441</v>
      </c>
    </row>
    <row r="1567" spans="1:13" x14ac:dyDescent="0.25">
      <c r="A1567" s="12">
        <v>46492</v>
      </c>
      <c r="B1567" s="12" t="s">
        <v>13</v>
      </c>
      <c r="C1567" s="12" t="s">
        <v>20</v>
      </c>
      <c r="D1567" s="12" t="s">
        <v>27</v>
      </c>
      <c r="E1567" s="13">
        <v>48729</v>
      </c>
      <c r="F1567" s="14">
        <v>48</v>
      </c>
      <c r="G1567" s="15">
        <v>8509</v>
      </c>
      <c r="H1567" s="16">
        <v>0.15</v>
      </c>
      <c r="I1567" s="13">
        <v>3</v>
      </c>
      <c r="J1567" s="15">
        <v>61264.800000000003</v>
      </c>
      <c r="K1567" s="15">
        <v>347167.2</v>
      </c>
      <c r="L1567" s="15">
        <v>253603.9918580724</v>
      </c>
      <c r="M1567" s="15">
        <v>93563.208141927607</v>
      </c>
    </row>
    <row r="1568" spans="1:13" x14ac:dyDescent="0.25">
      <c r="A1568" s="12">
        <v>46493</v>
      </c>
      <c r="B1568" s="12" t="s">
        <v>19</v>
      </c>
      <c r="C1568" s="12" t="s">
        <v>14</v>
      </c>
      <c r="D1568" s="12" t="s">
        <v>18</v>
      </c>
      <c r="E1568" s="13">
        <v>25734</v>
      </c>
      <c r="F1568" s="14">
        <v>46</v>
      </c>
      <c r="G1568" s="15">
        <v>17507</v>
      </c>
      <c r="H1568" s="16">
        <v>0.15</v>
      </c>
      <c r="I1568" s="13">
        <v>2</v>
      </c>
      <c r="J1568" s="15">
        <v>120798.3</v>
      </c>
      <c r="K1568" s="15">
        <v>684523.7</v>
      </c>
      <c r="L1568" s="15">
        <v>525452.04439987999</v>
      </c>
      <c r="M1568" s="15">
        <v>159071.65560011999</v>
      </c>
    </row>
    <row r="1569" spans="1:13" x14ac:dyDescent="0.25">
      <c r="A1569" s="12">
        <v>46494</v>
      </c>
      <c r="B1569" s="12" t="s">
        <v>16</v>
      </c>
      <c r="C1569" s="12" t="s">
        <v>20</v>
      </c>
      <c r="D1569" s="12" t="s">
        <v>15</v>
      </c>
      <c r="E1569" s="13">
        <v>52429</v>
      </c>
      <c r="F1569" s="14">
        <v>27</v>
      </c>
      <c r="G1569" s="15">
        <v>26962</v>
      </c>
      <c r="H1569" s="16">
        <v>0.15</v>
      </c>
      <c r="I1569" s="13">
        <v>5</v>
      </c>
      <c r="J1569" s="15">
        <v>109196.1</v>
      </c>
      <c r="K1569" s="15">
        <v>618777.9</v>
      </c>
      <c r="L1569" s="15">
        <v>382042.07715690072</v>
      </c>
      <c r="M1569" s="15">
        <v>236735.82284309939</v>
      </c>
    </row>
    <row r="1570" spans="1:13" x14ac:dyDescent="0.25">
      <c r="A1570" s="12">
        <v>46495</v>
      </c>
      <c r="B1570" s="12" t="s">
        <v>13</v>
      </c>
      <c r="C1570" s="12" t="s">
        <v>17</v>
      </c>
      <c r="D1570" s="12" t="s">
        <v>27</v>
      </c>
      <c r="E1570" s="13">
        <v>51337</v>
      </c>
      <c r="F1570" s="14">
        <v>48</v>
      </c>
      <c r="G1570" s="15">
        <v>12042</v>
      </c>
      <c r="H1570" s="16">
        <v>0.2</v>
      </c>
      <c r="I1570" s="13">
        <v>3</v>
      </c>
      <c r="J1570" s="15">
        <v>115603.2</v>
      </c>
      <c r="K1570" s="15">
        <v>462412.79999999999</v>
      </c>
      <c r="L1570" s="15">
        <v>374036.02294543508</v>
      </c>
      <c r="M1570" s="15">
        <v>88376.777054564853</v>
      </c>
    </row>
    <row r="1571" spans="1:13" x14ac:dyDescent="0.25">
      <c r="A1571" s="12">
        <v>46496</v>
      </c>
      <c r="B1571" s="12" t="s">
        <v>24</v>
      </c>
      <c r="C1571" s="12" t="s">
        <v>14</v>
      </c>
      <c r="D1571" s="12" t="s">
        <v>27</v>
      </c>
      <c r="E1571" s="13">
        <v>50325</v>
      </c>
      <c r="F1571" s="14">
        <v>8</v>
      </c>
      <c r="G1571" s="15">
        <v>17934</v>
      </c>
      <c r="H1571" s="16">
        <v>0.1</v>
      </c>
      <c r="I1571" s="13">
        <v>4</v>
      </c>
      <c r="J1571" s="15">
        <v>14347.2</v>
      </c>
      <c r="K1571" s="15">
        <v>129124.8</v>
      </c>
      <c r="L1571" s="15">
        <v>79521.171496225579</v>
      </c>
      <c r="M1571" s="15">
        <v>49603.628503774416</v>
      </c>
    </row>
    <row r="1572" spans="1:13" x14ac:dyDescent="0.25">
      <c r="A1572" s="12">
        <v>46497</v>
      </c>
      <c r="B1572" s="12" t="s">
        <v>24</v>
      </c>
      <c r="C1572" s="12" t="s">
        <v>21</v>
      </c>
      <c r="D1572" s="12" t="s">
        <v>25</v>
      </c>
      <c r="E1572" s="13">
        <v>93600</v>
      </c>
      <c r="F1572" s="14">
        <v>23</v>
      </c>
      <c r="G1572" s="15">
        <v>30265</v>
      </c>
      <c r="H1572" s="16">
        <v>0.05</v>
      </c>
      <c r="I1572" s="13">
        <v>4</v>
      </c>
      <c r="J1572" s="15">
        <v>34804.75</v>
      </c>
      <c r="K1572" s="15">
        <v>661290.25</v>
      </c>
      <c r="L1572" s="15">
        <v>558873.24264591956</v>
      </c>
      <c r="M1572" s="15">
        <v>102417.0073540804</v>
      </c>
    </row>
    <row r="1573" spans="1:13" x14ac:dyDescent="0.25">
      <c r="A1573" s="12">
        <v>46498</v>
      </c>
      <c r="B1573" s="12" t="s">
        <v>16</v>
      </c>
      <c r="C1573" s="12" t="s">
        <v>20</v>
      </c>
      <c r="D1573" s="12" t="s">
        <v>27</v>
      </c>
      <c r="E1573" s="13">
        <v>72514</v>
      </c>
      <c r="F1573" s="14">
        <v>42</v>
      </c>
      <c r="G1573" s="15">
        <v>24269</v>
      </c>
      <c r="H1573" s="16">
        <v>0.15</v>
      </c>
      <c r="I1573" s="13">
        <v>3</v>
      </c>
      <c r="J1573" s="15">
        <v>152894.70000000001</v>
      </c>
      <c r="K1573" s="15">
        <v>866403.3</v>
      </c>
      <c r="L1573" s="15">
        <v>734263.00260284834</v>
      </c>
      <c r="M1573" s="15">
        <v>132140.29739715171</v>
      </c>
    </row>
    <row r="1574" spans="1:13" x14ac:dyDescent="0.25">
      <c r="A1574" s="12">
        <v>46499</v>
      </c>
      <c r="B1574" s="12" t="s">
        <v>24</v>
      </c>
      <c r="C1574" s="12" t="s">
        <v>20</v>
      </c>
      <c r="D1574" s="12" t="s">
        <v>22</v>
      </c>
      <c r="E1574" s="13">
        <v>18433</v>
      </c>
      <c r="F1574" s="14">
        <v>49</v>
      </c>
      <c r="G1574" s="15">
        <v>22965</v>
      </c>
      <c r="H1574" s="16">
        <v>0.1</v>
      </c>
      <c r="I1574" s="13">
        <v>4</v>
      </c>
      <c r="J1574" s="15">
        <v>112528.5</v>
      </c>
      <c r="K1574" s="15">
        <v>1012756.5</v>
      </c>
      <c r="L1574" s="15">
        <v>679684.36919247766</v>
      </c>
      <c r="M1574" s="15">
        <v>333072.13080752228</v>
      </c>
    </row>
    <row r="1575" spans="1:13" x14ac:dyDescent="0.25">
      <c r="A1575" s="12">
        <v>46500</v>
      </c>
      <c r="B1575" s="12" t="s">
        <v>24</v>
      </c>
      <c r="C1575" s="12" t="s">
        <v>21</v>
      </c>
      <c r="D1575" s="12" t="s">
        <v>22</v>
      </c>
      <c r="E1575" s="13">
        <v>19111</v>
      </c>
      <c r="F1575" s="14">
        <v>29</v>
      </c>
      <c r="G1575" s="15">
        <v>22368</v>
      </c>
      <c r="H1575" s="16">
        <v>0.1</v>
      </c>
      <c r="I1575" s="13">
        <v>3</v>
      </c>
      <c r="J1575" s="15">
        <v>64867.199999999997</v>
      </c>
      <c r="K1575" s="15">
        <v>583804.80000000005</v>
      </c>
      <c r="L1575" s="15">
        <v>406969.64554501482</v>
      </c>
      <c r="M1575" s="15">
        <v>176835.15445498531</v>
      </c>
    </row>
    <row r="1576" spans="1:13" x14ac:dyDescent="0.25">
      <c r="A1576" s="12">
        <v>46501</v>
      </c>
      <c r="B1576" s="12" t="s">
        <v>16</v>
      </c>
      <c r="C1576" s="12" t="s">
        <v>20</v>
      </c>
      <c r="D1576" s="12" t="s">
        <v>26</v>
      </c>
      <c r="E1576" s="13">
        <v>73753</v>
      </c>
      <c r="F1576" s="14">
        <v>20</v>
      </c>
      <c r="G1576" s="15">
        <v>20656</v>
      </c>
      <c r="H1576" s="16">
        <v>0</v>
      </c>
      <c r="I1576" s="13">
        <v>3</v>
      </c>
      <c r="J1576" s="15">
        <v>0</v>
      </c>
      <c r="K1576" s="15">
        <v>413120</v>
      </c>
      <c r="L1576" s="15">
        <v>307523.68307700061</v>
      </c>
      <c r="M1576" s="15">
        <v>105596.31692299939</v>
      </c>
    </row>
    <row r="1577" spans="1:13" x14ac:dyDescent="0.25">
      <c r="A1577" s="12">
        <v>46502</v>
      </c>
      <c r="B1577" s="12" t="s">
        <v>13</v>
      </c>
      <c r="C1577" s="12" t="s">
        <v>21</v>
      </c>
      <c r="D1577" s="12" t="s">
        <v>25</v>
      </c>
      <c r="E1577" s="13">
        <v>90583</v>
      </c>
      <c r="F1577" s="14">
        <v>16</v>
      </c>
      <c r="G1577" s="15">
        <v>20800</v>
      </c>
      <c r="H1577" s="16">
        <v>0.15</v>
      </c>
      <c r="I1577" s="13">
        <v>4</v>
      </c>
      <c r="J1577" s="15">
        <v>49920</v>
      </c>
      <c r="K1577" s="15">
        <v>282880</v>
      </c>
      <c r="L1577" s="15">
        <v>220363.20093391809</v>
      </c>
      <c r="M1577" s="15">
        <v>62516.799066081883</v>
      </c>
    </row>
    <row r="1578" spans="1:13" x14ac:dyDescent="0.25">
      <c r="A1578" s="12">
        <v>46503</v>
      </c>
      <c r="B1578" s="12" t="s">
        <v>13</v>
      </c>
      <c r="C1578" s="12" t="s">
        <v>14</v>
      </c>
      <c r="D1578" s="12" t="s">
        <v>18</v>
      </c>
      <c r="E1578" s="13">
        <v>83620</v>
      </c>
      <c r="F1578" s="14">
        <v>17</v>
      </c>
      <c r="G1578" s="15">
        <v>13935</v>
      </c>
      <c r="H1578" s="16">
        <v>0.2</v>
      </c>
      <c r="I1578" s="13">
        <v>1</v>
      </c>
      <c r="J1578" s="15">
        <v>47379</v>
      </c>
      <c r="K1578" s="15">
        <v>189516</v>
      </c>
      <c r="L1578" s="15">
        <v>130047.0349676089</v>
      </c>
      <c r="M1578" s="15">
        <v>59468.965032391119</v>
      </c>
    </row>
    <row r="1579" spans="1:13" x14ac:dyDescent="0.25">
      <c r="A1579" s="12">
        <v>46504</v>
      </c>
      <c r="B1579" s="12" t="s">
        <v>24</v>
      </c>
      <c r="C1579" s="12" t="s">
        <v>17</v>
      </c>
      <c r="D1579" s="12" t="s">
        <v>26</v>
      </c>
      <c r="E1579" s="13">
        <v>31751</v>
      </c>
      <c r="F1579" s="14">
        <v>16</v>
      </c>
      <c r="G1579" s="15">
        <v>4614</v>
      </c>
      <c r="H1579" s="16">
        <v>0.1</v>
      </c>
      <c r="I1579" s="13">
        <v>2</v>
      </c>
      <c r="J1579" s="15">
        <v>7382.4000000000005</v>
      </c>
      <c r="K1579" s="15">
        <v>66441.600000000006</v>
      </c>
      <c r="L1579" s="15">
        <v>51674.683410597761</v>
      </c>
      <c r="M1579" s="15">
        <v>14766.916589402241</v>
      </c>
    </row>
    <row r="1580" spans="1:13" x14ac:dyDescent="0.25">
      <c r="A1580" s="12">
        <v>46505</v>
      </c>
      <c r="B1580" s="12" t="s">
        <v>24</v>
      </c>
      <c r="C1580" s="12" t="s">
        <v>21</v>
      </c>
      <c r="D1580" s="12" t="s">
        <v>22</v>
      </c>
      <c r="E1580" s="13">
        <v>26453</v>
      </c>
      <c r="F1580" s="14">
        <v>19</v>
      </c>
      <c r="G1580" s="15">
        <v>46836</v>
      </c>
      <c r="H1580" s="16">
        <v>0.1</v>
      </c>
      <c r="I1580" s="13">
        <v>5</v>
      </c>
      <c r="J1580" s="15">
        <v>88988.400000000009</v>
      </c>
      <c r="K1580" s="15">
        <v>800895.6</v>
      </c>
      <c r="L1580" s="15">
        <v>552086.26700586698</v>
      </c>
      <c r="M1580" s="15">
        <v>248809.332994133</v>
      </c>
    </row>
    <row r="1581" spans="1:13" x14ac:dyDescent="0.25">
      <c r="A1581" s="12">
        <v>46506</v>
      </c>
      <c r="B1581" s="12" t="s">
        <v>13</v>
      </c>
      <c r="C1581" s="12" t="s">
        <v>23</v>
      </c>
      <c r="D1581" s="12" t="s">
        <v>26</v>
      </c>
      <c r="E1581" s="13">
        <v>95844</v>
      </c>
      <c r="F1581" s="14">
        <v>8</v>
      </c>
      <c r="G1581" s="15">
        <v>36635</v>
      </c>
      <c r="H1581" s="16">
        <v>0.05</v>
      </c>
      <c r="I1581" s="13">
        <v>2</v>
      </c>
      <c r="J1581" s="15">
        <v>14654</v>
      </c>
      <c r="K1581" s="15">
        <v>278426</v>
      </c>
      <c r="L1581" s="15">
        <v>171690.6178514793</v>
      </c>
      <c r="M1581" s="15">
        <v>106735.3821485207</v>
      </c>
    </row>
    <row r="1582" spans="1:13" x14ac:dyDescent="0.25">
      <c r="A1582" s="12">
        <v>46507</v>
      </c>
      <c r="B1582" s="12" t="s">
        <v>16</v>
      </c>
      <c r="C1582" s="12" t="s">
        <v>21</v>
      </c>
      <c r="D1582" s="12" t="s">
        <v>25</v>
      </c>
      <c r="E1582" s="13">
        <v>48968</v>
      </c>
      <c r="F1582" s="14">
        <v>38</v>
      </c>
      <c r="G1582" s="15">
        <v>8595</v>
      </c>
      <c r="H1582" s="16">
        <v>0</v>
      </c>
      <c r="I1582" s="13">
        <v>5</v>
      </c>
      <c r="J1582" s="15">
        <v>0</v>
      </c>
      <c r="K1582" s="15">
        <v>326610</v>
      </c>
      <c r="L1582" s="15">
        <v>196213.65691517989</v>
      </c>
      <c r="M1582" s="15">
        <v>130396.3430848201</v>
      </c>
    </row>
    <row r="1583" spans="1:13" x14ac:dyDescent="0.25">
      <c r="A1583" s="12">
        <v>46508</v>
      </c>
      <c r="B1583" s="12" t="s">
        <v>24</v>
      </c>
      <c r="C1583" s="12" t="s">
        <v>20</v>
      </c>
      <c r="D1583" s="12" t="s">
        <v>25</v>
      </c>
      <c r="E1583" s="13">
        <v>40077</v>
      </c>
      <c r="F1583" s="14">
        <v>38</v>
      </c>
      <c r="G1583" s="15">
        <v>38409</v>
      </c>
      <c r="H1583" s="16">
        <v>0.1</v>
      </c>
      <c r="I1583" s="13">
        <v>5</v>
      </c>
      <c r="J1583" s="15">
        <v>145954.20000000001</v>
      </c>
      <c r="K1583" s="15">
        <v>1313587.8</v>
      </c>
      <c r="L1583" s="15">
        <v>828013.91869162233</v>
      </c>
      <c r="M1583" s="15">
        <v>485573.88130837772</v>
      </c>
    </row>
    <row r="1584" spans="1:13" x14ac:dyDescent="0.25">
      <c r="A1584" s="12">
        <v>46509</v>
      </c>
      <c r="B1584" s="12" t="s">
        <v>19</v>
      </c>
      <c r="C1584" s="12" t="s">
        <v>14</v>
      </c>
      <c r="D1584" s="12" t="s">
        <v>27</v>
      </c>
      <c r="E1584" s="13">
        <v>44775</v>
      </c>
      <c r="F1584" s="14">
        <v>29</v>
      </c>
      <c r="G1584" s="15">
        <v>4451</v>
      </c>
      <c r="H1584" s="16">
        <v>0.1</v>
      </c>
      <c r="I1584" s="13">
        <v>2</v>
      </c>
      <c r="J1584" s="15">
        <v>12907.9</v>
      </c>
      <c r="K1584" s="15">
        <v>116171.1</v>
      </c>
      <c r="L1584" s="15">
        <v>97313.650594147271</v>
      </c>
      <c r="M1584" s="15">
        <v>18857.449405852731</v>
      </c>
    </row>
    <row r="1585" spans="1:13" x14ac:dyDescent="0.25">
      <c r="A1585" s="12">
        <v>46510</v>
      </c>
      <c r="B1585" s="12" t="s">
        <v>16</v>
      </c>
      <c r="C1585" s="12" t="s">
        <v>14</v>
      </c>
      <c r="D1585" s="12" t="s">
        <v>15</v>
      </c>
      <c r="E1585" s="13">
        <v>68144</v>
      </c>
      <c r="F1585" s="14">
        <v>41</v>
      </c>
      <c r="G1585" s="15">
        <v>21968</v>
      </c>
      <c r="H1585" s="16">
        <v>0.2</v>
      </c>
      <c r="I1585" s="13">
        <v>3</v>
      </c>
      <c r="J1585" s="15">
        <v>180137.60000000001</v>
      </c>
      <c r="K1585" s="15">
        <v>720550.40000000002</v>
      </c>
      <c r="L1585" s="15">
        <v>640158.15501310164</v>
      </c>
      <c r="M1585" s="15">
        <v>80392.244986898382</v>
      </c>
    </row>
    <row r="1586" spans="1:13" x14ac:dyDescent="0.25">
      <c r="A1586" s="12">
        <v>46511</v>
      </c>
      <c r="B1586" s="12" t="s">
        <v>24</v>
      </c>
      <c r="C1586" s="12" t="s">
        <v>21</v>
      </c>
      <c r="D1586" s="12" t="s">
        <v>27</v>
      </c>
      <c r="E1586" s="13">
        <v>58570</v>
      </c>
      <c r="F1586" s="14">
        <v>36</v>
      </c>
      <c r="G1586" s="15">
        <v>27573</v>
      </c>
      <c r="H1586" s="16">
        <v>0.2</v>
      </c>
      <c r="I1586" s="13">
        <v>4</v>
      </c>
      <c r="J1586" s="15">
        <v>198525.6</v>
      </c>
      <c r="K1586" s="15">
        <v>794102.4</v>
      </c>
      <c r="L1586" s="15">
        <v>578177.90507042839</v>
      </c>
      <c r="M1586" s="15">
        <v>215924.49492957161</v>
      </c>
    </row>
    <row r="1587" spans="1:13" x14ac:dyDescent="0.25">
      <c r="A1587" s="12">
        <v>46512</v>
      </c>
      <c r="B1587" s="12" t="s">
        <v>24</v>
      </c>
      <c r="C1587" s="12" t="s">
        <v>17</v>
      </c>
      <c r="D1587" s="12" t="s">
        <v>25</v>
      </c>
      <c r="E1587" s="13">
        <v>56097</v>
      </c>
      <c r="F1587" s="14">
        <v>26</v>
      </c>
      <c r="G1587" s="15">
        <v>48155</v>
      </c>
      <c r="H1587" s="16">
        <v>0.05</v>
      </c>
      <c r="I1587" s="13">
        <v>1</v>
      </c>
      <c r="J1587" s="15">
        <v>62601.5</v>
      </c>
      <c r="K1587" s="15">
        <v>1189428.5</v>
      </c>
      <c r="L1587" s="15">
        <v>896597.37171781051</v>
      </c>
      <c r="M1587" s="15">
        <v>292831.12828218949</v>
      </c>
    </row>
    <row r="1588" spans="1:13" x14ac:dyDescent="0.25">
      <c r="A1588" s="12">
        <v>46513</v>
      </c>
      <c r="B1588" s="12" t="s">
        <v>19</v>
      </c>
      <c r="C1588" s="12" t="s">
        <v>23</v>
      </c>
      <c r="D1588" s="12" t="s">
        <v>22</v>
      </c>
      <c r="E1588" s="13">
        <v>34503</v>
      </c>
      <c r="F1588" s="14">
        <v>31</v>
      </c>
      <c r="G1588" s="15">
        <v>34841</v>
      </c>
      <c r="H1588" s="16">
        <v>0.05</v>
      </c>
      <c r="I1588" s="13">
        <v>1</v>
      </c>
      <c r="J1588" s="15">
        <v>54003.55</v>
      </c>
      <c r="K1588" s="15">
        <v>1026067.45</v>
      </c>
      <c r="L1588" s="15">
        <v>660843.30791350175</v>
      </c>
      <c r="M1588" s="15">
        <v>365224.14208649821</v>
      </c>
    </row>
    <row r="1589" spans="1:13" x14ac:dyDescent="0.25">
      <c r="A1589" s="12">
        <v>46514</v>
      </c>
      <c r="B1589" s="12" t="s">
        <v>19</v>
      </c>
      <c r="C1589" s="12" t="s">
        <v>14</v>
      </c>
      <c r="D1589" s="12" t="s">
        <v>18</v>
      </c>
      <c r="E1589" s="13">
        <v>12779</v>
      </c>
      <c r="F1589" s="14">
        <v>44</v>
      </c>
      <c r="G1589" s="15">
        <v>46627</v>
      </c>
      <c r="H1589" s="16">
        <v>0.05</v>
      </c>
      <c r="I1589" s="13">
        <v>1</v>
      </c>
      <c r="J1589" s="15">
        <v>102579.4</v>
      </c>
      <c r="K1589" s="15">
        <v>1949008.6</v>
      </c>
      <c r="L1589" s="15">
        <v>1491594.6135729779</v>
      </c>
      <c r="M1589" s="15">
        <v>457413.98642702238</v>
      </c>
    </row>
    <row r="1590" spans="1:13" x14ac:dyDescent="0.25">
      <c r="A1590" s="12">
        <v>46515</v>
      </c>
      <c r="B1590" s="12" t="s">
        <v>13</v>
      </c>
      <c r="C1590" s="12" t="s">
        <v>20</v>
      </c>
      <c r="D1590" s="12" t="s">
        <v>22</v>
      </c>
      <c r="E1590" s="13">
        <v>96840</v>
      </c>
      <c r="F1590" s="14">
        <v>12</v>
      </c>
      <c r="G1590" s="15">
        <v>3268</v>
      </c>
      <c r="H1590" s="16">
        <v>0.2</v>
      </c>
      <c r="I1590" s="13">
        <v>2</v>
      </c>
      <c r="J1590" s="15">
        <v>7843.2000000000007</v>
      </c>
      <c r="K1590" s="15">
        <v>31372.799999999999</v>
      </c>
      <c r="L1590" s="15">
        <v>20185.14879290534</v>
      </c>
      <c r="M1590" s="15">
        <v>11187.651207094659</v>
      </c>
    </row>
    <row r="1591" spans="1:13" x14ac:dyDescent="0.25">
      <c r="A1591" s="12">
        <v>46516</v>
      </c>
      <c r="B1591" s="12" t="s">
        <v>16</v>
      </c>
      <c r="C1591" s="12" t="s">
        <v>20</v>
      </c>
      <c r="D1591" s="12" t="s">
        <v>27</v>
      </c>
      <c r="E1591" s="13">
        <v>10755</v>
      </c>
      <c r="F1591" s="14">
        <v>17</v>
      </c>
      <c r="G1591" s="15">
        <v>38570</v>
      </c>
      <c r="H1591" s="16">
        <v>0.2</v>
      </c>
      <c r="I1591" s="13">
        <v>2</v>
      </c>
      <c r="J1591" s="15">
        <v>131138</v>
      </c>
      <c r="K1591" s="15">
        <v>524552</v>
      </c>
      <c r="L1591" s="15">
        <v>410915.30995770259</v>
      </c>
      <c r="M1591" s="15">
        <v>113636.6900422974</v>
      </c>
    </row>
    <row r="1592" spans="1:13" x14ac:dyDescent="0.25">
      <c r="A1592" s="12">
        <v>46517</v>
      </c>
      <c r="B1592" s="12" t="s">
        <v>16</v>
      </c>
      <c r="C1592" s="12" t="s">
        <v>17</v>
      </c>
      <c r="D1592" s="12" t="s">
        <v>18</v>
      </c>
      <c r="E1592" s="13">
        <v>49263</v>
      </c>
      <c r="F1592" s="14">
        <v>15</v>
      </c>
      <c r="G1592" s="15">
        <v>47014</v>
      </c>
      <c r="H1592" s="16">
        <v>0</v>
      </c>
      <c r="I1592" s="13">
        <v>3</v>
      </c>
      <c r="J1592" s="15">
        <v>0</v>
      </c>
      <c r="K1592" s="15">
        <v>705210</v>
      </c>
      <c r="L1592" s="15">
        <v>620569.00348940818</v>
      </c>
      <c r="M1592" s="15">
        <v>84640.996510591824</v>
      </c>
    </row>
    <row r="1593" spans="1:13" x14ac:dyDescent="0.25">
      <c r="A1593" s="12">
        <v>46518</v>
      </c>
      <c r="B1593" s="12" t="s">
        <v>13</v>
      </c>
      <c r="C1593" s="12" t="s">
        <v>14</v>
      </c>
      <c r="D1593" s="12" t="s">
        <v>25</v>
      </c>
      <c r="E1593" s="13">
        <v>65087</v>
      </c>
      <c r="F1593" s="14">
        <v>9</v>
      </c>
      <c r="G1593" s="15">
        <v>34479</v>
      </c>
      <c r="H1593" s="16">
        <v>0.15</v>
      </c>
      <c r="I1593" s="13">
        <v>1</v>
      </c>
      <c r="J1593" s="15">
        <v>46546.65</v>
      </c>
      <c r="K1593" s="15">
        <v>263764.34999999998</v>
      </c>
      <c r="L1593" s="15">
        <v>173744.09940456471</v>
      </c>
      <c r="M1593" s="15">
        <v>90020.250595435267</v>
      </c>
    </row>
    <row r="1594" spans="1:13" x14ac:dyDescent="0.25">
      <c r="A1594" s="12">
        <v>46519</v>
      </c>
      <c r="B1594" s="12" t="s">
        <v>16</v>
      </c>
      <c r="C1594" s="12" t="s">
        <v>21</v>
      </c>
      <c r="D1594" s="12" t="s">
        <v>22</v>
      </c>
      <c r="E1594" s="13">
        <v>52281</v>
      </c>
      <c r="F1594" s="14">
        <v>39</v>
      </c>
      <c r="G1594" s="15">
        <v>25851</v>
      </c>
      <c r="H1594" s="16">
        <v>0.15</v>
      </c>
      <c r="I1594" s="13">
        <v>3</v>
      </c>
      <c r="J1594" s="15">
        <v>151228.35</v>
      </c>
      <c r="K1594" s="15">
        <v>856960.65</v>
      </c>
      <c r="L1594" s="15">
        <v>710736.69623778923</v>
      </c>
      <c r="M1594" s="15">
        <v>146223.95376221079</v>
      </c>
    </row>
    <row r="1595" spans="1:13" x14ac:dyDescent="0.25">
      <c r="A1595" s="12">
        <v>46520</v>
      </c>
      <c r="B1595" s="12" t="s">
        <v>16</v>
      </c>
      <c r="C1595" s="12" t="s">
        <v>20</v>
      </c>
      <c r="D1595" s="12" t="s">
        <v>25</v>
      </c>
      <c r="E1595" s="13">
        <v>61482</v>
      </c>
      <c r="F1595" s="14">
        <v>42</v>
      </c>
      <c r="G1595" s="15">
        <v>15945</v>
      </c>
      <c r="H1595" s="16">
        <v>0</v>
      </c>
      <c r="I1595" s="13">
        <v>1</v>
      </c>
      <c r="J1595" s="15">
        <v>0</v>
      </c>
      <c r="K1595" s="15">
        <v>669690</v>
      </c>
      <c r="L1595" s="15">
        <v>406535.80126116099</v>
      </c>
      <c r="M1595" s="15">
        <v>263154.19873883901</v>
      </c>
    </row>
    <row r="1596" spans="1:13" x14ac:dyDescent="0.25">
      <c r="A1596" s="12">
        <v>46521</v>
      </c>
      <c r="B1596" s="12" t="s">
        <v>16</v>
      </c>
      <c r="C1596" s="12" t="s">
        <v>17</v>
      </c>
      <c r="D1596" s="12" t="s">
        <v>18</v>
      </c>
      <c r="E1596" s="13">
        <v>64857</v>
      </c>
      <c r="F1596" s="14">
        <v>48</v>
      </c>
      <c r="G1596" s="15">
        <v>49083</v>
      </c>
      <c r="H1596" s="16">
        <v>0.15</v>
      </c>
      <c r="I1596" s="13">
        <v>2</v>
      </c>
      <c r="J1596" s="15">
        <v>353397.6</v>
      </c>
      <c r="K1596" s="15">
        <v>2002586.4</v>
      </c>
      <c r="L1596" s="15">
        <v>1427141.5406124589</v>
      </c>
      <c r="M1596" s="15">
        <v>575444.85938754119</v>
      </c>
    </row>
    <row r="1597" spans="1:13" x14ac:dyDescent="0.25">
      <c r="A1597" s="12">
        <v>46522</v>
      </c>
      <c r="B1597" s="12" t="s">
        <v>16</v>
      </c>
      <c r="C1597" s="12" t="s">
        <v>14</v>
      </c>
      <c r="D1597" s="12" t="s">
        <v>18</v>
      </c>
      <c r="E1597" s="13">
        <v>27400</v>
      </c>
      <c r="F1597" s="14">
        <v>12</v>
      </c>
      <c r="G1597" s="15">
        <v>1660</v>
      </c>
      <c r="H1597" s="16">
        <v>0.2</v>
      </c>
      <c r="I1597" s="13">
        <v>4</v>
      </c>
      <c r="J1597" s="15">
        <v>3984</v>
      </c>
      <c r="K1597" s="15">
        <v>15936</v>
      </c>
      <c r="L1597" s="15">
        <v>10091.0664662361</v>
      </c>
      <c r="M1597" s="15">
        <v>5844.9335337639041</v>
      </c>
    </row>
    <row r="1598" spans="1:13" x14ac:dyDescent="0.25">
      <c r="A1598" s="12">
        <v>46523</v>
      </c>
      <c r="B1598" s="12" t="s">
        <v>16</v>
      </c>
      <c r="C1598" s="12" t="s">
        <v>14</v>
      </c>
      <c r="D1598" s="12" t="s">
        <v>22</v>
      </c>
      <c r="E1598" s="13">
        <v>50115</v>
      </c>
      <c r="F1598" s="14">
        <v>32</v>
      </c>
      <c r="G1598" s="15">
        <v>22861</v>
      </c>
      <c r="H1598" s="16">
        <v>0.15</v>
      </c>
      <c r="I1598" s="13">
        <v>4</v>
      </c>
      <c r="J1598" s="15">
        <v>109732.8</v>
      </c>
      <c r="K1598" s="15">
        <v>621819.19999999995</v>
      </c>
      <c r="L1598" s="15">
        <v>438844.31913380529</v>
      </c>
      <c r="M1598" s="15">
        <v>182974.88086619461</v>
      </c>
    </row>
    <row r="1599" spans="1:13" x14ac:dyDescent="0.25">
      <c r="A1599" s="12">
        <v>46524</v>
      </c>
      <c r="B1599" s="12" t="s">
        <v>19</v>
      </c>
      <c r="C1599" s="12" t="s">
        <v>14</v>
      </c>
      <c r="D1599" s="12" t="s">
        <v>25</v>
      </c>
      <c r="E1599" s="13">
        <v>24249</v>
      </c>
      <c r="F1599" s="14">
        <v>25</v>
      </c>
      <c r="G1599" s="15">
        <v>7541</v>
      </c>
      <c r="H1599" s="16">
        <v>0.2</v>
      </c>
      <c r="I1599" s="13">
        <v>4</v>
      </c>
      <c r="J1599" s="15">
        <v>37705</v>
      </c>
      <c r="K1599" s="15">
        <v>150820</v>
      </c>
      <c r="L1599" s="15">
        <v>98343.85146598093</v>
      </c>
      <c r="M1599" s="15">
        <v>52476.14853401907</v>
      </c>
    </row>
    <row r="1600" spans="1:13" x14ac:dyDescent="0.25">
      <c r="A1600" s="12">
        <v>46525</v>
      </c>
      <c r="B1600" s="12" t="s">
        <v>16</v>
      </c>
      <c r="C1600" s="12" t="s">
        <v>14</v>
      </c>
      <c r="D1600" s="12" t="s">
        <v>26</v>
      </c>
      <c r="E1600" s="13">
        <v>56825</v>
      </c>
      <c r="F1600" s="14">
        <v>39</v>
      </c>
      <c r="G1600" s="15">
        <v>19267</v>
      </c>
      <c r="H1600" s="16">
        <v>0</v>
      </c>
      <c r="I1600" s="13">
        <v>4</v>
      </c>
      <c r="J1600" s="15">
        <v>0</v>
      </c>
      <c r="K1600" s="15">
        <v>751413</v>
      </c>
      <c r="L1600" s="15">
        <v>534999.66676296282</v>
      </c>
      <c r="M1600" s="15">
        <v>216413.33323703721</v>
      </c>
    </row>
    <row r="1601" spans="1:13" x14ac:dyDescent="0.25">
      <c r="A1601" s="12">
        <v>46526</v>
      </c>
      <c r="B1601" s="12" t="s">
        <v>19</v>
      </c>
      <c r="C1601" s="12" t="s">
        <v>14</v>
      </c>
      <c r="D1601" s="12" t="s">
        <v>25</v>
      </c>
      <c r="E1601" s="13">
        <v>34600</v>
      </c>
      <c r="F1601" s="14">
        <v>18</v>
      </c>
      <c r="G1601" s="15">
        <v>11346</v>
      </c>
      <c r="H1601" s="16">
        <v>0.05</v>
      </c>
      <c r="I1601" s="13">
        <v>5</v>
      </c>
      <c r="J1601" s="15">
        <v>10211.4</v>
      </c>
      <c r="K1601" s="15">
        <v>194016.6</v>
      </c>
      <c r="L1601" s="15">
        <v>140711.86657903271</v>
      </c>
      <c r="M1601" s="15">
        <v>53304.733420967328</v>
      </c>
    </row>
    <row r="1602" spans="1:13" x14ac:dyDescent="0.25">
      <c r="A1602" s="12">
        <v>46527</v>
      </c>
      <c r="B1602" s="12" t="s">
        <v>16</v>
      </c>
      <c r="C1602" s="12" t="s">
        <v>20</v>
      </c>
      <c r="D1602" s="12" t="s">
        <v>18</v>
      </c>
      <c r="E1602" s="13">
        <v>47706</v>
      </c>
      <c r="F1602" s="14">
        <v>15</v>
      </c>
      <c r="G1602" s="15">
        <v>39144</v>
      </c>
      <c r="H1602" s="16">
        <v>0</v>
      </c>
      <c r="I1602" s="13">
        <v>1</v>
      </c>
      <c r="J1602" s="15">
        <v>0</v>
      </c>
      <c r="K1602" s="15">
        <v>587160</v>
      </c>
      <c r="L1602" s="15">
        <v>405244.52509561321</v>
      </c>
      <c r="M1602" s="15">
        <v>181915.47490438679</v>
      </c>
    </row>
    <row r="1603" spans="1:13" x14ac:dyDescent="0.25">
      <c r="A1603" s="12">
        <v>46528</v>
      </c>
      <c r="B1603" s="12" t="s">
        <v>13</v>
      </c>
      <c r="C1603" s="12" t="s">
        <v>17</v>
      </c>
      <c r="D1603" s="12" t="s">
        <v>25</v>
      </c>
      <c r="E1603" s="13">
        <v>29222</v>
      </c>
      <c r="F1603" s="14">
        <v>32</v>
      </c>
      <c r="G1603" s="15">
        <v>20424</v>
      </c>
      <c r="H1603" s="16">
        <v>0.15</v>
      </c>
      <c r="I1603" s="13">
        <v>4</v>
      </c>
      <c r="J1603" s="15">
        <v>98035.199999999997</v>
      </c>
      <c r="K1603" s="15">
        <v>555532.80000000005</v>
      </c>
      <c r="L1603" s="15">
        <v>442752.18903967983</v>
      </c>
      <c r="M1603" s="15">
        <v>112780.61096032021</v>
      </c>
    </row>
    <row r="1604" spans="1:13" x14ac:dyDescent="0.25">
      <c r="A1604" s="12">
        <v>46529</v>
      </c>
      <c r="B1604" s="12" t="s">
        <v>24</v>
      </c>
      <c r="C1604" s="12" t="s">
        <v>14</v>
      </c>
      <c r="D1604" s="12" t="s">
        <v>27</v>
      </c>
      <c r="E1604" s="13">
        <v>51139</v>
      </c>
      <c r="F1604" s="14">
        <v>6</v>
      </c>
      <c r="G1604" s="15">
        <v>46157</v>
      </c>
      <c r="H1604" s="16">
        <v>0.2</v>
      </c>
      <c r="I1604" s="13">
        <v>5</v>
      </c>
      <c r="J1604" s="15">
        <v>55388.4</v>
      </c>
      <c r="K1604" s="15">
        <v>221553.6</v>
      </c>
      <c r="L1604" s="15">
        <v>194004.65394713881</v>
      </c>
      <c r="M1604" s="15">
        <v>27548.946052861229</v>
      </c>
    </row>
    <row r="1605" spans="1:13" x14ac:dyDescent="0.25">
      <c r="A1605" s="12">
        <v>46530</v>
      </c>
      <c r="B1605" s="12" t="s">
        <v>19</v>
      </c>
      <c r="C1605" s="12" t="s">
        <v>23</v>
      </c>
      <c r="D1605" s="12" t="s">
        <v>26</v>
      </c>
      <c r="E1605" s="13">
        <v>51302</v>
      </c>
      <c r="F1605" s="14">
        <v>44</v>
      </c>
      <c r="G1605" s="15">
        <v>14382</v>
      </c>
      <c r="H1605" s="16">
        <v>0.15</v>
      </c>
      <c r="I1605" s="13">
        <v>5</v>
      </c>
      <c r="J1605" s="15">
        <v>94921.2</v>
      </c>
      <c r="K1605" s="15">
        <v>537886.80000000005</v>
      </c>
      <c r="L1605" s="15">
        <v>387374.56916168629</v>
      </c>
      <c r="M1605" s="15">
        <v>150512.2308383137</v>
      </c>
    </row>
    <row r="1606" spans="1:13" x14ac:dyDescent="0.25">
      <c r="A1606" s="12">
        <v>46531</v>
      </c>
      <c r="B1606" s="12" t="s">
        <v>16</v>
      </c>
      <c r="C1606" s="12" t="s">
        <v>23</v>
      </c>
      <c r="D1606" s="12" t="s">
        <v>15</v>
      </c>
      <c r="E1606" s="13">
        <v>97838</v>
      </c>
      <c r="F1606" s="14">
        <v>43</v>
      </c>
      <c r="G1606" s="15">
        <v>15238</v>
      </c>
      <c r="H1606" s="16">
        <v>0.15</v>
      </c>
      <c r="I1606" s="13">
        <v>5</v>
      </c>
      <c r="J1606" s="15">
        <v>98285.099999999991</v>
      </c>
      <c r="K1606" s="15">
        <v>556948.9</v>
      </c>
      <c r="L1606" s="15">
        <v>366306.93282638729</v>
      </c>
      <c r="M1606" s="15">
        <v>190641.96717361271</v>
      </c>
    </row>
    <row r="1607" spans="1:13" x14ac:dyDescent="0.25">
      <c r="A1607" s="12">
        <v>46532</v>
      </c>
      <c r="B1607" s="12" t="s">
        <v>13</v>
      </c>
      <c r="C1607" s="12" t="s">
        <v>17</v>
      </c>
      <c r="D1607" s="12" t="s">
        <v>27</v>
      </c>
      <c r="E1607" s="13">
        <v>78159</v>
      </c>
      <c r="F1607" s="14">
        <v>35</v>
      </c>
      <c r="G1607" s="15">
        <v>21519</v>
      </c>
      <c r="H1607" s="16">
        <v>0.05</v>
      </c>
      <c r="I1607" s="13">
        <v>3</v>
      </c>
      <c r="J1607" s="15">
        <v>37658.25</v>
      </c>
      <c r="K1607" s="15">
        <v>715506.75</v>
      </c>
      <c r="L1607" s="15">
        <v>487415.23826035322</v>
      </c>
      <c r="M1607" s="15">
        <v>228091.51173964681</v>
      </c>
    </row>
    <row r="1608" spans="1:13" x14ac:dyDescent="0.25">
      <c r="A1608" s="12">
        <v>46533</v>
      </c>
      <c r="B1608" s="12" t="s">
        <v>24</v>
      </c>
      <c r="C1608" s="12" t="s">
        <v>21</v>
      </c>
      <c r="D1608" s="12" t="s">
        <v>15</v>
      </c>
      <c r="E1608" s="13">
        <v>18646</v>
      </c>
      <c r="F1608" s="14">
        <v>34</v>
      </c>
      <c r="G1608" s="15">
        <v>1595</v>
      </c>
      <c r="H1608" s="16">
        <v>0.15</v>
      </c>
      <c r="I1608" s="13">
        <v>3</v>
      </c>
      <c r="J1608" s="15">
        <v>8134.5</v>
      </c>
      <c r="K1608" s="15">
        <v>46095.5</v>
      </c>
      <c r="L1608" s="15">
        <v>39466.978487843073</v>
      </c>
      <c r="M1608" s="15">
        <v>6628.5215121569336</v>
      </c>
    </row>
    <row r="1609" spans="1:13" x14ac:dyDescent="0.25">
      <c r="A1609" s="12">
        <v>46534</v>
      </c>
      <c r="B1609" s="12" t="s">
        <v>19</v>
      </c>
      <c r="C1609" s="12" t="s">
        <v>21</v>
      </c>
      <c r="D1609" s="12" t="s">
        <v>22</v>
      </c>
      <c r="E1609" s="13">
        <v>23543</v>
      </c>
      <c r="F1609" s="14">
        <v>38</v>
      </c>
      <c r="G1609" s="15">
        <v>39169</v>
      </c>
      <c r="H1609" s="16">
        <v>0.05</v>
      </c>
      <c r="I1609" s="13">
        <v>5</v>
      </c>
      <c r="J1609" s="15">
        <v>74421.100000000006</v>
      </c>
      <c r="K1609" s="15">
        <v>1414000.9</v>
      </c>
      <c r="L1609" s="15">
        <v>1090890.264953922</v>
      </c>
      <c r="M1609" s="15">
        <v>323110.63504607789</v>
      </c>
    </row>
    <row r="1610" spans="1:13" x14ac:dyDescent="0.25">
      <c r="A1610" s="12">
        <v>46535</v>
      </c>
      <c r="B1610" s="12" t="s">
        <v>24</v>
      </c>
      <c r="C1610" s="12" t="s">
        <v>21</v>
      </c>
      <c r="D1610" s="12" t="s">
        <v>15</v>
      </c>
      <c r="E1610" s="13">
        <v>32785</v>
      </c>
      <c r="F1610" s="14">
        <v>5</v>
      </c>
      <c r="G1610" s="15">
        <v>41483</v>
      </c>
      <c r="H1610" s="16">
        <v>0.2</v>
      </c>
      <c r="I1610" s="13">
        <v>4</v>
      </c>
      <c r="J1610" s="15">
        <v>41483</v>
      </c>
      <c r="K1610" s="15">
        <v>165932</v>
      </c>
      <c r="L1610" s="15">
        <v>122209.46718382739</v>
      </c>
      <c r="M1610" s="15">
        <v>43722.532816172577</v>
      </c>
    </row>
    <row r="1611" spans="1:13" x14ac:dyDescent="0.25">
      <c r="A1611" s="12">
        <v>46536</v>
      </c>
      <c r="B1611" s="12" t="s">
        <v>13</v>
      </c>
      <c r="C1611" s="12" t="s">
        <v>23</v>
      </c>
      <c r="D1611" s="12" t="s">
        <v>25</v>
      </c>
      <c r="E1611" s="13">
        <v>88353</v>
      </c>
      <c r="F1611" s="14">
        <v>18</v>
      </c>
      <c r="G1611" s="15">
        <v>46179</v>
      </c>
      <c r="H1611" s="16">
        <v>0.2</v>
      </c>
      <c r="I1611" s="13">
        <v>1</v>
      </c>
      <c r="J1611" s="15">
        <v>166244.4</v>
      </c>
      <c r="K1611" s="15">
        <v>664977.6</v>
      </c>
      <c r="L1611" s="15">
        <v>428838.0803822623</v>
      </c>
      <c r="M1611" s="15">
        <v>236139.51961773771</v>
      </c>
    </row>
    <row r="1612" spans="1:13" x14ac:dyDescent="0.25">
      <c r="A1612" s="12">
        <v>46537</v>
      </c>
      <c r="B1612" s="12" t="s">
        <v>19</v>
      </c>
      <c r="C1612" s="12" t="s">
        <v>21</v>
      </c>
      <c r="D1612" s="12" t="s">
        <v>15</v>
      </c>
      <c r="E1612" s="13">
        <v>41406</v>
      </c>
      <c r="F1612" s="14">
        <v>16</v>
      </c>
      <c r="G1612" s="15">
        <v>14623</v>
      </c>
      <c r="H1612" s="16">
        <v>0.05</v>
      </c>
      <c r="I1612" s="13">
        <v>2</v>
      </c>
      <c r="J1612" s="15">
        <v>11698.4</v>
      </c>
      <c r="K1612" s="15">
        <v>222269.6</v>
      </c>
      <c r="L1612" s="15">
        <v>163349.97267906109</v>
      </c>
      <c r="M1612" s="15">
        <v>58919.627320938889</v>
      </c>
    </row>
    <row r="1613" spans="1:13" x14ac:dyDescent="0.25">
      <c r="A1613" s="12">
        <v>46538</v>
      </c>
      <c r="B1613" s="12" t="s">
        <v>24</v>
      </c>
      <c r="C1613" s="12" t="s">
        <v>20</v>
      </c>
      <c r="D1613" s="12" t="s">
        <v>18</v>
      </c>
      <c r="E1613" s="13">
        <v>98992</v>
      </c>
      <c r="F1613" s="14">
        <v>8</v>
      </c>
      <c r="G1613" s="15">
        <v>28632</v>
      </c>
      <c r="H1613" s="16">
        <v>0</v>
      </c>
      <c r="I1613" s="13">
        <v>3</v>
      </c>
      <c r="J1613" s="15">
        <v>0</v>
      </c>
      <c r="K1613" s="15">
        <v>229056</v>
      </c>
      <c r="L1613" s="15">
        <v>156570.6792963089</v>
      </c>
      <c r="M1613" s="15">
        <v>72485.320703691134</v>
      </c>
    </row>
    <row r="1614" spans="1:13" x14ac:dyDescent="0.25">
      <c r="A1614" s="12">
        <v>46539</v>
      </c>
      <c r="B1614" s="12" t="s">
        <v>16</v>
      </c>
      <c r="C1614" s="12" t="s">
        <v>14</v>
      </c>
      <c r="D1614" s="12" t="s">
        <v>27</v>
      </c>
      <c r="E1614" s="13">
        <v>61428</v>
      </c>
      <c r="F1614" s="14">
        <v>25</v>
      </c>
      <c r="G1614" s="15">
        <v>1579</v>
      </c>
      <c r="H1614" s="16">
        <v>0.2</v>
      </c>
      <c r="I1614" s="13">
        <v>4</v>
      </c>
      <c r="J1614" s="15">
        <v>7895</v>
      </c>
      <c r="K1614" s="15">
        <v>31580</v>
      </c>
      <c r="L1614" s="15">
        <v>27883.527473282629</v>
      </c>
      <c r="M1614" s="15">
        <v>3696.4725267173708</v>
      </c>
    </row>
    <row r="1615" spans="1:13" x14ac:dyDescent="0.25">
      <c r="A1615" s="12">
        <v>46540</v>
      </c>
      <c r="B1615" s="12" t="s">
        <v>19</v>
      </c>
      <c r="C1615" s="12" t="s">
        <v>23</v>
      </c>
      <c r="D1615" s="12" t="s">
        <v>27</v>
      </c>
      <c r="E1615" s="13">
        <v>33777</v>
      </c>
      <c r="F1615" s="14">
        <v>32</v>
      </c>
      <c r="G1615" s="15">
        <v>30157</v>
      </c>
      <c r="H1615" s="16">
        <v>0</v>
      </c>
      <c r="I1615" s="13">
        <v>4</v>
      </c>
      <c r="J1615" s="15">
        <v>0</v>
      </c>
      <c r="K1615" s="15">
        <v>965024</v>
      </c>
      <c r="L1615" s="15">
        <v>834959.06198064203</v>
      </c>
      <c r="M1615" s="15">
        <v>130064.938019358</v>
      </c>
    </row>
    <row r="1616" spans="1:13" x14ac:dyDescent="0.25">
      <c r="A1616" s="12">
        <v>46541</v>
      </c>
      <c r="B1616" s="12" t="s">
        <v>24</v>
      </c>
      <c r="C1616" s="12" t="s">
        <v>17</v>
      </c>
      <c r="D1616" s="12" t="s">
        <v>15</v>
      </c>
      <c r="E1616" s="13">
        <v>67939</v>
      </c>
      <c r="F1616" s="14">
        <v>26</v>
      </c>
      <c r="G1616" s="15">
        <v>45778</v>
      </c>
      <c r="H1616" s="16">
        <v>0.2</v>
      </c>
      <c r="I1616" s="13">
        <v>2</v>
      </c>
      <c r="J1616" s="15">
        <v>238045.6</v>
      </c>
      <c r="K1616" s="15">
        <v>952182.4</v>
      </c>
      <c r="L1616" s="15">
        <v>595276.5970932222</v>
      </c>
      <c r="M1616" s="15">
        <v>356905.80290677783</v>
      </c>
    </row>
    <row r="1617" spans="1:13" x14ac:dyDescent="0.25">
      <c r="A1617" s="12">
        <v>46542</v>
      </c>
      <c r="B1617" s="12" t="s">
        <v>13</v>
      </c>
      <c r="C1617" s="12" t="s">
        <v>17</v>
      </c>
      <c r="D1617" s="12" t="s">
        <v>27</v>
      </c>
      <c r="E1617" s="13">
        <v>63026</v>
      </c>
      <c r="F1617" s="14">
        <v>22</v>
      </c>
      <c r="G1617" s="15">
        <v>32875</v>
      </c>
      <c r="H1617" s="16">
        <v>0.2</v>
      </c>
      <c r="I1617" s="13">
        <v>2</v>
      </c>
      <c r="J1617" s="15">
        <v>144650</v>
      </c>
      <c r="K1617" s="15">
        <v>578600</v>
      </c>
      <c r="L1617" s="15">
        <v>436840.71266596648</v>
      </c>
      <c r="M1617" s="15">
        <v>141759.28733403349</v>
      </c>
    </row>
    <row r="1618" spans="1:13" x14ac:dyDescent="0.25">
      <c r="A1618" s="12">
        <v>46543</v>
      </c>
      <c r="B1618" s="12" t="s">
        <v>13</v>
      </c>
      <c r="C1618" s="12" t="s">
        <v>14</v>
      </c>
      <c r="D1618" s="12" t="s">
        <v>18</v>
      </c>
      <c r="E1618" s="13">
        <v>96450</v>
      </c>
      <c r="F1618" s="14">
        <v>31</v>
      </c>
      <c r="G1618" s="15">
        <v>25254</v>
      </c>
      <c r="H1618" s="16">
        <v>0.1</v>
      </c>
      <c r="I1618" s="13">
        <v>4</v>
      </c>
      <c r="J1618" s="15">
        <v>78287.400000000009</v>
      </c>
      <c r="K1618" s="15">
        <v>704586.6</v>
      </c>
      <c r="L1618" s="15">
        <v>470323.88834034238</v>
      </c>
      <c r="M1618" s="15">
        <v>234262.71165965751</v>
      </c>
    </row>
    <row r="1619" spans="1:13" x14ac:dyDescent="0.25">
      <c r="A1619" s="12">
        <v>46544</v>
      </c>
      <c r="B1619" s="12" t="s">
        <v>19</v>
      </c>
      <c r="C1619" s="12" t="s">
        <v>23</v>
      </c>
      <c r="D1619" s="12" t="s">
        <v>27</v>
      </c>
      <c r="E1619" s="13">
        <v>39553</v>
      </c>
      <c r="F1619" s="14">
        <v>43</v>
      </c>
      <c r="G1619" s="15">
        <v>31653</v>
      </c>
      <c r="H1619" s="16">
        <v>0.15</v>
      </c>
      <c r="I1619" s="13">
        <v>2</v>
      </c>
      <c r="J1619" s="15">
        <v>204161.85</v>
      </c>
      <c r="K1619" s="15">
        <v>1156917.1499999999</v>
      </c>
      <c r="L1619" s="15">
        <v>836720.80790932104</v>
      </c>
      <c r="M1619" s="15">
        <v>320196.34209067893</v>
      </c>
    </row>
    <row r="1620" spans="1:13" x14ac:dyDescent="0.25">
      <c r="A1620" s="12">
        <v>46545</v>
      </c>
      <c r="B1620" s="12" t="s">
        <v>24</v>
      </c>
      <c r="C1620" s="12" t="s">
        <v>21</v>
      </c>
      <c r="D1620" s="12" t="s">
        <v>15</v>
      </c>
      <c r="E1620" s="13">
        <v>33548</v>
      </c>
      <c r="F1620" s="14">
        <v>10</v>
      </c>
      <c r="G1620" s="15">
        <v>18844</v>
      </c>
      <c r="H1620" s="16">
        <v>0.15</v>
      </c>
      <c r="I1620" s="13">
        <v>4</v>
      </c>
      <c r="J1620" s="15">
        <v>28266</v>
      </c>
      <c r="K1620" s="15">
        <v>160174</v>
      </c>
      <c r="L1620" s="15">
        <v>138238.8753815786</v>
      </c>
      <c r="M1620" s="15">
        <v>21935.124618421371</v>
      </c>
    </row>
    <row r="1621" spans="1:13" x14ac:dyDescent="0.25">
      <c r="A1621" s="12">
        <v>46546</v>
      </c>
      <c r="B1621" s="12" t="s">
        <v>19</v>
      </c>
      <c r="C1621" s="12" t="s">
        <v>21</v>
      </c>
      <c r="D1621" s="12" t="s">
        <v>26</v>
      </c>
      <c r="E1621" s="13">
        <v>73221</v>
      </c>
      <c r="F1621" s="14">
        <v>12</v>
      </c>
      <c r="G1621" s="15">
        <v>34741</v>
      </c>
      <c r="H1621" s="16">
        <v>0</v>
      </c>
      <c r="I1621" s="13">
        <v>2</v>
      </c>
      <c r="J1621" s="15">
        <v>0</v>
      </c>
      <c r="K1621" s="15">
        <v>416892</v>
      </c>
      <c r="L1621" s="15">
        <v>316110.17496761249</v>
      </c>
      <c r="M1621" s="15">
        <v>100781.8250323875</v>
      </c>
    </row>
    <row r="1622" spans="1:13" x14ac:dyDescent="0.25">
      <c r="A1622" s="12">
        <v>46547</v>
      </c>
      <c r="B1622" s="12" t="s">
        <v>19</v>
      </c>
      <c r="C1622" s="12" t="s">
        <v>20</v>
      </c>
      <c r="D1622" s="12" t="s">
        <v>26</v>
      </c>
      <c r="E1622" s="13">
        <v>47265</v>
      </c>
      <c r="F1622" s="14">
        <v>28</v>
      </c>
      <c r="G1622" s="15">
        <v>38156</v>
      </c>
      <c r="H1622" s="16">
        <v>0.15</v>
      </c>
      <c r="I1622" s="13">
        <v>2</v>
      </c>
      <c r="J1622" s="15">
        <v>160255.20000000001</v>
      </c>
      <c r="K1622" s="15">
        <v>908112.8</v>
      </c>
      <c r="L1622" s="15">
        <v>635919.23575972265</v>
      </c>
      <c r="M1622" s="15">
        <v>272193.5642402774</v>
      </c>
    </row>
    <row r="1623" spans="1:13" x14ac:dyDescent="0.25">
      <c r="A1623" s="12">
        <v>46548</v>
      </c>
      <c r="B1623" s="12" t="s">
        <v>24</v>
      </c>
      <c r="C1623" s="12" t="s">
        <v>20</v>
      </c>
      <c r="D1623" s="12" t="s">
        <v>22</v>
      </c>
      <c r="E1623" s="13">
        <v>50701</v>
      </c>
      <c r="F1623" s="14">
        <v>6</v>
      </c>
      <c r="G1623" s="15">
        <v>5479</v>
      </c>
      <c r="H1623" s="16">
        <v>0</v>
      </c>
      <c r="I1623" s="13">
        <v>4</v>
      </c>
      <c r="J1623" s="15">
        <v>0</v>
      </c>
      <c r="K1623" s="15">
        <v>32874</v>
      </c>
      <c r="L1623" s="15">
        <v>21774.636525854301</v>
      </c>
      <c r="M1623" s="15">
        <v>11099.363474145701</v>
      </c>
    </row>
    <row r="1624" spans="1:13" x14ac:dyDescent="0.25">
      <c r="A1624" s="12">
        <v>46549</v>
      </c>
      <c r="B1624" s="12" t="s">
        <v>24</v>
      </c>
      <c r="C1624" s="12" t="s">
        <v>21</v>
      </c>
      <c r="D1624" s="12" t="s">
        <v>27</v>
      </c>
      <c r="E1624" s="13">
        <v>61287</v>
      </c>
      <c r="F1624" s="14">
        <v>20</v>
      </c>
      <c r="G1624" s="15">
        <v>1712</v>
      </c>
      <c r="H1624" s="16">
        <v>0.2</v>
      </c>
      <c r="I1624" s="13">
        <v>5</v>
      </c>
      <c r="J1624" s="15">
        <v>6848</v>
      </c>
      <c r="K1624" s="15">
        <v>27392</v>
      </c>
      <c r="L1624" s="15">
        <v>23011.949564658771</v>
      </c>
      <c r="M1624" s="15">
        <v>4380.0504353412334</v>
      </c>
    </row>
    <row r="1625" spans="1:13" x14ac:dyDescent="0.25">
      <c r="A1625" s="12">
        <v>46550</v>
      </c>
      <c r="B1625" s="12" t="s">
        <v>16</v>
      </c>
      <c r="C1625" s="12" t="s">
        <v>17</v>
      </c>
      <c r="D1625" s="12" t="s">
        <v>15</v>
      </c>
      <c r="E1625" s="13">
        <v>16727</v>
      </c>
      <c r="F1625" s="14">
        <v>5</v>
      </c>
      <c r="G1625" s="15">
        <v>9501</v>
      </c>
      <c r="H1625" s="16">
        <v>0.1</v>
      </c>
      <c r="I1625" s="13">
        <v>4</v>
      </c>
      <c r="J1625" s="15">
        <v>4750.5</v>
      </c>
      <c r="K1625" s="15">
        <v>42754.5</v>
      </c>
      <c r="L1625" s="15">
        <v>33662.986646368488</v>
      </c>
      <c r="M1625" s="15">
        <v>9091.5133536315116</v>
      </c>
    </row>
    <row r="1626" spans="1:13" x14ac:dyDescent="0.25">
      <c r="A1626" s="12">
        <v>46551</v>
      </c>
      <c r="B1626" s="12" t="s">
        <v>24</v>
      </c>
      <c r="C1626" s="12" t="s">
        <v>17</v>
      </c>
      <c r="D1626" s="12" t="s">
        <v>27</v>
      </c>
      <c r="E1626" s="13">
        <v>60717</v>
      </c>
      <c r="F1626" s="14">
        <v>23</v>
      </c>
      <c r="G1626" s="15">
        <v>13748</v>
      </c>
      <c r="H1626" s="16">
        <v>0.1</v>
      </c>
      <c r="I1626" s="13">
        <v>1</v>
      </c>
      <c r="J1626" s="15">
        <v>31620.400000000001</v>
      </c>
      <c r="K1626" s="15">
        <v>284583.59999999998</v>
      </c>
      <c r="L1626" s="15">
        <v>210711.2861291263</v>
      </c>
      <c r="M1626" s="15">
        <v>73872.313870873681</v>
      </c>
    </row>
    <row r="1627" spans="1:13" x14ac:dyDescent="0.25">
      <c r="A1627" s="12">
        <v>46552</v>
      </c>
      <c r="B1627" s="12" t="s">
        <v>13</v>
      </c>
      <c r="C1627" s="12" t="s">
        <v>20</v>
      </c>
      <c r="D1627" s="12" t="s">
        <v>25</v>
      </c>
      <c r="E1627" s="13">
        <v>42427</v>
      </c>
      <c r="F1627" s="14">
        <v>9</v>
      </c>
      <c r="G1627" s="15">
        <v>33687</v>
      </c>
      <c r="H1627" s="16">
        <v>0.2</v>
      </c>
      <c r="I1627" s="13">
        <v>2</v>
      </c>
      <c r="J1627" s="15">
        <v>60636.600000000013</v>
      </c>
      <c r="K1627" s="15">
        <v>242546.4</v>
      </c>
      <c r="L1627" s="15">
        <v>161352.85412573739</v>
      </c>
      <c r="M1627" s="15">
        <v>81193.545874262578</v>
      </c>
    </row>
    <row r="1628" spans="1:13" x14ac:dyDescent="0.25">
      <c r="A1628" s="12">
        <v>46553</v>
      </c>
      <c r="B1628" s="12" t="s">
        <v>19</v>
      </c>
      <c r="C1628" s="12" t="s">
        <v>14</v>
      </c>
      <c r="D1628" s="12" t="s">
        <v>18</v>
      </c>
      <c r="E1628" s="13">
        <v>26692</v>
      </c>
      <c r="F1628" s="14">
        <v>29</v>
      </c>
      <c r="G1628" s="15">
        <v>16108</v>
      </c>
      <c r="H1628" s="16">
        <v>0.05</v>
      </c>
      <c r="I1628" s="13">
        <v>3</v>
      </c>
      <c r="J1628" s="15">
        <v>23356.6</v>
      </c>
      <c r="K1628" s="15">
        <v>443775.4</v>
      </c>
      <c r="L1628" s="15">
        <v>310764.33551703917</v>
      </c>
      <c r="M1628" s="15">
        <v>133011.06448296079</v>
      </c>
    </row>
    <row r="1629" spans="1:13" x14ac:dyDescent="0.25">
      <c r="A1629" s="12">
        <v>46554</v>
      </c>
      <c r="B1629" s="12" t="s">
        <v>19</v>
      </c>
      <c r="C1629" s="12" t="s">
        <v>21</v>
      </c>
      <c r="D1629" s="12" t="s">
        <v>27</v>
      </c>
      <c r="E1629" s="13">
        <v>41625</v>
      </c>
      <c r="F1629" s="14">
        <v>16</v>
      </c>
      <c r="G1629" s="15">
        <v>36927</v>
      </c>
      <c r="H1629" s="16">
        <v>0.05</v>
      </c>
      <c r="I1629" s="13">
        <v>2</v>
      </c>
      <c r="J1629" s="15">
        <v>29541.599999999999</v>
      </c>
      <c r="K1629" s="15">
        <v>561290.4</v>
      </c>
      <c r="L1629" s="15">
        <v>498399.51027943008</v>
      </c>
      <c r="M1629" s="15">
        <v>62890.889720569889</v>
      </c>
    </row>
    <row r="1630" spans="1:13" x14ac:dyDescent="0.25">
      <c r="A1630" s="12">
        <v>46555</v>
      </c>
      <c r="B1630" s="12" t="s">
        <v>13</v>
      </c>
      <c r="C1630" s="12" t="s">
        <v>20</v>
      </c>
      <c r="D1630" s="12" t="s">
        <v>27</v>
      </c>
      <c r="E1630" s="13">
        <v>34918</v>
      </c>
      <c r="F1630" s="14">
        <v>46</v>
      </c>
      <c r="G1630" s="15">
        <v>31868</v>
      </c>
      <c r="H1630" s="16">
        <v>0.15</v>
      </c>
      <c r="I1630" s="13">
        <v>1</v>
      </c>
      <c r="J1630" s="15">
        <v>219889.2</v>
      </c>
      <c r="K1630" s="15">
        <v>1246038.8</v>
      </c>
      <c r="L1630" s="15">
        <v>942038.95252393465</v>
      </c>
      <c r="M1630" s="15">
        <v>303999.84747606539</v>
      </c>
    </row>
    <row r="1631" spans="1:13" x14ac:dyDescent="0.25">
      <c r="A1631" s="12">
        <v>46556</v>
      </c>
      <c r="B1631" s="12" t="s">
        <v>24</v>
      </c>
      <c r="C1631" s="12" t="s">
        <v>20</v>
      </c>
      <c r="D1631" s="12" t="s">
        <v>26</v>
      </c>
      <c r="E1631" s="13">
        <v>51136</v>
      </c>
      <c r="F1631" s="14">
        <v>22</v>
      </c>
      <c r="G1631" s="15">
        <v>5783</v>
      </c>
      <c r="H1631" s="16">
        <v>0</v>
      </c>
      <c r="I1631" s="13">
        <v>3</v>
      </c>
      <c r="J1631" s="15">
        <v>0</v>
      </c>
      <c r="K1631" s="15">
        <v>127226</v>
      </c>
      <c r="L1631" s="15">
        <v>91629.410026636237</v>
      </c>
      <c r="M1631" s="15">
        <v>35596.589973363763</v>
      </c>
    </row>
    <row r="1632" spans="1:13" x14ac:dyDescent="0.25">
      <c r="A1632" s="12">
        <v>46557</v>
      </c>
      <c r="B1632" s="12" t="s">
        <v>13</v>
      </c>
      <c r="C1632" s="12" t="s">
        <v>21</v>
      </c>
      <c r="D1632" s="12" t="s">
        <v>18</v>
      </c>
      <c r="E1632" s="13">
        <v>62409</v>
      </c>
      <c r="F1632" s="14">
        <v>8</v>
      </c>
      <c r="G1632" s="15">
        <v>26354</v>
      </c>
      <c r="H1632" s="16">
        <v>0.1</v>
      </c>
      <c r="I1632" s="13">
        <v>3</v>
      </c>
      <c r="J1632" s="15">
        <v>21083.200000000001</v>
      </c>
      <c r="K1632" s="15">
        <v>189748.8</v>
      </c>
      <c r="L1632" s="15">
        <v>143531.04204874311</v>
      </c>
      <c r="M1632" s="15">
        <v>46217.757951256906</v>
      </c>
    </row>
    <row r="1633" spans="1:13" x14ac:dyDescent="0.25">
      <c r="A1633" s="12">
        <v>46558</v>
      </c>
      <c r="B1633" s="12" t="s">
        <v>13</v>
      </c>
      <c r="C1633" s="12" t="s">
        <v>21</v>
      </c>
      <c r="D1633" s="12" t="s">
        <v>15</v>
      </c>
      <c r="E1633" s="13">
        <v>25577</v>
      </c>
      <c r="F1633" s="14">
        <v>20</v>
      </c>
      <c r="G1633" s="15">
        <v>11215</v>
      </c>
      <c r="H1633" s="16">
        <v>0.15</v>
      </c>
      <c r="I1633" s="13">
        <v>4</v>
      </c>
      <c r="J1633" s="15">
        <v>33645</v>
      </c>
      <c r="K1633" s="15">
        <v>190655</v>
      </c>
      <c r="L1633" s="15">
        <v>158948.416077687</v>
      </c>
      <c r="M1633" s="15">
        <v>31706.583922313032</v>
      </c>
    </row>
    <row r="1634" spans="1:13" x14ac:dyDescent="0.25">
      <c r="A1634" s="12">
        <v>46559</v>
      </c>
      <c r="B1634" s="12" t="s">
        <v>16</v>
      </c>
      <c r="C1634" s="12" t="s">
        <v>17</v>
      </c>
      <c r="D1634" s="12" t="s">
        <v>27</v>
      </c>
      <c r="E1634" s="13">
        <v>95155</v>
      </c>
      <c r="F1634" s="14">
        <v>14</v>
      </c>
      <c r="G1634" s="15">
        <v>16665</v>
      </c>
      <c r="H1634" s="16">
        <v>0.2</v>
      </c>
      <c r="I1634" s="13">
        <v>5</v>
      </c>
      <c r="J1634" s="15">
        <v>46662</v>
      </c>
      <c r="K1634" s="15">
        <v>186648</v>
      </c>
      <c r="L1634" s="15">
        <v>131032.9958341162</v>
      </c>
      <c r="M1634" s="15">
        <v>55615.004165883773</v>
      </c>
    </row>
    <row r="1635" spans="1:13" x14ac:dyDescent="0.25">
      <c r="A1635" s="12">
        <v>46560</v>
      </c>
      <c r="B1635" s="12" t="s">
        <v>13</v>
      </c>
      <c r="C1635" s="12" t="s">
        <v>14</v>
      </c>
      <c r="D1635" s="12" t="s">
        <v>26</v>
      </c>
      <c r="E1635" s="13">
        <v>91731</v>
      </c>
      <c r="F1635" s="14">
        <v>39</v>
      </c>
      <c r="G1635" s="15">
        <v>34608</v>
      </c>
      <c r="H1635" s="16">
        <v>0.1</v>
      </c>
      <c r="I1635" s="13">
        <v>4</v>
      </c>
      <c r="J1635" s="15">
        <v>134971.20000000001</v>
      </c>
      <c r="K1635" s="15">
        <v>1214740.8</v>
      </c>
      <c r="L1635" s="15">
        <v>793968.96489197225</v>
      </c>
      <c r="M1635" s="15">
        <v>420771.83510802779</v>
      </c>
    </row>
    <row r="1636" spans="1:13" x14ac:dyDescent="0.25">
      <c r="A1636" s="12">
        <v>46561</v>
      </c>
      <c r="B1636" s="12" t="s">
        <v>19</v>
      </c>
      <c r="C1636" s="12" t="s">
        <v>14</v>
      </c>
      <c r="D1636" s="12" t="s">
        <v>22</v>
      </c>
      <c r="E1636" s="13">
        <v>37689</v>
      </c>
      <c r="F1636" s="14">
        <v>37</v>
      </c>
      <c r="G1636" s="15">
        <v>27297</v>
      </c>
      <c r="H1636" s="16">
        <v>0</v>
      </c>
      <c r="I1636" s="13">
        <v>3</v>
      </c>
      <c r="J1636" s="15">
        <v>0</v>
      </c>
      <c r="K1636" s="15">
        <v>1009989</v>
      </c>
      <c r="L1636" s="15">
        <v>783227.11356754089</v>
      </c>
      <c r="M1636" s="15">
        <v>226761.88643245911</v>
      </c>
    </row>
    <row r="1637" spans="1:13" x14ac:dyDescent="0.25">
      <c r="A1637" s="12">
        <v>46562</v>
      </c>
      <c r="B1637" s="12" t="s">
        <v>13</v>
      </c>
      <c r="C1637" s="12" t="s">
        <v>21</v>
      </c>
      <c r="D1637" s="12" t="s">
        <v>18</v>
      </c>
      <c r="E1637" s="13">
        <v>21154</v>
      </c>
      <c r="F1637" s="14">
        <v>34</v>
      </c>
      <c r="G1637" s="15">
        <v>48073</v>
      </c>
      <c r="H1637" s="16">
        <v>0</v>
      </c>
      <c r="I1637" s="13">
        <v>3</v>
      </c>
      <c r="J1637" s="15">
        <v>0</v>
      </c>
      <c r="K1637" s="15">
        <v>1634482</v>
      </c>
      <c r="L1637" s="15">
        <v>1306868.440039783</v>
      </c>
      <c r="M1637" s="15">
        <v>327613.55996021739</v>
      </c>
    </row>
    <row r="1638" spans="1:13" x14ac:dyDescent="0.25">
      <c r="A1638" s="12">
        <v>46563</v>
      </c>
      <c r="B1638" s="12" t="s">
        <v>19</v>
      </c>
      <c r="C1638" s="12" t="s">
        <v>23</v>
      </c>
      <c r="D1638" s="12" t="s">
        <v>26</v>
      </c>
      <c r="E1638" s="13">
        <v>31341</v>
      </c>
      <c r="F1638" s="14">
        <v>11</v>
      </c>
      <c r="G1638" s="15">
        <v>11084</v>
      </c>
      <c r="H1638" s="16">
        <v>0.05</v>
      </c>
      <c r="I1638" s="13">
        <v>5</v>
      </c>
      <c r="J1638" s="15">
        <v>6096.2000000000007</v>
      </c>
      <c r="K1638" s="15">
        <v>115827.8</v>
      </c>
      <c r="L1638" s="15">
        <v>94262.447490924693</v>
      </c>
      <c r="M1638" s="15">
        <v>21565.35250907531</v>
      </c>
    </row>
    <row r="1639" spans="1:13" x14ac:dyDescent="0.25">
      <c r="A1639" s="12">
        <v>46564</v>
      </c>
      <c r="B1639" s="12" t="s">
        <v>19</v>
      </c>
      <c r="C1639" s="12" t="s">
        <v>20</v>
      </c>
      <c r="D1639" s="12" t="s">
        <v>26</v>
      </c>
      <c r="E1639" s="13">
        <v>84681</v>
      </c>
      <c r="F1639" s="14">
        <v>40</v>
      </c>
      <c r="G1639" s="15">
        <v>15280</v>
      </c>
      <c r="H1639" s="16">
        <v>0.15</v>
      </c>
      <c r="I1639" s="13">
        <v>2</v>
      </c>
      <c r="J1639" s="15">
        <v>91680</v>
      </c>
      <c r="K1639" s="15">
        <v>519520</v>
      </c>
      <c r="L1639" s="15">
        <v>449175.05794644589</v>
      </c>
      <c r="M1639" s="15">
        <v>70344.942053554114</v>
      </c>
    </row>
    <row r="1640" spans="1:13" x14ac:dyDescent="0.25">
      <c r="A1640" s="12">
        <v>46565</v>
      </c>
      <c r="B1640" s="12" t="s">
        <v>19</v>
      </c>
      <c r="C1640" s="12" t="s">
        <v>20</v>
      </c>
      <c r="D1640" s="12" t="s">
        <v>26</v>
      </c>
      <c r="E1640" s="13">
        <v>56330</v>
      </c>
      <c r="F1640" s="14">
        <v>33</v>
      </c>
      <c r="G1640" s="15">
        <v>38405</v>
      </c>
      <c r="H1640" s="16">
        <v>0.2</v>
      </c>
      <c r="I1640" s="13">
        <v>5</v>
      </c>
      <c r="J1640" s="15">
        <v>253473</v>
      </c>
      <c r="K1640" s="15">
        <v>1013892</v>
      </c>
      <c r="L1640" s="15">
        <v>721234.34147211793</v>
      </c>
      <c r="M1640" s="15">
        <v>292657.65852788207</v>
      </c>
    </row>
    <row r="1641" spans="1:13" x14ac:dyDescent="0.25">
      <c r="A1641" s="12">
        <v>46566</v>
      </c>
      <c r="B1641" s="12" t="s">
        <v>24</v>
      </c>
      <c r="C1641" s="12" t="s">
        <v>21</v>
      </c>
      <c r="D1641" s="12" t="s">
        <v>27</v>
      </c>
      <c r="E1641" s="13">
        <v>97759</v>
      </c>
      <c r="F1641" s="14">
        <v>31</v>
      </c>
      <c r="G1641" s="15">
        <v>22073</v>
      </c>
      <c r="H1641" s="16">
        <v>0.1</v>
      </c>
      <c r="I1641" s="13">
        <v>4</v>
      </c>
      <c r="J1641" s="15">
        <v>68426.3</v>
      </c>
      <c r="K1641" s="15">
        <v>615836.69999999995</v>
      </c>
      <c r="L1641" s="15">
        <v>383423.91318673291</v>
      </c>
      <c r="M1641" s="15">
        <v>232412.78681326701</v>
      </c>
    </row>
    <row r="1642" spans="1:13" x14ac:dyDescent="0.25">
      <c r="A1642" s="12">
        <v>46567</v>
      </c>
      <c r="B1642" s="12" t="s">
        <v>16</v>
      </c>
      <c r="C1642" s="12" t="s">
        <v>23</v>
      </c>
      <c r="D1642" s="12" t="s">
        <v>27</v>
      </c>
      <c r="E1642" s="13">
        <v>78416</v>
      </c>
      <c r="F1642" s="14">
        <v>44</v>
      </c>
      <c r="G1642" s="15">
        <v>33859</v>
      </c>
      <c r="H1642" s="16">
        <v>0</v>
      </c>
      <c r="I1642" s="13">
        <v>2</v>
      </c>
      <c r="J1642" s="15">
        <v>0</v>
      </c>
      <c r="K1642" s="15">
        <v>1489796</v>
      </c>
      <c r="L1642" s="15">
        <v>1322200.7659497131</v>
      </c>
      <c r="M1642" s="15">
        <v>167595.2340502869</v>
      </c>
    </row>
    <row r="1643" spans="1:13" x14ac:dyDescent="0.25">
      <c r="A1643" s="12">
        <v>46568</v>
      </c>
      <c r="B1643" s="12" t="s">
        <v>19</v>
      </c>
      <c r="C1643" s="12" t="s">
        <v>17</v>
      </c>
      <c r="D1643" s="12" t="s">
        <v>22</v>
      </c>
      <c r="E1643" s="13">
        <v>96807</v>
      </c>
      <c r="F1643" s="14">
        <v>34</v>
      </c>
      <c r="G1643" s="15">
        <v>1026</v>
      </c>
      <c r="H1643" s="16">
        <v>0.1</v>
      </c>
      <c r="I1643" s="13">
        <v>4</v>
      </c>
      <c r="J1643" s="15">
        <v>3488.4</v>
      </c>
      <c r="K1643" s="15">
        <v>31395.599999999999</v>
      </c>
      <c r="L1643" s="15">
        <v>22934.5981407168</v>
      </c>
      <c r="M1643" s="15">
        <v>8461.0018592832021</v>
      </c>
    </row>
    <row r="1644" spans="1:13" x14ac:dyDescent="0.25">
      <c r="A1644" s="12">
        <v>46569</v>
      </c>
      <c r="B1644" s="12" t="s">
        <v>19</v>
      </c>
      <c r="C1644" s="12" t="s">
        <v>21</v>
      </c>
      <c r="D1644" s="12" t="s">
        <v>25</v>
      </c>
      <c r="E1644" s="13">
        <v>43313</v>
      </c>
      <c r="F1644" s="14">
        <v>7</v>
      </c>
      <c r="G1644" s="15">
        <v>8355</v>
      </c>
      <c r="H1644" s="16">
        <v>0.2</v>
      </c>
      <c r="I1644" s="13">
        <v>5</v>
      </c>
      <c r="J1644" s="15">
        <v>11697</v>
      </c>
      <c r="K1644" s="15">
        <v>46788</v>
      </c>
      <c r="L1644" s="15">
        <v>36821.091708775937</v>
      </c>
      <c r="M1644" s="15">
        <v>9966.9082912240556</v>
      </c>
    </row>
    <row r="1645" spans="1:13" x14ac:dyDescent="0.25">
      <c r="A1645" s="12">
        <v>46570</v>
      </c>
      <c r="B1645" s="12" t="s">
        <v>24</v>
      </c>
      <c r="C1645" s="12" t="s">
        <v>21</v>
      </c>
      <c r="D1645" s="12" t="s">
        <v>25</v>
      </c>
      <c r="E1645" s="13">
        <v>56900</v>
      </c>
      <c r="F1645" s="14">
        <v>49</v>
      </c>
      <c r="G1645" s="15">
        <v>43963</v>
      </c>
      <c r="H1645" s="16">
        <v>0.1</v>
      </c>
      <c r="I1645" s="13">
        <v>2</v>
      </c>
      <c r="J1645" s="15">
        <v>215418.7</v>
      </c>
      <c r="K1645" s="15">
        <v>1938768.3</v>
      </c>
      <c r="L1645" s="15">
        <v>1550804.471580717</v>
      </c>
      <c r="M1645" s="15">
        <v>387963.82841928297</v>
      </c>
    </row>
    <row r="1646" spans="1:13" x14ac:dyDescent="0.25">
      <c r="A1646" s="12">
        <v>46571</v>
      </c>
      <c r="B1646" s="12" t="s">
        <v>19</v>
      </c>
      <c r="C1646" s="12" t="s">
        <v>20</v>
      </c>
      <c r="D1646" s="12" t="s">
        <v>25</v>
      </c>
      <c r="E1646" s="13">
        <v>88840</v>
      </c>
      <c r="F1646" s="14">
        <v>23</v>
      </c>
      <c r="G1646" s="15">
        <v>34560</v>
      </c>
      <c r="H1646" s="16">
        <v>0.15</v>
      </c>
      <c r="I1646" s="13">
        <v>5</v>
      </c>
      <c r="J1646" s="15">
        <v>119232</v>
      </c>
      <c r="K1646" s="15">
        <v>675648</v>
      </c>
      <c r="L1646" s="15">
        <v>516164.06827696518</v>
      </c>
      <c r="M1646" s="15">
        <v>159483.9317230348</v>
      </c>
    </row>
    <row r="1647" spans="1:13" x14ac:dyDescent="0.25">
      <c r="A1647" s="12">
        <v>46572</v>
      </c>
      <c r="B1647" s="12" t="s">
        <v>13</v>
      </c>
      <c r="C1647" s="12" t="s">
        <v>21</v>
      </c>
      <c r="D1647" s="12" t="s">
        <v>18</v>
      </c>
      <c r="E1647" s="13">
        <v>44695</v>
      </c>
      <c r="F1647" s="14">
        <v>46</v>
      </c>
      <c r="G1647" s="15">
        <v>29982</v>
      </c>
      <c r="H1647" s="16">
        <v>0.05</v>
      </c>
      <c r="I1647" s="13">
        <v>1</v>
      </c>
      <c r="J1647" s="15">
        <v>68958.600000000006</v>
      </c>
      <c r="K1647" s="15">
        <v>1310213.3999999999</v>
      </c>
      <c r="L1647" s="15">
        <v>866807.38977340783</v>
      </c>
      <c r="M1647" s="15">
        <v>443406.01022659207</v>
      </c>
    </row>
    <row r="1648" spans="1:13" x14ac:dyDescent="0.25">
      <c r="A1648" s="12">
        <v>46573</v>
      </c>
      <c r="B1648" s="12" t="s">
        <v>13</v>
      </c>
      <c r="C1648" s="12" t="s">
        <v>21</v>
      </c>
      <c r="D1648" s="12" t="s">
        <v>18</v>
      </c>
      <c r="E1648" s="13">
        <v>40225</v>
      </c>
      <c r="F1648" s="14">
        <v>7</v>
      </c>
      <c r="G1648" s="15">
        <v>17071</v>
      </c>
      <c r="H1648" s="16">
        <v>0.1</v>
      </c>
      <c r="I1648" s="13">
        <v>3</v>
      </c>
      <c r="J1648" s="15">
        <v>11949.7</v>
      </c>
      <c r="K1648" s="15">
        <v>107547.3</v>
      </c>
      <c r="L1648" s="15">
        <v>88892.458846126712</v>
      </c>
      <c r="M1648" s="15">
        <v>18654.841153873291</v>
      </c>
    </row>
    <row r="1649" spans="1:13" x14ac:dyDescent="0.25">
      <c r="A1649" s="12">
        <v>46574</v>
      </c>
      <c r="B1649" s="12" t="s">
        <v>16</v>
      </c>
      <c r="C1649" s="12" t="s">
        <v>21</v>
      </c>
      <c r="D1649" s="12" t="s">
        <v>22</v>
      </c>
      <c r="E1649" s="13">
        <v>96072</v>
      </c>
      <c r="F1649" s="14">
        <v>25</v>
      </c>
      <c r="G1649" s="15">
        <v>32240</v>
      </c>
      <c r="H1649" s="16">
        <v>0.05</v>
      </c>
      <c r="I1649" s="13">
        <v>2</v>
      </c>
      <c r="J1649" s="15">
        <v>40300</v>
      </c>
      <c r="K1649" s="15">
        <v>765700</v>
      </c>
      <c r="L1649" s="15">
        <v>644049.86601739062</v>
      </c>
      <c r="M1649" s="15">
        <v>121650.1339826094</v>
      </c>
    </row>
    <row r="1650" spans="1:13" x14ac:dyDescent="0.25">
      <c r="A1650" s="12">
        <v>46575</v>
      </c>
      <c r="B1650" s="12" t="s">
        <v>19</v>
      </c>
      <c r="C1650" s="12" t="s">
        <v>20</v>
      </c>
      <c r="D1650" s="12" t="s">
        <v>18</v>
      </c>
      <c r="E1650" s="13">
        <v>59156</v>
      </c>
      <c r="F1650" s="14">
        <v>3</v>
      </c>
      <c r="G1650" s="15">
        <v>19642</v>
      </c>
      <c r="H1650" s="16">
        <v>0.2</v>
      </c>
      <c r="I1650" s="13">
        <v>3</v>
      </c>
      <c r="J1650" s="15">
        <v>11785.2</v>
      </c>
      <c r="K1650" s="15">
        <v>47140.800000000003</v>
      </c>
      <c r="L1650" s="15">
        <v>36104.793451599282</v>
      </c>
      <c r="M1650" s="15">
        <v>11036.006548400719</v>
      </c>
    </row>
    <row r="1651" spans="1:13" x14ac:dyDescent="0.25">
      <c r="A1651" s="12">
        <v>46576</v>
      </c>
      <c r="B1651" s="12" t="s">
        <v>24</v>
      </c>
      <c r="C1651" s="12" t="s">
        <v>17</v>
      </c>
      <c r="D1651" s="12" t="s">
        <v>25</v>
      </c>
      <c r="E1651" s="13">
        <v>87209</v>
      </c>
      <c r="F1651" s="14">
        <v>38</v>
      </c>
      <c r="G1651" s="15">
        <v>25604</v>
      </c>
      <c r="H1651" s="16">
        <v>0.05</v>
      </c>
      <c r="I1651" s="13">
        <v>1</v>
      </c>
      <c r="J1651" s="15">
        <v>48647.600000000013</v>
      </c>
      <c r="K1651" s="15">
        <v>924304.4</v>
      </c>
      <c r="L1651" s="15">
        <v>690056.40911930276</v>
      </c>
      <c r="M1651" s="15">
        <v>234247.9908806973</v>
      </c>
    </row>
    <row r="1652" spans="1:13" x14ac:dyDescent="0.25">
      <c r="A1652" s="12">
        <v>46577</v>
      </c>
      <c r="B1652" s="12" t="s">
        <v>13</v>
      </c>
      <c r="C1652" s="12" t="s">
        <v>17</v>
      </c>
      <c r="D1652" s="12" t="s">
        <v>25</v>
      </c>
      <c r="E1652" s="13">
        <v>97453</v>
      </c>
      <c r="F1652" s="14">
        <v>20</v>
      </c>
      <c r="G1652" s="15">
        <v>9125</v>
      </c>
      <c r="H1652" s="16">
        <v>0.1</v>
      </c>
      <c r="I1652" s="13">
        <v>2</v>
      </c>
      <c r="J1652" s="15">
        <v>18250</v>
      </c>
      <c r="K1652" s="15">
        <v>164250</v>
      </c>
      <c r="L1652" s="15">
        <v>104164.3039736315</v>
      </c>
      <c r="M1652" s="15">
        <v>60085.696026368518</v>
      </c>
    </row>
    <row r="1653" spans="1:13" x14ac:dyDescent="0.25">
      <c r="A1653" s="12">
        <v>46578</v>
      </c>
      <c r="B1653" s="12" t="s">
        <v>24</v>
      </c>
      <c r="C1653" s="12" t="s">
        <v>21</v>
      </c>
      <c r="D1653" s="12" t="s">
        <v>26</v>
      </c>
      <c r="E1653" s="13">
        <v>37829</v>
      </c>
      <c r="F1653" s="14">
        <v>34</v>
      </c>
      <c r="G1653" s="15">
        <v>39699</v>
      </c>
      <c r="H1653" s="16">
        <v>0.1</v>
      </c>
      <c r="I1653" s="13">
        <v>3</v>
      </c>
      <c r="J1653" s="15">
        <v>134976.6</v>
      </c>
      <c r="K1653" s="15">
        <v>1214789.3999999999</v>
      </c>
      <c r="L1653" s="15">
        <v>759468.71655069757</v>
      </c>
      <c r="M1653" s="15">
        <v>455320.68344930228</v>
      </c>
    </row>
    <row r="1654" spans="1:13" x14ac:dyDescent="0.25">
      <c r="A1654" s="12">
        <v>46579</v>
      </c>
      <c r="B1654" s="12" t="s">
        <v>24</v>
      </c>
      <c r="C1654" s="12" t="s">
        <v>20</v>
      </c>
      <c r="D1654" s="12" t="s">
        <v>18</v>
      </c>
      <c r="E1654" s="13">
        <v>90908</v>
      </c>
      <c r="F1654" s="14">
        <v>49</v>
      </c>
      <c r="G1654" s="15">
        <v>16426</v>
      </c>
      <c r="H1654" s="16">
        <v>0</v>
      </c>
      <c r="I1654" s="13">
        <v>3</v>
      </c>
      <c r="J1654" s="15">
        <v>0</v>
      </c>
      <c r="K1654" s="15">
        <v>804874</v>
      </c>
      <c r="L1654" s="15">
        <v>564916.47465242993</v>
      </c>
      <c r="M1654" s="15">
        <v>239957.5253475701</v>
      </c>
    </row>
    <row r="1655" spans="1:13" x14ac:dyDescent="0.25">
      <c r="A1655" s="12">
        <v>46580</v>
      </c>
      <c r="B1655" s="12" t="s">
        <v>13</v>
      </c>
      <c r="C1655" s="12" t="s">
        <v>17</v>
      </c>
      <c r="D1655" s="12" t="s">
        <v>27</v>
      </c>
      <c r="E1655" s="13">
        <v>35938</v>
      </c>
      <c r="F1655" s="14">
        <v>44</v>
      </c>
      <c r="G1655" s="15">
        <v>31718</v>
      </c>
      <c r="H1655" s="16">
        <v>0.1</v>
      </c>
      <c r="I1655" s="13">
        <v>2</v>
      </c>
      <c r="J1655" s="15">
        <v>139559.20000000001</v>
      </c>
      <c r="K1655" s="15">
        <v>1256032.8</v>
      </c>
      <c r="L1655" s="15">
        <v>870749.57012512407</v>
      </c>
      <c r="M1655" s="15">
        <v>385283.22987487598</v>
      </c>
    </row>
    <row r="1656" spans="1:13" x14ac:dyDescent="0.25">
      <c r="A1656" s="12">
        <v>46581</v>
      </c>
      <c r="B1656" s="12" t="s">
        <v>24</v>
      </c>
      <c r="C1656" s="12" t="s">
        <v>17</v>
      </c>
      <c r="D1656" s="12" t="s">
        <v>27</v>
      </c>
      <c r="E1656" s="13">
        <v>69164</v>
      </c>
      <c r="F1656" s="14">
        <v>44</v>
      </c>
      <c r="G1656" s="15">
        <v>44972</v>
      </c>
      <c r="H1656" s="16">
        <v>0.05</v>
      </c>
      <c r="I1656" s="13">
        <v>3</v>
      </c>
      <c r="J1656" s="15">
        <v>98938.400000000009</v>
      </c>
      <c r="K1656" s="15">
        <v>1879829.6</v>
      </c>
      <c r="L1656" s="15">
        <v>1665711.2474255119</v>
      </c>
      <c r="M1656" s="15">
        <v>214118.35257448841</v>
      </c>
    </row>
    <row r="1657" spans="1:13" x14ac:dyDescent="0.25">
      <c r="A1657" s="12">
        <v>46582</v>
      </c>
      <c r="B1657" s="12" t="s">
        <v>13</v>
      </c>
      <c r="C1657" s="12" t="s">
        <v>17</v>
      </c>
      <c r="D1657" s="12" t="s">
        <v>26</v>
      </c>
      <c r="E1657" s="13">
        <v>64530</v>
      </c>
      <c r="F1657" s="14">
        <v>30</v>
      </c>
      <c r="G1657" s="15">
        <v>26880</v>
      </c>
      <c r="H1657" s="16">
        <v>0</v>
      </c>
      <c r="I1657" s="13">
        <v>3</v>
      </c>
      <c r="J1657" s="15">
        <v>0</v>
      </c>
      <c r="K1657" s="15">
        <v>806400</v>
      </c>
      <c r="L1657" s="15">
        <v>673414.01385191455</v>
      </c>
      <c r="M1657" s="15">
        <v>132985.98614808539</v>
      </c>
    </row>
    <row r="1658" spans="1:13" x14ac:dyDescent="0.25">
      <c r="A1658" s="12">
        <v>46583</v>
      </c>
      <c r="B1658" s="12" t="s">
        <v>24</v>
      </c>
      <c r="C1658" s="12" t="s">
        <v>20</v>
      </c>
      <c r="D1658" s="12" t="s">
        <v>26</v>
      </c>
      <c r="E1658" s="13">
        <v>78199</v>
      </c>
      <c r="F1658" s="14">
        <v>17</v>
      </c>
      <c r="G1658" s="15">
        <v>21066</v>
      </c>
      <c r="H1658" s="16">
        <v>0.1</v>
      </c>
      <c r="I1658" s="13">
        <v>2</v>
      </c>
      <c r="J1658" s="15">
        <v>35812.199999999997</v>
      </c>
      <c r="K1658" s="15">
        <v>322309.8</v>
      </c>
      <c r="L1658" s="15">
        <v>257195.90028602659</v>
      </c>
      <c r="M1658" s="15">
        <v>65113.899713973427</v>
      </c>
    </row>
    <row r="1659" spans="1:13" x14ac:dyDescent="0.25">
      <c r="A1659" s="12">
        <v>46584</v>
      </c>
      <c r="B1659" s="12" t="s">
        <v>13</v>
      </c>
      <c r="C1659" s="12" t="s">
        <v>20</v>
      </c>
      <c r="D1659" s="12" t="s">
        <v>26</v>
      </c>
      <c r="E1659" s="13">
        <v>70282</v>
      </c>
      <c r="F1659" s="14">
        <v>10</v>
      </c>
      <c r="G1659" s="15">
        <v>33705</v>
      </c>
      <c r="H1659" s="16">
        <v>0.1</v>
      </c>
      <c r="I1659" s="13">
        <v>3</v>
      </c>
      <c r="J1659" s="15">
        <v>33705</v>
      </c>
      <c r="K1659" s="15">
        <v>303345</v>
      </c>
      <c r="L1659" s="15">
        <v>229114.78786891361</v>
      </c>
      <c r="M1659" s="15">
        <v>74230.212131086388</v>
      </c>
    </row>
    <row r="1660" spans="1:13" x14ac:dyDescent="0.25">
      <c r="A1660" s="12">
        <v>46585</v>
      </c>
      <c r="B1660" s="12" t="s">
        <v>19</v>
      </c>
      <c r="C1660" s="12" t="s">
        <v>21</v>
      </c>
      <c r="D1660" s="12" t="s">
        <v>27</v>
      </c>
      <c r="E1660" s="13">
        <v>57801</v>
      </c>
      <c r="F1660" s="14">
        <v>35</v>
      </c>
      <c r="G1660" s="15">
        <v>44048</v>
      </c>
      <c r="H1660" s="16">
        <v>0.2</v>
      </c>
      <c r="I1660" s="13">
        <v>3</v>
      </c>
      <c r="J1660" s="15">
        <v>308336</v>
      </c>
      <c r="K1660" s="15">
        <v>1233344</v>
      </c>
      <c r="L1660" s="15">
        <v>801932.92194495932</v>
      </c>
      <c r="M1660" s="15">
        <v>431411.07805504068</v>
      </c>
    </row>
    <row r="1661" spans="1:13" x14ac:dyDescent="0.25">
      <c r="A1661" s="12">
        <v>46586</v>
      </c>
      <c r="B1661" s="12" t="s">
        <v>16</v>
      </c>
      <c r="C1661" s="12" t="s">
        <v>14</v>
      </c>
      <c r="D1661" s="12" t="s">
        <v>25</v>
      </c>
      <c r="E1661" s="13">
        <v>19465</v>
      </c>
      <c r="F1661" s="14">
        <v>20</v>
      </c>
      <c r="G1661" s="15">
        <v>30217</v>
      </c>
      <c r="H1661" s="16">
        <v>0</v>
      </c>
      <c r="I1661" s="13">
        <v>4</v>
      </c>
      <c r="J1661" s="15">
        <v>0</v>
      </c>
      <c r="K1661" s="15">
        <v>604340</v>
      </c>
      <c r="L1661" s="15">
        <v>540000.15158035513</v>
      </c>
      <c r="M1661" s="15">
        <v>64339.84841964487</v>
      </c>
    </row>
    <row r="1662" spans="1:13" x14ac:dyDescent="0.25">
      <c r="A1662" s="12">
        <v>46587</v>
      </c>
      <c r="B1662" s="12" t="s">
        <v>13</v>
      </c>
      <c r="C1662" s="12" t="s">
        <v>17</v>
      </c>
      <c r="D1662" s="12" t="s">
        <v>26</v>
      </c>
      <c r="E1662" s="13">
        <v>13326</v>
      </c>
      <c r="F1662" s="14">
        <v>18</v>
      </c>
      <c r="G1662" s="15">
        <v>42256</v>
      </c>
      <c r="H1662" s="16">
        <v>0.2</v>
      </c>
      <c r="I1662" s="13">
        <v>4</v>
      </c>
      <c r="J1662" s="15">
        <v>152121.60000000001</v>
      </c>
      <c r="K1662" s="15">
        <v>608486.40000000002</v>
      </c>
      <c r="L1662" s="15">
        <v>433553.98929770163</v>
      </c>
      <c r="M1662" s="15">
        <v>174932.41070229851</v>
      </c>
    </row>
    <row r="1663" spans="1:13" x14ac:dyDescent="0.25">
      <c r="A1663" s="12">
        <v>46588</v>
      </c>
      <c r="B1663" s="12" t="s">
        <v>13</v>
      </c>
      <c r="C1663" s="12" t="s">
        <v>14</v>
      </c>
      <c r="D1663" s="12" t="s">
        <v>22</v>
      </c>
      <c r="E1663" s="13">
        <v>13659</v>
      </c>
      <c r="F1663" s="14">
        <v>45</v>
      </c>
      <c r="G1663" s="15">
        <v>25635</v>
      </c>
      <c r="H1663" s="16">
        <v>0.2</v>
      </c>
      <c r="I1663" s="13">
        <v>1</v>
      </c>
      <c r="J1663" s="15">
        <v>230715</v>
      </c>
      <c r="K1663" s="15">
        <v>922860</v>
      </c>
      <c r="L1663" s="15">
        <v>583319.20844233932</v>
      </c>
      <c r="M1663" s="15">
        <v>339540.79155766068</v>
      </c>
    </row>
    <row r="1664" spans="1:13" x14ac:dyDescent="0.25">
      <c r="A1664" s="12">
        <v>46589</v>
      </c>
      <c r="B1664" s="12" t="s">
        <v>16</v>
      </c>
      <c r="C1664" s="12" t="s">
        <v>20</v>
      </c>
      <c r="D1664" s="12" t="s">
        <v>26</v>
      </c>
      <c r="E1664" s="13">
        <v>70289</v>
      </c>
      <c r="F1664" s="14">
        <v>44</v>
      </c>
      <c r="G1664" s="15">
        <v>28664</v>
      </c>
      <c r="H1664" s="16">
        <v>0.2</v>
      </c>
      <c r="I1664" s="13">
        <v>4</v>
      </c>
      <c r="J1664" s="15">
        <v>252243.20000000001</v>
      </c>
      <c r="K1664" s="15">
        <v>1008972.8</v>
      </c>
      <c r="L1664" s="15">
        <v>754852.57633416727</v>
      </c>
      <c r="M1664" s="15">
        <v>254120.2236658328</v>
      </c>
    </row>
    <row r="1665" spans="1:13" x14ac:dyDescent="0.25">
      <c r="A1665" s="12">
        <v>46590</v>
      </c>
      <c r="B1665" s="12" t="s">
        <v>13</v>
      </c>
      <c r="C1665" s="12" t="s">
        <v>20</v>
      </c>
      <c r="D1665" s="12" t="s">
        <v>15</v>
      </c>
      <c r="E1665" s="13">
        <v>37594</v>
      </c>
      <c r="F1665" s="14">
        <v>27</v>
      </c>
      <c r="G1665" s="15">
        <v>9453</v>
      </c>
      <c r="H1665" s="16">
        <v>0.15</v>
      </c>
      <c r="I1665" s="13">
        <v>4</v>
      </c>
      <c r="J1665" s="15">
        <v>38284.65</v>
      </c>
      <c r="K1665" s="15">
        <v>216946.35</v>
      </c>
      <c r="L1665" s="15">
        <v>187051.01355801479</v>
      </c>
      <c r="M1665" s="15">
        <v>29895.33644198519</v>
      </c>
    </row>
    <row r="1666" spans="1:13" x14ac:dyDescent="0.25">
      <c r="A1666" s="12">
        <v>46591</v>
      </c>
      <c r="B1666" s="12" t="s">
        <v>13</v>
      </c>
      <c r="C1666" s="12" t="s">
        <v>20</v>
      </c>
      <c r="D1666" s="12" t="s">
        <v>26</v>
      </c>
      <c r="E1666" s="13">
        <v>14763</v>
      </c>
      <c r="F1666" s="14">
        <v>49</v>
      </c>
      <c r="G1666" s="15">
        <v>39062</v>
      </c>
      <c r="H1666" s="16">
        <v>0.2</v>
      </c>
      <c r="I1666" s="13">
        <v>1</v>
      </c>
      <c r="J1666" s="15">
        <v>382807.6</v>
      </c>
      <c r="K1666" s="15">
        <v>1531230.4</v>
      </c>
      <c r="L1666" s="15">
        <v>1326332.3266703701</v>
      </c>
      <c r="M1666" s="15">
        <v>204898.07332962981</v>
      </c>
    </row>
    <row r="1667" spans="1:13" x14ac:dyDescent="0.25">
      <c r="A1667" s="12">
        <v>46592</v>
      </c>
      <c r="B1667" s="12" t="s">
        <v>24</v>
      </c>
      <c r="C1667" s="12" t="s">
        <v>14</v>
      </c>
      <c r="D1667" s="12" t="s">
        <v>27</v>
      </c>
      <c r="E1667" s="13">
        <v>98657</v>
      </c>
      <c r="F1667" s="14">
        <v>36</v>
      </c>
      <c r="G1667" s="15">
        <v>4074</v>
      </c>
      <c r="H1667" s="16">
        <v>0.05</v>
      </c>
      <c r="I1667" s="13">
        <v>3</v>
      </c>
      <c r="J1667" s="15">
        <v>7333.2000000000007</v>
      </c>
      <c r="K1667" s="15">
        <v>139330.79999999999</v>
      </c>
      <c r="L1667" s="15">
        <v>84056.846957063273</v>
      </c>
      <c r="M1667" s="15">
        <v>55273.953042936722</v>
      </c>
    </row>
    <row r="1668" spans="1:13" x14ac:dyDescent="0.25">
      <c r="A1668" s="12">
        <v>46593</v>
      </c>
      <c r="B1668" s="12" t="s">
        <v>16</v>
      </c>
      <c r="C1668" s="12" t="s">
        <v>20</v>
      </c>
      <c r="D1668" s="12" t="s">
        <v>18</v>
      </c>
      <c r="E1668" s="13">
        <v>20828</v>
      </c>
      <c r="F1668" s="14">
        <v>23</v>
      </c>
      <c r="G1668" s="15">
        <v>20669</v>
      </c>
      <c r="H1668" s="16">
        <v>0.1</v>
      </c>
      <c r="I1668" s="13">
        <v>3</v>
      </c>
      <c r="J1668" s="15">
        <v>47538.7</v>
      </c>
      <c r="K1668" s="15">
        <v>427848.3</v>
      </c>
      <c r="L1668" s="15">
        <v>370469.01830673608</v>
      </c>
      <c r="M1668" s="15">
        <v>57379.281693263853</v>
      </c>
    </row>
    <row r="1669" spans="1:13" x14ac:dyDescent="0.25">
      <c r="A1669" s="12">
        <v>46594</v>
      </c>
      <c r="B1669" s="12" t="s">
        <v>19</v>
      </c>
      <c r="C1669" s="12" t="s">
        <v>21</v>
      </c>
      <c r="D1669" s="12" t="s">
        <v>26</v>
      </c>
      <c r="E1669" s="13">
        <v>57588</v>
      </c>
      <c r="F1669" s="14">
        <v>32</v>
      </c>
      <c r="G1669" s="15">
        <v>22104</v>
      </c>
      <c r="H1669" s="16">
        <v>0.15</v>
      </c>
      <c r="I1669" s="13">
        <v>4</v>
      </c>
      <c r="J1669" s="15">
        <v>106099.2</v>
      </c>
      <c r="K1669" s="15">
        <v>601228.80000000005</v>
      </c>
      <c r="L1669" s="15">
        <v>409704.51909191371</v>
      </c>
      <c r="M1669" s="15">
        <v>191524.28090808631</v>
      </c>
    </row>
    <row r="1670" spans="1:13" x14ac:dyDescent="0.25">
      <c r="A1670" s="12">
        <v>46595</v>
      </c>
      <c r="B1670" s="12" t="s">
        <v>13</v>
      </c>
      <c r="C1670" s="12" t="s">
        <v>20</v>
      </c>
      <c r="D1670" s="12" t="s">
        <v>18</v>
      </c>
      <c r="E1670" s="13">
        <v>21221</v>
      </c>
      <c r="F1670" s="14">
        <v>10</v>
      </c>
      <c r="G1670" s="15">
        <v>24634</v>
      </c>
      <c r="H1670" s="16">
        <v>0.2</v>
      </c>
      <c r="I1670" s="13">
        <v>1</v>
      </c>
      <c r="J1670" s="15">
        <v>49268</v>
      </c>
      <c r="K1670" s="15">
        <v>197072</v>
      </c>
      <c r="L1670" s="15">
        <v>120547.3085135955</v>
      </c>
      <c r="M1670" s="15">
        <v>76524.691486404467</v>
      </c>
    </row>
    <row r="1671" spans="1:13" x14ac:dyDescent="0.25">
      <c r="A1671" s="12">
        <v>46596</v>
      </c>
      <c r="B1671" s="12" t="s">
        <v>16</v>
      </c>
      <c r="C1671" s="12" t="s">
        <v>23</v>
      </c>
      <c r="D1671" s="12" t="s">
        <v>15</v>
      </c>
      <c r="E1671" s="13">
        <v>21211</v>
      </c>
      <c r="F1671" s="14">
        <v>11</v>
      </c>
      <c r="G1671" s="15">
        <v>49569</v>
      </c>
      <c r="H1671" s="16">
        <v>0.1</v>
      </c>
      <c r="I1671" s="13">
        <v>3</v>
      </c>
      <c r="J1671" s="15">
        <v>54525.9</v>
      </c>
      <c r="K1671" s="15">
        <v>490733.1</v>
      </c>
      <c r="L1671" s="15">
        <v>419251.48425750341</v>
      </c>
      <c r="M1671" s="15">
        <v>71481.615742496564</v>
      </c>
    </row>
    <row r="1672" spans="1:13" x14ac:dyDescent="0.25">
      <c r="A1672" s="12">
        <v>46597</v>
      </c>
      <c r="B1672" s="12" t="s">
        <v>24</v>
      </c>
      <c r="C1672" s="12" t="s">
        <v>14</v>
      </c>
      <c r="D1672" s="12" t="s">
        <v>22</v>
      </c>
      <c r="E1672" s="13">
        <v>23569</v>
      </c>
      <c r="F1672" s="14">
        <v>38</v>
      </c>
      <c r="G1672" s="15">
        <v>23702</v>
      </c>
      <c r="H1672" s="16">
        <v>0</v>
      </c>
      <c r="I1672" s="13">
        <v>5</v>
      </c>
      <c r="J1672" s="15">
        <v>0</v>
      </c>
      <c r="K1672" s="15">
        <v>900676</v>
      </c>
      <c r="L1672" s="15">
        <v>773824.81629493064</v>
      </c>
      <c r="M1672" s="15">
        <v>126851.1837050694</v>
      </c>
    </row>
    <row r="1673" spans="1:13" x14ac:dyDescent="0.25">
      <c r="A1673" s="12">
        <v>46598</v>
      </c>
      <c r="B1673" s="12" t="s">
        <v>19</v>
      </c>
      <c r="C1673" s="12" t="s">
        <v>23</v>
      </c>
      <c r="D1673" s="12" t="s">
        <v>18</v>
      </c>
      <c r="E1673" s="13">
        <v>47860</v>
      </c>
      <c r="F1673" s="14">
        <v>6</v>
      </c>
      <c r="G1673" s="15">
        <v>1184</v>
      </c>
      <c r="H1673" s="16">
        <v>0</v>
      </c>
      <c r="I1673" s="13">
        <v>2</v>
      </c>
      <c r="J1673" s="15">
        <v>0</v>
      </c>
      <c r="K1673" s="15">
        <v>7104</v>
      </c>
      <c r="L1673" s="15">
        <v>5533.0876773600166</v>
      </c>
      <c r="M1673" s="15">
        <v>1570.9123226399829</v>
      </c>
    </row>
    <row r="1674" spans="1:13" x14ac:dyDescent="0.25">
      <c r="A1674" s="12">
        <v>46599</v>
      </c>
      <c r="B1674" s="12" t="s">
        <v>16</v>
      </c>
      <c r="C1674" s="12" t="s">
        <v>20</v>
      </c>
      <c r="D1674" s="12" t="s">
        <v>25</v>
      </c>
      <c r="E1674" s="13">
        <v>81558</v>
      </c>
      <c r="F1674" s="14">
        <v>41</v>
      </c>
      <c r="G1674" s="15">
        <v>37501</v>
      </c>
      <c r="H1674" s="16">
        <v>0.1</v>
      </c>
      <c r="I1674" s="13">
        <v>2</v>
      </c>
      <c r="J1674" s="15">
        <v>153754.1</v>
      </c>
      <c r="K1674" s="15">
        <v>1383786.9</v>
      </c>
      <c r="L1674" s="15">
        <v>1068740.312479344</v>
      </c>
      <c r="M1674" s="15">
        <v>315046.58752065588</v>
      </c>
    </row>
    <row r="1675" spans="1:13" x14ac:dyDescent="0.25">
      <c r="A1675" s="12">
        <v>46600</v>
      </c>
      <c r="B1675" s="12" t="s">
        <v>19</v>
      </c>
      <c r="C1675" s="12" t="s">
        <v>21</v>
      </c>
      <c r="D1675" s="12" t="s">
        <v>26</v>
      </c>
      <c r="E1675" s="13">
        <v>55337</v>
      </c>
      <c r="F1675" s="14">
        <v>47</v>
      </c>
      <c r="G1675" s="15">
        <v>46265</v>
      </c>
      <c r="H1675" s="16">
        <v>0.05</v>
      </c>
      <c r="I1675" s="13">
        <v>2</v>
      </c>
      <c r="J1675" s="15">
        <v>108722.75</v>
      </c>
      <c r="K1675" s="15">
        <v>2065732.25</v>
      </c>
      <c r="L1675" s="15">
        <v>1743345.9810848581</v>
      </c>
      <c r="M1675" s="15">
        <v>322386.2689151424</v>
      </c>
    </row>
    <row r="1676" spans="1:13" x14ac:dyDescent="0.25">
      <c r="A1676" s="12">
        <v>46601</v>
      </c>
      <c r="B1676" s="12" t="s">
        <v>19</v>
      </c>
      <c r="C1676" s="12" t="s">
        <v>17</v>
      </c>
      <c r="D1676" s="12" t="s">
        <v>15</v>
      </c>
      <c r="E1676" s="13">
        <v>62311</v>
      </c>
      <c r="F1676" s="14">
        <v>34</v>
      </c>
      <c r="G1676" s="15">
        <v>8507</v>
      </c>
      <c r="H1676" s="16">
        <v>0.1</v>
      </c>
      <c r="I1676" s="13">
        <v>4</v>
      </c>
      <c r="J1676" s="15">
        <v>28923.8</v>
      </c>
      <c r="K1676" s="15">
        <v>260314.2</v>
      </c>
      <c r="L1676" s="15">
        <v>217594.78264984029</v>
      </c>
      <c r="M1676" s="15">
        <v>42719.417350159703</v>
      </c>
    </row>
    <row r="1677" spans="1:13" x14ac:dyDescent="0.25">
      <c r="A1677" s="12">
        <v>46602</v>
      </c>
      <c r="B1677" s="12" t="s">
        <v>19</v>
      </c>
      <c r="C1677" s="12" t="s">
        <v>20</v>
      </c>
      <c r="D1677" s="12" t="s">
        <v>15</v>
      </c>
      <c r="E1677" s="13">
        <v>23515</v>
      </c>
      <c r="F1677" s="14">
        <v>36</v>
      </c>
      <c r="G1677" s="15">
        <v>49879</v>
      </c>
      <c r="H1677" s="16">
        <v>0.1</v>
      </c>
      <c r="I1677" s="13">
        <v>2</v>
      </c>
      <c r="J1677" s="15">
        <v>179564.4</v>
      </c>
      <c r="K1677" s="15">
        <v>1616079.6</v>
      </c>
      <c r="L1677" s="15">
        <v>1401192.149243729</v>
      </c>
      <c r="M1677" s="15">
        <v>214887.45075627111</v>
      </c>
    </row>
    <row r="1678" spans="1:13" x14ac:dyDescent="0.25">
      <c r="A1678" s="12">
        <v>46603</v>
      </c>
      <c r="B1678" s="12" t="s">
        <v>13</v>
      </c>
      <c r="C1678" s="12" t="s">
        <v>21</v>
      </c>
      <c r="D1678" s="12" t="s">
        <v>18</v>
      </c>
      <c r="E1678" s="13">
        <v>81695</v>
      </c>
      <c r="F1678" s="14">
        <v>37</v>
      </c>
      <c r="G1678" s="15">
        <v>35596</v>
      </c>
      <c r="H1678" s="16">
        <v>0.15</v>
      </c>
      <c r="I1678" s="13">
        <v>2</v>
      </c>
      <c r="J1678" s="15">
        <v>197557.8</v>
      </c>
      <c r="K1678" s="15">
        <v>1119494.2</v>
      </c>
      <c r="L1678" s="15">
        <v>857335.78849479405</v>
      </c>
      <c r="M1678" s="15">
        <v>262158.41150520591</v>
      </c>
    </row>
    <row r="1679" spans="1:13" x14ac:dyDescent="0.25">
      <c r="A1679" s="12">
        <v>46604</v>
      </c>
      <c r="B1679" s="12" t="s">
        <v>13</v>
      </c>
      <c r="C1679" s="12" t="s">
        <v>14</v>
      </c>
      <c r="D1679" s="12" t="s">
        <v>22</v>
      </c>
      <c r="E1679" s="13">
        <v>97227</v>
      </c>
      <c r="F1679" s="14">
        <v>17</v>
      </c>
      <c r="G1679" s="15">
        <v>42287</v>
      </c>
      <c r="H1679" s="16">
        <v>0</v>
      </c>
      <c r="I1679" s="13">
        <v>5</v>
      </c>
      <c r="J1679" s="15">
        <v>0</v>
      </c>
      <c r="K1679" s="15">
        <v>718879</v>
      </c>
      <c r="L1679" s="15">
        <v>640013.75231300062</v>
      </c>
      <c r="M1679" s="15">
        <v>78865.247686999384</v>
      </c>
    </row>
    <row r="1680" spans="1:13" x14ac:dyDescent="0.25">
      <c r="A1680" s="12">
        <v>46605</v>
      </c>
      <c r="B1680" s="12" t="s">
        <v>24</v>
      </c>
      <c r="C1680" s="12" t="s">
        <v>23</v>
      </c>
      <c r="D1680" s="12" t="s">
        <v>27</v>
      </c>
      <c r="E1680" s="13">
        <v>34904</v>
      </c>
      <c r="F1680" s="14">
        <v>40</v>
      </c>
      <c r="G1680" s="15">
        <v>9755</v>
      </c>
      <c r="H1680" s="16">
        <v>0</v>
      </c>
      <c r="I1680" s="13">
        <v>3</v>
      </c>
      <c r="J1680" s="15">
        <v>0</v>
      </c>
      <c r="K1680" s="15">
        <v>390200</v>
      </c>
      <c r="L1680" s="15">
        <v>350728.94802905672</v>
      </c>
      <c r="M1680" s="15">
        <v>39471.051970943343</v>
      </c>
    </row>
    <row r="1681" spans="1:13" x14ac:dyDescent="0.25">
      <c r="A1681" s="12">
        <v>46606</v>
      </c>
      <c r="B1681" s="12" t="s">
        <v>24</v>
      </c>
      <c r="C1681" s="12" t="s">
        <v>23</v>
      </c>
      <c r="D1681" s="12" t="s">
        <v>26</v>
      </c>
      <c r="E1681" s="13">
        <v>69935</v>
      </c>
      <c r="F1681" s="14">
        <v>40</v>
      </c>
      <c r="G1681" s="15">
        <v>32762</v>
      </c>
      <c r="H1681" s="16">
        <v>0.2</v>
      </c>
      <c r="I1681" s="13">
        <v>5</v>
      </c>
      <c r="J1681" s="15">
        <v>262096</v>
      </c>
      <c r="K1681" s="15">
        <v>1048384</v>
      </c>
      <c r="L1681" s="15">
        <v>665685.45132264192</v>
      </c>
      <c r="M1681" s="15">
        <v>382698.54867735808</v>
      </c>
    </row>
    <row r="1682" spans="1:13" x14ac:dyDescent="0.25">
      <c r="A1682" s="12">
        <v>46607</v>
      </c>
      <c r="B1682" s="12" t="s">
        <v>16</v>
      </c>
      <c r="C1682" s="12" t="s">
        <v>23</v>
      </c>
      <c r="D1682" s="12" t="s">
        <v>15</v>
      </c>
      <c r="E1682" s="13">
        <v>53790</v>
      </c>
      <c r="F1682" s="14">
        <v>12</v>
      </c>
      <c r="G1682" s="15">
        <v>18593</v>
      </c>
      <c r="H1682" s="16">
        <v>0.1</v>
      </c>
      <c r="I1682" s="13">
        <v>4</v>
      </c>
      <c r="J1682" s="15">
        <v>22311.599999999999</v>
      </c>
      <c r="K1682" s="15">
        <v>200804.4</v>
      </c>
      <c r="L1682" s="15">
        <v>171660.27747330291</v>
      </c>
      <c r="M1682" s="15">
        <v>29144.122526697061</v>
      </c>
    </row>
    <row r="1683" spans="1:13" x14ac:dyDescent="0.25">
      <c r="A1683" s="12">
        <v>46608</v>
      </c>
      <c r="B1683" s="12" t="s">
        <v>24</v>
      </c>
      <c r="C1683" s="12" t="s">
        <v>14</v>
      </c>
      <c r="D1683" s="12" t="s">
        <v>22</v>
      </c>
      <c r="E1683" s="13">
        <v>78580</v>
      </c>
      <c r="F1683" s="14">
        <v>21</v>
      </c>
      <c r="G1683" s="15">
        <v>6282</v>
      </c>
      <c r="H1683" s="16">
        <v>0.1</v>
      </c>
      <c r="I1683" s="13">
        <v>2</v>
      </c>
      <c r="J1683" s="15">
        <v>13192.2</v>
      </c>
      <c r="K1683" s="15">
        <v>118729.8</v>
      </c>
      <c r="L1683" s="15">
        <v>89041.019009411524</v>
      </c>
      <c r="M1683" s="15">
        <v>29688.780990588479</v>
      </c>
    </row>
    <row r="1684" spans="1:13" x14ac:dyDescent="0.25">
      <c r="A1684" s="12">
        <v>46609</v>
      </c>
      <c r="B1684" s="12" t="s">
        <v>19</v>
      </c>
      <c r="C1684" s="12" t="s">
        <v>21</v>
      </c>
      <c r="D1684" s="12" t="s">
        <v>25</v>
      </c>
      <c r="E1684" s="13">
        <v>85148</v>
      </c>
      <c r="F1684" s="14">
        <v>40</v>
      </c>
      <c r="G1684" s="15">
        <v>1734</v>
      </c>
      <c r="H1684" s="16">
        <v>0.05</v>
      </c>
      <c r="I1684" s="13">
        <v>3</v>
      </c>
      <c r="J1684" s="15">
        <v>3468</v>
      </c>
      <c r="K1684" s="15">
        <v>65892</v>
      </c>
      <c r="L1684" s="15">
        <v>47196.456348975757</v>
      </c>
      <c r="M1684" s="15">
        <v>18695.54365102424</v>
      </c>
    </row>
    <row r="1685" spans="1:13" x14ac:dyDescent="0.25">
      <c r="A1685" s="12">
        <v>46610</v>
      </c>
      <c r="B1685" s="12" t="s">
        <v>19</v>
      </c>
      <c r="C1685" s="12" t="s">
        <v>14</v>
      </c>
      <c r="D1685" s="12" t="s">
        <v>15</v>
      </c>
      <c r="E1685" s="13">
        <v>15636</v>
      </c>
      <c r="F1685" s="14">
        <v>19</v>
      </c>
      <c r="G1685" s="15">
        <v>38473</v>
      </c>
      <c r="H1685" s="16">
        <v>0</v>
      </c>
      <c r="I1685" s="13">
        <v>2</v>
      </c>
      <c r="J1685" s="15">
        <v>0</v>
      </c>
      <c r="K1685" s="15">
        <v>730987</v>
      </c>
      <c r="L1685" s="15">
        <v>573036.56657527084</v>
      </c>
      <c r="M1685" s="15">
        <v>157950.43342472921</v>
      </c>
    </row>
    <row r="1686" spans="1:13" x14ac:dyDescent="0.25">
      <c r="A1686" s="12">
        <v>46611</v>
      </c>
      <c r="B1686" s="12" t="s">
        <v>13</v>
      </c>
      <c r="C1686" s="12" t="s">
        <v>23</v>
      </c>
      <c r="D1686" s="12" t="s">
        <v>22</v>
      </c>
      <c r="E1686" s="13">
        <v>87129</v>
      </c>
      <c r="F1686" s="14">
        <v>3</v>
      </c>
      <c r="G1686" s="15">
        <v>34688</v>
      </c>
      <c r="H1686" s="16">
        <v>0.05</v>
      </c>
      <c r="I1686" s="13">
        <v>2</v>
      </c>
      <c r="J1686" s="15">
        <v>5203.2000000000007</v>
      </c>
      <c r="K1686" s="15">
        <v>98860.800000000003</v>
      </c>
      <c r="L1686" s="15">
        <v>60976.319929010337</v>
      </c>
      <c r="M1686" s="15">
        <v>37884.480070989659</v>
      </c>
    </row>
    <row r="1687" spans="1:13" x14ac:dyDescent="0.25">
      <c r="A1687" s="12">
        <v>46612</v>
      </c>
      <c r="B1687" s="12" t="s">
        <v>19</v>
      </c>
      <c r="C1687" s="12" t="s">
        <v>20</v>
      </c>
      <c r="D1687" s="12" t="s">
        <v>27</v>
      </c>
      <c r="E1687" s="13">
        <v>12892</v>
      </c>
      <c r="F1687" s="14">
        <v>18</v>
      </c>
      <c r="G1687" s="15">
        <v>32496</v>
      </c>
      <c r="H1687" s="16">
        <v>0.15</v>
      </c>
      <c r="I1687" s="13">
        <v>4</v>
      </c>
      <c r="J1687" s="15">
        <v>87739.199999999997</v>
      </c>
      <c r="K1687" s="15">
        <v>497188.8</v>
      </c>
      <c r="L1687" s="15">
        <v>373855.31876593851</v>
      </c>
      <c r="M1687" s="15">
        <v>123333.4812340615</v>
      </c>
    </row>
    <row r="1688" spans="1:13" x14ac:dyDescent="0.25">
      <c r="A1688" s="12">
        <v>46613</v>
      </c>
      <c r="B1688" s="12" t="s">
        <v>16</v>
      </c>
      <c r="C1688" s="12" t="s">
        <v>17</v>
      </c>
      <c r="D1688" s="12" t="s">
        <v>27</v>
      </c>
      <c r="E1688" s="13">
        <v>31672</v>
      </c>
      <c r="F1688" s="14">
        <v>19</v>
      </c>
      <c r="G1688" s="15">
        <v>29704</v>
      </c>
      <c r="H1688" s="16">
        <v>0.2</v>
      </c>
      <c r="I1688" s="13">
        <v>2</v>
      </c>
      <c r="J1688" s="15">
        <v>112875.2</v>
      </c>
      <c r="K1688" s="15">
        <v>451500.79999999999</v>
      </c>
      <c r="L1688" s="15">
        <v>388862.81672384881</v>
      </c>
      <c r="M1688" s="15">
        <v>62637.983276151179</v>
      </c>
    </row>
    <row r="1689" spans="1:13" x14ac:dyDescent="0.25">
      <c r="A1689" s="12">
        <v>46614</v>
      </c>
      <c r="B1689" s="12" t="s">
        <v>19</v>
      </c>
      <c r="C1689" s="12" t="s">
        <v>14</v>
      </c>
      <c r="D1689" s="12" t="s">
        <v>15</v>
      </c>
      <c r="E1689" s="13">
        <v>15812</v>
      </c>
      <c r="F1689" s="14">
        <v>47</v>
      </c>
      <c r="G1689" s="15">
        <v>17652</v>
      </c>
      <c r="H1689" s="16">
        <v>0.05</v>
      </c>
      <c r="I1689" s="13">
        <v>1</v>
      </c>
      <c r="J1689" s="15">
        <v>41482.199999999997</v>
      </c>
      <c r="K1689" s="15">
        <v>788161.8</v>
      </c>
      <c r="L1689" s="15">
        <v>523369.74383724568</v>
      </c>
      <c r="M1689" s="15">
        <v>264792.05616275442</v>
      </c>
    </row>
    <row r="1690" spans="1:13" x14ac:dyDescent="0.25">
      <c r="A1690" s="12">
        <v>46615</v>
      </c>
      <c r="B1690" s="12" t="s">
        <v>19</v>
      </c>
      <c r="C1690" s="12" t="s">
        <v>14</v>
      </c>
      <c r="D1690" s="12" t="s">
        <v>15</v>
      </c>
      <c r="E1690" s="13">
        <v>10654</v>
      </c>
      <c r="F1690" s="14">
        <v>6</v>
      </c>
      <c r="G1690" s="15">
        <v>42864</v>
      </c>
      <c r="H1690" s="16">
        <v>0</v>
      </c>
      <c r="I1690" s="13">
        <v>3</v>
      </c>
      <c r="J1690" s="15">
        <v>0</v>
      </c>
      <c r="K1690" s="15">
        <v>257184</v>
      </c>
      <c r="L1690" s="15">
        <v>187208.59760891399</v>
      </c>
      <c r="M1690" s="15">
        <v>69975.402391086041</v>
      </c>
    </row>
    <row r="1691" spans="1:13" x14ac:dyDescent="0.25">
      <c r="A1691" s="12">
        <v>46616</v>
      </c>
      <c r="B1691" s="12" t="s">
        <v>16</v>
      </c>
      <c r="C1691" s="12" t="s">
        <v>21</v>
      </c>
      <c r="D1691" s="12" t="s">
        <v>18</v>
      </c>
      <c r="E1691" s="13">
        <v>64633</v>
      </c>
      <c r="F1691" s="14">
        <v>16</v>
      </c>
      <c r="G1691" s="15">
        <v>25519</v>
      </c>
      <c r="H1691" s="16">
        <v>0.15</v>
      </c>
      <c r="I1691" s="13">
        <v>3</v>
      </c>
      <c r="J1691" s="15">
        <v>61245.599999999999</v>
      </c>
      <c r="K1691" s="15">
        <v>347058.4</v>
      </c>
      <c r="L1691" s="15">
        <v>306051.46011627128</v>
      </c>
      <c r="M1691" s="15">
        <v>41006.939883728694</v>
      </c>
    </row>
    <row r="1692" spans="1:13" x14ac:dyDescent="0.25">
      <c r="A1692" s="12">
        <v>46617</v>
      </c>
      <c r="B1692" s="12" t="s">
        <v>24</v>
      </c>
      <c r="C1692" s="12" t="s">
        <v>21</v>
      </c>
      <c r="D1692" s="12" t="s">
        <v>26</v>
      </c>
      <c r="E1692" s="13">
        <v>27143</v>
      </c>
      <c r="F1692" s="14">
        <v>8</v>
      </c>
      <c r="G1692" s="15">
        <v>19988</v>
      </c>
      <c r="H1692" s="16">
        <v>0.1</v>
      </c>
      <c r="I1692" s="13">
        <v>1</v>
      </c>
      <c r="J1692" s="15">
        <v>15990.4</v>
      </c>
      <c r="K1692" s="15">
        <v>143913.60000000001</v>
      </c>
      <c r="L1692" s="15">
        <v>104851.0094185302</v>
      </c>
      <c r="M1692" s="15">
        <v>39062.590581469813</v>
      </c>
    </row>
    <row r="1693" spans="1:13" x14ac:dyDescent="0.25">
      <c r="A1693" s="12">
        <v>46618</v>
      </c>
      <c r="B1693" s="12" t="s">
        <v>24</v>
      </c>
      <c r="C1693" s="12" t="s">
        <v>14</v>
      </c>
      <c r="D1693" s="12" t="s">
        <v>22</v>
      </c>
      <c r="E1693" s="13">
        <v>65934</v>
      </c>
      <c r="F1693" s="14">
        <v>48</v>
      </c>
      <c r="G1693" s="15">
        <v>37623</v>
      </c>
      <c r="H1693" s="16">
        <v>0.15</v>
      </c>
      <c r="I1693" s="13">
        <v>4</v>
      </c>
      <c r="J1693" s="15">
        <v>270885.59999999998</v>
      </c>
      <c r="K1693" s="15">
        <v>1535018.4</v>
      </c>
      <c r="L1693" s="15">
        <v>1086041.3128784001</v>
      </c>
      <c r="M1693" s="15">
        <v>448977.08712160011</v>
      </c>
    </row>
    <row r="1694" spans="1:13" x14ac:dyDescent="0.25">
      <c r="A1694" s="12">
        <v>46619</v>
      </c>
      <c r="B1694" s="12" t="s">
        <v>16</v>
      </c>
      <c r="C1694" s="12" t="s">
        <v>23</v>
      </c>
      <c r="D1694" s="12" t="s">
        <v>15</v>
      </c>
      <c r="E1694" s="13">
        <v>77334</v>
      </c>
      <c r="F1694" s="14">
        <v>18</v>
      </c>
      <c r="G1694" s="15">
        <v>20189</v>
      </c>
      <c r="H1694" s="16">
        <v>0.05</v>
      </c>
      <c r="I1694" s="13">
        <v>2</v>
      </c>
      <c r="J1694" s="15">
        <v>18170.099999999999</v>
      </c>
      <c r="K1694" s="15">
        <v>345231.9</v>
      </c>
      <c r="L1694" s="15">
        <v>252765.33121537961</v>
      </c>
      <c r="M1694" s="15">
        <v>92466.568784620438</v>
      </c>
    </row>
    <row r="1695" spans="1:13" x14ac:dyDescent="0.25">
      <c r="A1695" s="12">
        <v>46620</v>
      </c>
      <c r="B1695" s="12" t="s">
        <v>13</v>
      </c>
      <c r="C1695" s="12" t="s">
        <v>17</v>
      </c>
      <c r="D1695" s="12" t="s">
        <v>26</v>
      </c>
      <c r="E1695" s="13">
        <v>39087</v>
      </c>
      <c r="F1695" s="14">
        <v>48</v>
      </c>
      <c r="G1695" s="15">
        <v>29006</v>
      </c>
      <c r="H1695" s="16">
        <v>0</v>
      </c>
      <c r="I1695" s="13">
        <v>2</v>
      </c>
      <c r="J1695" s="15">
        <v>0</v>
      </c>
      <c r="K1695" s="15">
        <v>1392288</v>
      </c>
      <c r="L1695" s="15">
        <v>1052341.1560167591</v>
      </c>
      <c r="M1695" s="15">
        <v>339946.84398324142</v>
      </c>
    </row>
    <row r="1696" spans="1:13" x14ac:dyDescent="0.25">
      <c r="A1696" s="12">
        <v>46621</v>
      </c>
      <c r="B1696" s="12" t="s">
        <v>19</v>
      </c>
      <c r="C1696" s="12" t="s">
        <v>21</v>
      </c>
      <c r="D1696" s="12" t="s">
        <v>18</v>
      </c>
      <c r="E1696" s="13">
        <v>21618</v>
      </c>
      <c r="F1696" s="14">
        <v>43</v>
      </c>
      <c r="G1696" s="15">
        <v>18215</v>
      </c>
      <c r="H1696" s="16">
        <v>0.05</v>
      </c>
      <c r="I1696" s="13">
        <v>3</v>
      </c>
      <c r="J1696" s="15">
        <v>39162.25</v>
      </c>
      <c r="K1696" s="15">
        <v>744082.75</v>
      </c>
      <c r="L1696" s="15">
        <v>587525.80719526182</v>
      </c>
      <c r="M1696" s="15">
        <v>156556.94280473821</v>
      </c>
    </row>
    <row r="1697" spans="1:13" x14ac:dyDescent="0.25">
      <c r="A1697" s="12">
        <v>46622</v>
      </c>
      <c r="B1697" s="12" t="s">
        <v>16</v>
      </c>
      <c r="C1697" s="12" t="s">
        <v>23</v>
      </c>
      <c r="D1697" s="12" t="s">
        <v>26</v>
      </c>
      <c r="E1697" s="13">
        <v>18446</v>
      </c>
      <c r="F1697" s="14">
        <v>39</v>
      </c>
      <c r="G1697" s="15">
        <v>41529</v>
      </c>
      <c r="H1697" s="16">
        <v>0.1</v>
      </c>
      <c r="I1697" s="13">
        <v>4</v>
      </c>
      <c r="J1697" s="15">
        <v>161963.1</v>
      </c>
      <c r="K1697" s="15">
        <v>1457667.9</v>
      </c>
      <c r="L1697" s="15">
        <v>1224743.998097223</v>
      </c>
      <c r="M1697" s="15">
        <v>232923.90190277711</v>
      </c>
    </row>
    <row r="1698" spans="1:13" x14ac:dyDescent="0.25">
      <c r="A1698" s="12">
        <v>46623</v>
      </c>
      <c r="B1698" s="12" t="s">
        <v>19</v>
      </c>
      <c r="C1698" s="12" t="s">
        <v>20</v>
      </c>
      <c r="D1698" s="12" t="s">
        <v>15</v>
      </c>
      <c r="E1698" s="13">
        <v>97182</v>
      </c>
      <c r="F1698" s="14">
        <v>49</v>
      </c>
      <c r="G1698" s="15">
        <v>14265</v>
      </c>
      <c r="H1698" s="16">
        <v>0.1</v>
      </c>
      <c r="I1698" s="13">
        <v>4</v>
      </c>
      <c r="J1698" s="15">
        <v>69898.5</v>
      </c>
      <c r="K1698" s="15">
        <v>629086.5</v>
      </c>
      <c r="L1698" s="15">
        <v>462775.31827996572</v>
      </c>
      <c r="M1698" s="15">
        <v>166311.18172003431</v>
      </c>
    </row>
    <row r="1699" spans="1:13" x14ac:dyDescent="0.25">
      <c r="A1699" s="12">
        <v>46624</v>
      </c>
      <c r="B1699" s="12" t="s">
        <v>13</v>
      </c>
      <c r="C1699" s="12" t="s">
        <v>21</v>
      </c>
      <c r="D1699" s="12" t="s">
        <v>27</v>
      </c>
      <c r="E1699" s="13">
        <v>58867</v>
      </c>
      <c r="F1699" s="14">
        <v>49</v>
      </c>
      <c r="G1699" s="15">
        <v>22442</v>
      </c>
      <c r="H1699" s="16">
        <v>0</v>
      </c>
      <c r="I1699" s="13">
        <v>4</v>
      </c>
      <c r="J1699" s="15">
        <v>0</v>
      </c>
      <c r="K1699" s="15">
        <v>1099658</v>
      </c>
      <c r="L1699" s="15">
        <v>929479.6350358061</v>
      </c>
      <c r="M1699" s="15">
        <v>170178.3649641939</v>
      </c>
    </row>
    <row r="1700" spans="1:13" x14ac:dyDescent="0.25">
      <c r="A1700" s="12">
        <v>46625</v>
      </c>
      <c r="B1700" s="12" t="s">
        <v>19</v>
      </c>
      <c r="C1700" s="12" t="s">
        <v>23</v>
      </c>
      <c r="D1700" s="12" t="s">
        <v>22</v>
      </c>
      <c r="E1700" s="13">
        <v>61028</v>
      </c>
      <c r="F1700" s="14">
        <v>12</v>
      </c>
      <c r="G1700" s="15">
        <v>39212</v>
      </c>
      <c r="H1700" s="16">
        <v>0.2</v>
      </c>
      <c r="I1700" s="13">
        <v>2</v>
      </c>
      <c r="J1700" s="15">
        <v>94108.800000000003</v>
      </c>
      <c r="K1700" s="15">
        <v>376435.20000000001</v>
      </c>
      <c r="L1700" s="15">
        <v>286134.4931700608</v>
      </c>
      <c r="M1700" s="15">
        <v>90300.706829939212</v>
      </c>
    </row>
    <row r="1701" spans="1:13" x14ac:dyDescent="0.25">
      <c r="A1701" s="12">
        <v>46626</v>
      </c>
      <c r="B1701" s="12" t="s">
        <v>16</v>
      </c>
      <c r="C1701" s="12" t="s">
        <v>23</v>
      </c>
      <c r="D1701" s="12" t="s">
        <v>22</v>
      </c>
      <c r="E1701" s="13">
        <v>70101</v>
      </c>
      <c r="F1701" s="14">
        <v>45</v>
      </c>
      <c r="G1701" s="15">
        <v>40394</v>
      </c>
      <c r="H1701" s="16">
        <v>0.15</v>
      </c>
      <c r="I1701" s="13">
        <v>4</v>
      </c>
      <c r="J1701" s="15">
        <v>272659.5</v>
      </c>
      <c r="K1701" s="15">
        <v>1545070.5</v>
      </c>
      <c r="L1701" s="15">
        <v>1083935.175418352</v>
      </c>
      <c r="M1701" s="15">
        <v>461135.32458164799</v>
      </c>
    </row>
    <row r="1702" spans="1:13" x14ac:dyDescent="0.25">
      <c r="A1702" s="12">
        <v>46627</v>
      </c>
      <c r="B1702" s="12" t="s">
        <v>19</v>
      </c>
      <c r="C1702" s="12" t="s">
        <v>17</v>
      </c>
      <c r="D1702" s="12" t="s">
        <v>27</v>
      </c>
      <c r="E1702" s="13">
        <v>37200</v>
      </c>
      <c r="F1702" s="14">
        <v>10</v>
      </c>
      <c r="G1702" s="15">
        <v>38531</v>
      </c>
      <c r="H1702" s="16">
        <v>0.15</v>
      </c>
      <c r="I1702" s="13">
        <v>1</v>
      </c>
      <c r="J1702" s="15">
        <v>57796.5</v>
      </c>
      <c r="K1702" s="15">
        <v>327513.5</v>
      </c>
      <c r="L1702" s="15">
        <v>261154.4335635863</v>
      </c>
      <c r="M1702" s="15">
        <v>66359.066436413676</v>
      </c>
    </row>
    <row r="1703" spans="1:13" x14ac:dyDescent="0.25">
      <c r="A1703" s="12">
        <v>46628</v>
      </c>
      <c r="B1703" s="12" t="s">
        <v>24</v>
      </c>
      <c r="C1703" s="12" t="s">
        <v>17</v>
      </c>
      <c r="D1703" s="12" t="s">
        <v>15</v>
      </c>
      <c r="E1703" s="13">
        <v>98074</v>
      </c>
      <c r="F1703" s="14">
        <v>7</v>
      </c>
      <c r="G1703" s="15">
        <v>20978</v>
      </c>
      <c r="H1703" s="16">
        <v>0.1</v>
      </c>
      <c r="I1703" s="13">
        <v>5</v>
      </c>
      <c r="J1703" s="15">
        <v>14684.6</v>
      </c>
      <c r="K1703" s="15">
        <v>132161.4</v>
      </c>
      <c r="L1703" s="15">
        <v>107753.39339941691</v>
      </c>
      <c r="M1703" s="15">
        <v>24408.006600583059</v>
      </c>
    </row>
    <row r="1704" spans="1:13" x14ac:dyDescent="0.25">
      <c r="A1704" s="12">
        <v>46629</v>
      </c>
      <c r="B1704" s="12" t="s">
        <v>13</v>
      </c>
      <c r="C1704" s="12" t="s">
        <v>20</v>
      </c>
      <c r="D1704" s="12" t="s">
        <v>22</v>
      </c>
      <c r="E1704" s="13">
        <v>71465</v>
      </c>
      <c r="F1704" s="14">
        <v>46</v>
      </c>
      <c r="G1704" s="15">
        <v>23051</v>
      </c>
      <c r="H1704" s="16">
        <v>0.05</v>
      </c>
      <c r="I1704" s="13">
        <v>4</v>
      </c>
      <c r="J1704" s="15">
        <v>53017.3</v>
      </c>
      <c r="K1704" s="15">
        <v>1007328.7</v>
      </c>
      <c r="L1704" s="15">
        <v>773038.84474715509</v>
      </c>
      <c r="M1704" s="15">
        <v>234289.85525284489</v>
      </c>
    </row>
    <row r="1705" spans="1:13" x14ac:dyDescent="0.25">
      <c r="A1705" s="12">
        <v>46630</v>
      </c>
      <c r="B1705" s="12" t="s">
        <v>13</v>
      </c>
      <c r="C1705" s="12" t="s">
        <v>23</v>
      </c>
      <c r="D1705" s="12" t="s">
        <v>15</v>
      </c>
      <c r="E1705" s="13">
        <v>96436</v>
      </c>
      <c r="F1705" s="14">
        <v>1</v>
      </c>
      <c r="G1705" s="15">
        <v>48568</v>
      </c>
      <c r="H1705" s="16">
        <v>0.05</v>
      </c>
      <c r="I1705" s="13">
        <v>5</v>
      </c>
      <c r="J1705" s="15">
        <v>2428.4</v>
      </c>
      <c r="K1705" s="15">
        <v>46139.6</v>
      </c>
      <c r="L1705" s="15">
        <v>28467.417664334069</v>
      </c>
      <c r="M1705" s="15">
        <v>17672.18233566593</v>
      </c>
    </row>
    <row r="1706" spans="1:13" x14ac:dyDescent="0.25">
      <c r="A1706" s="12">
        <v>46631</v>
      </c>
      <c r="B1706" s="12" t="s">
        <v>13</v>
      </c>
      <c r="C1706" s="12" t="s">
        <v>23</v>
      </c>
      <c r="D1706" s="12" t="s">
        <v>18</v>
      </c>
      <c r="E1706" s="13">
        <v>97892</v>
      </c>
      <c r="F1706" s="14">
        <v>49</v>
      </c>
      <c r="G1706" s="15">
        <v>28572</v>
      </c>
      <c r="H1706" s="16">
        <v>0.2</v>
      </c>
      <c r="I1706" s="13">
        <v>2</v>
      </c>
      <c r="J1706" s="15">
        <v>280005.59999999998</v>
      </c>
      <c r="K1706" s="15">
        <v>1120022.3999999999</v>
      </c>
      <c r="L1706" s="15">
        <v>729095.22766695824</v>
      </c>
      <c r="M1706" s="15">
        <v>390927.17233304167</v>
      </c>
    </row>
    <row r="1707" spans="1:13" x14ac:dyDescent="0.25">
      <c r="A1707" s="12">
        <v>46632</v>
      </c>
      <c r="B1707" s="12" t="s">
        <v>16</v>
      </c>
      <c r="C1707" s="12" t="s">
        <v>17</v>
      </c>
      <c r="D1707" s="12" t="s">
        <v>15</v>
      </c>
      <c r="E1707" s="13">
        <v>98559</v>
      </c>
      <c r="F1707" s="14">
        <v>36</v>
      </c>
      <c r="G1707" s="15">
        <v>36061</v>
      </c>
      <c r="H1707" s="16">
        <v>0.05</v>
      </c>
      <c r="I1707" s="13">
        <v>4</v>
      </c>
      <c r="J1707" s="15">
        <v>64909.8</v>
      </c>
      <c r="K1707" s="15">
        <v>1233286.2</v>
      </c>
      <c r="L1707" s="15">
        <v>845527.84261961095</v>
      </c>
      <c r="M1707" s="15">
        <v>387758.357380389</v>
      </c>
    </row>
    <row r="1708" spans="1:13" x14ac:dyDescent="0.25">
      <c r="A1708" s="12">
        <v>46633</v>
      </c>
      <c r="B1708" s="12" t="s">
        <v>13</v>
      </c>
      <c r="C1708" s="12" t="s">
        <v>21</v>
      </c>
      <c r="D1708" s="12" t="s">
        <v>26</v>
      </c>
      <c r="E1708" s="13">
        <v>49148</v>
      </c>
      <c r="F1708" s="14">
        <v>21</v>
      </c>
      <c r="G1708" s="15">
        <v>3392</v>
      </c>
      <c r="H1708" s="16">
        <v>0.15</v>
      </c>
      <c r="I1708" s="13">
        <v>3</v>
      </c>
      <c r="J1708" s="15">
        <v>10684.8</v>
      </c>
      <c r="K1708" s="15">
        <v>60547.199999999997</v>
      </c>
      <c r="L1708" s="15">
        <v>41461.976726599867</v>
      </c>
      <c r="M1708" s="15">
        <v>19085.22327340013</v>
      </c>
    </row>
    <row r="1709" spans="1:13" x14ac:dyDescent="0.25">
      <c r="A1709" s="12">
        <v>46634</v>
      </c>
      <c r="B1709" s="12" t="s">
        <v>24</v>
      </c>
      <c r="C1709" s="12" t="s">
        <v>21</v>
      </c>
      <c r="D1709" s="12" t="s">
        <v>27</v>
      </c>
      <c r="E1709" s="13">
        <v>92928</v>
      </c>
      <c r="F1709" s="14">
        <v>37</v>
      </c>
      <c r="G1709" s="15">
        <v>34466</v>
      </c>
      <c r="H1709" s="16">
        <v>0.05</v>
      </c>
      <c r="I1709" s="13">
        <v>2</v>
      </c>
      <c r="J1709" s="15">
        <v>63762.100000000013</v>
      </c>
      <c r="K1709" s="15">
        <v>1211479.8999999999</v>
      </c>
      <c r="L1709" s="15">
        <v>971638.66912229953</v>
      </c>
      <c r="M1709" s="15">
        <v>239841.23087770041</v>
      </c>
    </row>
    <row r="1710" spans="1:13" x14ac:dyDescent="0.25">
      <c r="A1710" s="12">
        <v>46635</v>
      </c>
      <c r="B1710" s="12" t="s">
        <v>16</v>
      </c>
      <c r="C1710" s="12" t="s">
        <v>14</v>
      </c>
      <c r="D1710" s="12" t="s">
        <v>15</v>
      </c>
      <c r="E1710" s="13">
        <v>30698</v>
      </c>
      <c r="F1710" s="14">
        <v>24</v>
      </c>
      <c r="G1710" s="15">
        <v>24895</v>
      </c>
      <c r="H1710" s="16">
        <v>0.2</v>
      </c>
      <c r="I1710" s="13">
        <v>1</v>
      </c>
      <c r="J1710" s="15">
        <v>119496</v>
      </c>
      <c r="K1710" s="15">
        <v>477984</v>
      </c>
      <c r="L1710" s="15">
        <v>289421.51001042279</v>
      </c>
      <c r="M1710" s="15">
        <v>188562.48998957721</v>
      </c>
    </row>
    <row r="1711" spans="1:13" x14ac:dyDescent="0.25">
      <c r="A1711" s="12">
        <v>46636</v>
      </c>
      <c r="B1711" s="12" t="s">
        <v>24</v>
      </c>
      <c r="C1711" s="12" t="s">
        <v>17</v>
      </c>
      <c r="D1711" s="12" t="s">
        <v>18</v>
      </c>
      <c r="E1711" s="13">
        <v>52470</v>
      </c>
      <c r="F1711" s="14">
        <v>25</v>
      </c>
      <c r="G1711" s="15">
        <v>19256</v>
      </c>
      <c r="H1711" s="16">
        <v>0.15</v>
      </c>
      <c r="I1711" s="13">
        <v>1</v>
      </c>
      <c r="J1711" s="15">
        <v>72210</v>
      </c>
      <c r="K1711" s="15">
        <v>409190</v>
      </c>
      <c r="L1711" s="15">
        <v>338279.22790526791</v>
      </c>
      <c r="M1711" s="15">
        <v>70910.772094732092</v>
      </c>
    </row>
    <row r="1712" spans="1:13" x14ac:dyDescent="0.25">
      <c r="A1712" s="12">
        <v>46637</v>
      </c>
      <c r="B1712" s="12" t="s">
        <v>19</v>
      </c>
      <c r="C1712" s="12" t="s">
        <v>14</v>
      </c>
      <c r="D1712" s="12" t="s">
        <v>25</v>
      </c>
      <c r="E1712" s="13">
        <v>61660</v>
      </c>
      <c r="F1712" s="14">
        <v>7</v>
      </c>
      <c r="G1712" s="15">
        <v>22674</v>
      </c>
      <c r="H1712" s="16">
        <v>0.05</v>
      </c>
      <c r="I1712" s="13">
        <v>5</v>
      </c>
      <c r="J1712" s="15">
        <v>7935.9000000000005</v>
      </c>
      <c r="K1712" s="15">
        <v>150782.1</v>
      </c>
      <c r="L1712" s="15">
        <v>102471.92867117591</v>
      </c>
      <c r="M1712" s="15">
        <v>48310.171328824057</v>
      </c>
    </row>
    <row r="1713" spans="1:13" x14ac:dyDescent="0.25">
      <c r="A1713" s="12">
        <v>46638</v>
      </c>
      <c r="B1713" s="12" t="s">
        <v>19</v>
      </c>
      <c r="C1713" s="12" t="s">
        <v>17</v>
      </c>
      <c r="D1713" s="12" t="s">
        <v>27</v>
      </c>
      <c r="E1713" s="13">
        <v>63910</v>
      </c>
      <c r="F1713" s="14">
        <v>42</v>
      </c>
      <c r="G1713" s="15">
        <v>35151</v>
      </c>
      <c r="H1713" s="16">
        <v>0.15</v>
      </c>
      <c r="I1713" s="13">
        <v>5</v>
      </c>
      <c r="J1713" s="15">
        <v>221451.3</v>
      </c>
      <c r="K1713" s="15">
        <v>1254890.7</v>
      </c>
      <c r="L1713" s="15">
        <v>869647.47948402504</v>
      </c>
      <c r="M1713" s="15">
        <v>385243.22051597491</v>
      </c>
    </row>
    <row r="1714" spans="1:13" x14ac:dyDescent="0.25">
      <c r="A1714" s="12">
        <v>46639</v>
      </c>
      <c r="B1714" s="12" t="s">
        <v>19</v>
      </c>
      <c r="C1714" s="12" t="s">
        <v>20</v>
      </c>
      <c r="D1714" s="12" t="s">
        <v>22</v>
      </c>
      <c r="E1714" s="13">
        <v>45450</v>
      </c>
      <c r="F1714" s="14">
        <v>17</v>
      </c>
      <c r="G1714" s="15">
        <v>1297</v>
      </c>
      <c r="H1714" s="16">
        <v>0.1</v>
      </c>
      <c r="I1714" s="13">
        <v>3</v>
      </c>
      <c r="J1714" s="15">
        <v>2204.9</v>
      </c>
      <c r="K1714" s="15">
        <v>19844.099999999999</v>
      </c>
      <c r="L1714" s="15">
        <v>15049.22862501061</v>
      </c>
      <c r="M1714" s="15">
        <v>4794.8713749893923</v>
      </c>
    </row>
    <row r="1715" spans="1:13" x14ac:dyDescent="0.25">
      <c r="A1715" s="12">
        <v>46640</v>
      </c>
      <c r="B1715" s="12" t="s">
        <v>19</v>
      </c>
      <c r="C1715" s="12" t="s">
        <v>23</v>
      </c>
      <c r="D1715" s="12" t="s">
        <v>26</v>
      </c>
      <c r="E1715" s="13">
        <v>66463</v>
      </c>
      <c r="F1715" s="14">
        <v>29</v>
      </c>
      <c r="G1715" s="15">
        <v>8709</v>
      </c>
      <c r="H1715" s="16">
        <v>0.1</v>
      </c>
      <c r="I1715" s="13">
        <v>3</v>
      </c>
      <c r="J1715" s="15">
        <v>25256.1</v>
      </c>
      <c r="K1715" s="15">
        <v>227304.9</v>
      </c>
      <c r="L1715" s="15">
        <v>151107.22413866091</v>
      </c>
      <c r="M1715" s="15">
        <v>76197.675861339114</v>
      </c>
    </row>
    <row r="1716" spans="1:13" x14ac:dyDescent="0.25">
      <c r="A1716" s="12">
        <v>46641</v>
      </c>
      <c r="B1716" s="12" t="s">
        <v>24</v>
      </c>
      <c r="C1716" s="12" t="s">
        <v>20</v>
      </c>
      <c r="D1716" s="12" t="s">
        <v>22</v>
      </c>
      <c r="E1716" s="13">
        <v>43757</v>
      </c>
      <c r="F1716" s="14">
        <v>30</v>
      </c>
      <c r="G1716" s="15">
        <v>41503</v>
      </c>
      <c r="H1716" s="16">
        <v>0.1</v>
      </c>
      <c r="I1716" s="13">
        <v>1</v>
      </c>
      <c r="J1716" s="15">
        <v>124509</v>
      </c>
      <c r="K1716" s="15">
        <v>1120581</v>
      </c>
      <c r="L1716" s="15">
        <v>969685.12471133354</v>
      </c>
      <c r="M1716" s="15">
        <v>150895.87528866649</v>
      </c>
    </row>
    <row r="1717" spans="1:13" x14ac:dyDescent="0.25">
      <c r="A1717" s="12">
        <v>46642</v>
      </c>
      <c r="B1717" s="12" t="s">
        <v>16</v>
      </c>
      <c r="C1717" s="12" t="s">
        <v>17</v>
      </c>
      <c r="D1717" s="12" t="s">
        <v>18</v>
      </c>
      <c r="E1717" s="13">
        <v>88012</v>
      </c>
      <c r="F1717" s="14">
        <v>7</v>
      </c>
      <c r="G1717" s="15">
        <v>49806</v>
      </c>
      <c r="H1717" s="16">
        <v>0.05</v>
      </c>
      <c r="I1717" s="13">
        <v>4</v>
      </c>
      <c r="J1717" s="15">
        <v>17432.099999999999</v>
      </c>
      <c r="K1717" s="15">
        <v>331209.90000000002</v>
      </c>
      <c r="L1717" s="15">
        <v>207208.43545916211</v>
      </c>
      <c r="M1717" s="15">
        <v>124001.4645408379</v>
      </c>
    </row>
    <row r="1718" spans="1:13" x14ac:dyDescent="0.25">
      <c r="A1718" s="12">
        <v>46643</v>
      </c>
      <c r="B1718" s="12" t="s">
        <v>16</v>
      </c>
      <c r="C1718" s="12" t="s">
        <v>23</v>
      </c>
      <c r="D1718" s="12" t="s">
        <v>18</v>
      </c>
      <c r="E1718" s="13">
        <v>80247</v>
      </c>
      <c r="F1718" s="14">
        <v>33</v>
      </c>
      <c r="G1718" s="15">
        <v>21846</v>
      </c>
      <c r="H1718" s="16">
        <v>0.2</v>
      </c>
      <c r="I1718" s="13">
        <v>1</v>
      </c>
      <c r="J1718" s="15">
        <v>144183.6</v>
      </c>
      <c r="K1718" s="15">
        <v>576734.4</v>
      </c>
      <c r="L1718" s="15">
        <v>422927.81852768618</v>
      </c>
      <c r="M1718" s="15">
        <v>153806.58147231379</v>
      </c>
    </row>
    <row r="1719" spans="1:13" x14ac:dyDescent="0.25">
      <c r="A1719" s="12">
        <v>46644</v>
      </c>
      <c r="B1719" s="12" t="s">
        <v>13</v>
      </c>
      <c r="C1719" s="12" t="s">
        <v>21</v>
      </c>
      <c r="D1719" s="12" t="s">
        <v>22</v>
      </c>
      <c r="E1719" s="13">
        <v>82015</v>
      </c>
      <c r="F1719" s="14">
        <v>7</v>
      </c>
      <c r="G1719" s="15">
        <v>48525</v>
      </c>
      <c r="H1719" s="16">
        <v>0.15</v>
      </c>
      <c r="I1719" s="13">
        <v>1</v>
      </c>
      <c r="J1719" s="15">
        <v>50951.25</v>
      </c>
      <c r="K1719" s="15">
        <v>288723.75</v>
      </c>
      <c r="L1719" s="15">
        <v>246808.76489115789</v>
      </c>
      <c r="M1719" s="15">
        <v>41914.985108842076</v>
      </c>
    </row>
    <row r="1720" spans="1:13" x14ac:dyDescent="0.25">
      <c r="A1720" s="12">
        <v>46645</v>
      </c>
      <c r="B1720" s="12" t="s">
        <v>24</v>
      </c>
      <c r="C1720" s="12" t="s">
        <v>21</v>
      </c>
      <c r="D1720" s="12" t="s">
        <v>27</v>
      </c>
      <c r="E1720" s="13">
        <v>41390</v>
      </c>
      <c r="F1720" s="14">
        <v>24</v>
      </c>
      <c r="G1720" s="15">
        <v>28524</v>
      </c>
      <c r="H1720" s="16">
        <v>0</v>
      </c>
      <c r="I1720" s="13">
        <v>3</v>
      </c>
      <c r="J1720" s="15">
        <v>0</v>
      </c>
      <c r="K1720" s="15">
        <v>684576</v>
      </c>
      <c r="L1720" s="15">
        <v>537223.18496019358</v>
      </c>
      <c r="M1720" s="15">
        <v>147352.81503980639</v>
      </c>
    </row>
    <row r="1721" spans="1:13" x14ac:dyDescent="0.25">
      <c r="A1721" s="12">
        <v>46646</v>
      </c>
      <c r="B1721" s="12" t="s">
        <v>19</v>
      </c>
      <c r="C1721" s="12" t="s">
        <v>14</v>
      </c>
      <c r="D1721" s="12" t="s">
        <v>22</v>
      </c>
      <c r="E1721" s="13">
        <v>66116</v>
      </c>
      <c r="F1721" s="14">
        <v>11</v>
      </c>
      <c r="G1721" s="15">
        <v>29914</v>
      </c>
      <c r="H1721" s="16">
        <v>0.1</v>
      </c>
      <c r="I1721" s="13">
        <v>5</v>
      </c>
      <c r="J1721" s="15">
        <v>32905.4</v>
      </c>
      <c r="K1721" s="15">
        <v>296148.59999999998</v>
      </c>
      <c r="L1721" s="15">
        <v>203661.05305664209</v>
      </c>
      <c r="M1721" s="15">
        <v>92487.546943357884</v>
      </c>
    </row>
    <row r="1722" spans="1:13" x14ac:dyDescent="0.25">
      <c r="A1722" s="12">
        <v>46647</v>
      </c>
      <c r="B1722" s="12" t="s">
        <v>24</v>
      </c>
      <c r="C1722" s="12" t="s">
        <v>17</v>
      </c>
      <c r="D1722" s="12" t="s">
        <v>15</v>
      </c>
      <c r="E1722" s="13">
        <v>23161</v>
      </c>
      <c r="F1722" s="14">
        <v>9</v>
      </c>
      <c r="G1722" s="15">
        <v>41318</v>
      </c>
      <c r="H1722" s="16">
        <v>0.1</v>
      </c>
      <c r="I1722" s="13">
        <v>3</v>
      </c>
      <c r="J1722" s="15">
        <v>37186.199999999997</v>
      </c>
      <c r="K1722" s="15">
        <v>334675.8</v>
      </c>
      <c r="L1722" s="15">
        <v>243050.957743726</v>
      </c>
      <c r="M1722" s="15">
        <v>91624.842256274016</v>
      </c>
    </row>
    <row r="1723" spans="1:13" x14ac:dyDescent="0.25">
      <c r="A1723" s="12">
        <v>46648</v>
      </c>
      <c r="B1723" s="12" t="s">
        <v>13</v>
      </c>
      <c r="C1723" s="12" t="s">
        <v>17</v>
      </c>
      <c r="D1723" s="12" t="s">
        <v>22</v>
      </c>
      <c r="E1723" s="13">
        <v>42152</v>
      </c>
      <c r="F1723" s="14">
        <v>12</v>
      </c>
      <c r="G1723" s="15">
        <v>6447</v>
      </c>
      <c r="H1723" s="16">
        <v>0</v>
      </c>
      <c r="I1723" s="13">
        <v>3</v>
      </c>
      <c r="J1723" s="15">
        <v>0</v>
      </c>
      <c r="K1723" s="15">
        <v>77364</v>
      </c>
      <c r="L1723" s="15">
        <v>62820.211212245493</v>
      </c>
      <c r="M1723" s="15">
        <v>14543.788787754511</v>
      </c>
    </row>
    <row r="1724" spans="1:13" x14ac:dyDescent="0.25">
      <c r="A1724" s="12">
        <v>46649</v>
      </c>
      <c r="B1724" s="12" t="s">
        <v>13</v>
      </c>
      <c r="C1724" s="12" t="s">
        <v>21</v>
      </c>
      <c r="D1724" s="12" t="s">
        <v>26</v>
      </c>
      <c r="E1724" s="13">
        <v>90171</v>
      </c>
      <c r="F1724" s="14">
        <v>35</v>
      </c>
      <c r="G1724" s="15">
        <v>10117</v>
      </c>
      <c r="H1724" s="16">
        <v>0</v>
      </c>
      <c r="I1724" s="13">
        <v>3</v>
      </c>
      <c r="J1724" s="15">
        <v>0</v>
      </c>
      <c r="K1724" s="15">
        <v>354095</v>
      </c>
      <c r="L1724" s="15">
        <v>315845.02887643198</v>
      </c>
      <c r="M1724" s="15">
        <v>38249.971123568022</v>
      </c>
    </row>
    <row r="1725" spans="1:13" x14ac:dyDescent="0.25">
      <c r="A1725" s="12">
        <v>46650</v>
      </c>
      <c r="B1725" s="12" t="s">
        <v>24</v>
      </c>
      <c r="C1725" s="12" t="s">
        <v>20</v>
      </c>
      <c r="D1725" s="12" t="s">
        <v>26</v>
      </c>
      <c r="E1725" s="13">
        <v>30836</v>
      </c>
      <c r="F1725" s="14">
        <v>4</v>
      </c>
      <c r="G1725" s="15">
        <v>21204</v>
      </c>
      <c r="H1725" s="16">
        <v>0.05</v>
      </c>
      <c r="I1725" s="13">
        <v>1</v>
      </c>
      <c r="J1725" s="15">
        <v>4240.8</v>
      </c>
      <c r="K1725" s="15">
        <v>80575.199999999997</v>
      </c>
      <c r="L1725" s="15">
        <v>69934.569258349962</v>
      </c>
      <c r="M1725" s="15">
        <v>10640.630741650029</v>
      </c>
    </row>
    <row r="1726" spans="1:13" x14ac:dyDescent="0.25">
      <c r="A1726" s="12">
        <v>46651</v>
      </c>
      <c r="B1726" s="12" t="s">
        <v>24</v>
      </c>
      <c r="C1726" s="12" t="s">
        <v>23</v>
      </c>
      <c r="D1726" s="12" t="s">
        <v>25</v>
      </c>
      <c r="E1726" s="13">
        <v>76543</v>
      </c>
      <c r="F1726" s="14">
        <v>36</v>
      </c>
      <c r="G1726" s="15">
        <v>29202</v>
      </c>
      <c r="H1726" s="16">
        <v>0.15</v>
      </c>
      <c r="I1726" s="13">
        <v>4</v>
      </c>
      <c r="J1726" s="15">
        <v>157690.79999999999</v>
      </c>
      <c r="K1726" s="15">
        <v>893581.2</v>
      </c>
      <c r="L1726" s="15">
        <v>627946.17595010821</v>
      </c>
      <c r="M1726" s="15">
        <v>265635.02404989168</v>
      </c>
    </row>
    <row r="1727" spans="1:13" x14ac:dyDescent="0.25">
      <c r="A1727" s="12">
        <v>46652</v>
      </c>
      <c r="B1727" s="12" t="s">
        <v>24</v>
      </c>
      <c r="C1727" s="12" t="s">
        <v>20</v>
      </c>
      <c r="D1727" s="12" t="s">
        <v>26</v>
      </c>
      <c r="E1727" s="13">
        <v>65648</v>
      </c>
      <c r="F1727" s="14">
        <v>28</v>
      </c>
      <c r="G1727" s="15">
        <v>2392</v>
      </c>
      <c r="H1727" s="16">
        <v>0.1</v>
      </c>
      <c r="I1727" s="13">
        <v>1</v>
      </c>
      <c r="J1727" s="15">
        <v>6697.6</v>
      </c>
      <c r="K1727" s="15">
        <v>60278.400000000001</v>
      </c>
      <c r="L1727" s="15">
        <v>54217.971314059563</v>
      </c>
      <c r="M1727" s="15">
        <v>6060.4286859404456</v>
      </c>
    </row>
    <row r="1728" spans="1:13" x14ac:dyDescent="0.25">
      <c r="A1728" s="12">
        <v>46653</v>
      </c>
      <c r="B1728" s="12" t="s">
        <v>16</v>
      </c>
      <c r="C1728" s="12" t="s">
        <v>20</v>
      </c>
      <c r="D1728" s="12" t="s">
        <v>22</v>
      </c>
      <c r="E1728" s="13">
        <v>36331</v>
      </c>
      <c r="F1728" s="14">
        <v>13</v>
      </c>
      <c r="G1728" s="15">
        <v>30254</v>
      </c>
      <c r="H1728" s="16">
        <v>0.2</v>
      </c>
      <c r="I1728" s="13">
        <v>2</v>
      </c>
      <c r="J1728" s="15">
        <v>78660.400000000009</v>
      </c>
      <c r="K1728" s="15">
        <v>314641.59999999998</v>
      </c>
      <c r="L1728" s="15">
        <v>189115.77388226209</v>
      </c>
      <c r="M1728" s="15">
        <v>125525.8261177378</v>
      </c>
    </row>
    <row r="1729" spans="1:13" x14ac:dyDescent="0.25">
      <c r="A1729" s="12">
        <v>46654</v>
      </c>
      <c r="B1729" s="12" t="s">
        <v>19</v>
      </c>
      <c r="C1729" s="12" t="s">
        <v>21</v>
      </c>
      <c r="D1729" s="12" t="s">
        <v>26</v>
      </c>
      <c r="E1729" s="13">
        <v>20763</v>
      </c>
      <c r="F1729" s="14">
        <v>23</v>
      </c>
      <c r="G1729" s="15">
        <v>3924</v>
      </c>
      <c r="H1729" s="16">
        <v>0.05</v>
      </c>
      <c r="I1729" s="13">
        <v>3</v>
      </c>
      <c r="J1729" s="15">
        <v>4512.6000000000004</v>
      </c>
      <c r="K1729" s="15">
        <v>85739.4</v>
      </c>
      <c r="L1729" s="15">
        <v>52154.327605548009</v>
      </c>
      <c r="M1729" s="15">
        <v>33585.072394451992</v>
      </c>
    </row>
    <row r="1730" spans="1:13" x14ac:dyDescent="0.25">
      <c r="A1730" s="12">
        <v>46655</v>
      </c>
      <c r="B1730" s="12" t="s">
        <v>24</v>
      </c>
      <c r="C1730" s="12" t="s">
        <v>21</v>
      </c>
      <c r="D1730" s="12" t="s">
        <v>27</v>
      </c>
      <c r="E1730" s="13">
        <v>79444</v>
      </c>
      <c r="F1730" s="14">
        <v>19</v>
      </c>
      <c r="G1730" s="15">
        <v>42718</v>
      </c>
      <c r="H1730" s="16">
        <v>0.05</v>
      </c>
      <c r="I1730" s="13">
        <v>3</v>
      </c>
      <c r="J1730" s="15">
        <v>40582.100000000013</v>
      </c>
      <c r="K1730" s="15">
        <v>771059.9</v>
      </c>
      <c r="L1730" s="15">
        <v>653205.05557315482</v>
      </c>
      <c r="M1730" s="15">
        <v>117854.8444268452</v>
      </c>
    </row>
    <row r="1731" spans="1:13" x14ac:dyDescent="0.25">
      <c r="A1731" s="12">
        <v>46656</v>
      </c>
      <c r="B1731" s="12" t="s">
        <v>24</v>
      </c>
      <c r="C1731" s="12" t="s">
        <v>21</v>
      </c>
      <c r="D1731" s="12" t="s">
        <v>26</v>
      </c>
      <c r="E1731" s="13">
        <v>29187</v>
      </c>
      <c r="F1731" s="14">
        <v>42</v>
      </c>
      <c r="G1731" s="15">
        <v>13918</v>
      </c>
      <c r="H1731" s="16">
        <v>0.2</v>
      </c>
      <c r="I1731" s="13">
        <v>2</v>
      </c>
      <c r="J1731" s="15">
        <v>116911.2</v>
      </c>
      <c r="K1731" s="15">
        <v>467644.8</v>
      </c>
      <c r="L1731" s="15">
        <v>308570.1864874516</v>
      </c>
      <c r="M1731" s="15">
        <v>159074.61351254841</v>
      </c>
    </row>
    <row r="1732" spans="1:13" x14ac:dyDescent="0.25">
      <c r="A1732" s="12">
        <v>46657</v>
      </c>
      <c r="B1732" s="12" t="s">
        <v>24</v>
      </c>
      <c r="C1732" s="12" t="s">
        <v>14</v>
      </c>
      <c r="D1732" s="12" t="s">
        <v>15</v>
      </c>
      <c r="E1732" s="13">
        <v>21957</v>
      </c>
      <c r="F1732" s="14">
        <v>37</v>
      </c>
      <c r="G1732" s="15">
        <v>30386</v>
      </c>
      <c r="H1732" s="16">
        <v>0.2</v>
      </c>
      <c r="I1732" s="13">
        <v>3</v>
      </c>
      <c r="J1732" s="15">
        <v>224856.4</v>
      </c>
      <c r="K1732" s="15">
        <v>899425.6</v>
      </c>
      <c r="L1732" s="15">
        <v>556052.59070665494</v>
      </c>
      <c r="M1732" s="15">
        <v>343373.00929334498</v>
      </c>
    </row>
    <row r="1733" spans="1:13" x14ac:dyDescent="0.25">
      <c r="A1733" s="12">
        <v>46658</v>
      </c>
      <c r="B1733" s="12" t="s">
        <v>13</v>
      </c>
      <c r="C1733" s="12" t="s">
        <v>20</v>
      </c>
      <c r="D1733" s="12" t="s">
        <v>27</v>
      </c>
      <c r="E1733" s="13">
        <v>14379</v>
      </c>
      <c r="F1733" s="14">
        <v>39</v>
      </c>
      <c r="G1733" s="15">
        <v>35283</v>
      </c>
      <c r="H1733" s="16">
        <v>0.2</v>
      </c>
      <c r="I1733" s="13">
        <v>3</v>
      </c>
      <c r="J1733" s="15">
        <v>275207.40000000002</v>
      </c>
      <c r="K1733" s="15">
        <v>1100829.6000000001</v>
      </c>
      <c r="L1733" s="15">
        <v>738815.64558051294</v>
      </c>
      <c r="M1733" s="15">
        <v>362013.95441948721</v>
      </c>
    </row>
    <row r="1734" spans="1:13" x14ac:dyDescent="0.25">
      <c r="A1734" s="12">
        <v>46659</v>
      </c>
      <c r="B1734" s="12" t="s">
        <v>13</v>
      </c>
      <c r="C1734" s="12" t="s">
        <v>17</v>
      </c>
      <c r="D1734" s="12" t="s">
        <v>25</v>
      </c>
      <c r="E1734" s="13">
        <v>37959</v>
      </c>
      <c r="F1734" s="14">
        <v>24</v>
      </c>
      <c r="G1734" s="15">
        <v>23557</v>
      </c>
      <c r="H1734" s="16">
        <v>0</v>
      </c>
      <c r="I1734" s="13">
        <v>3</v>
      </c>
      <c r="J1734" s="15">
        <v>0</v>
      </c>
      <c r="K1734" s="15">
        <v>565368</v>
      </c>
      <c r="L1734" s="15">
        <v>411491.81755675533</v>
      </c>
      <c r="M1734" s="15">
        <v>153876.1824432447</v>
      </c>
    </row>
    <row r="1735" spans="1:13" x14ac:dyDescent="0.25">
      <c r="A1735" s="12">
        <v>46660</v>
      </c>
      <c r="B1735" s="12" t="s">
        <v>16</v>
      </c>
      <c r="C1735" s="12" t="s">
        <v>23</v>
      </c>
      <c r="D1735" s="12" t="s">
        <v>15</v>
      </c>
      <c r="E1735" s="13">
        <v>92018</v>
      </c>
      <c r="F1735" s="14">
        <v>16</v>
      </c>
      <c r="G1735" s="15">
        <v>5333</v>
      </c>
      <c r="H1735" s="16">
        <v>0.1</v>
      </c>
      <c r="I1735" s="13">
        <v>2</v>
      </c>
      <c r="J1735" s="15">
        <v>8532.8000000000011</v>
      </c>
      <c r="K1735" s="15">
        <v>76795.199999999997</v>
      </c>
      <c r="L1735" s="15">
        <v>62908.314855356221</v>
      </c>
      <c r="M1735" s="15">
        <v>13886.88514464378</v>
      </c>
    </row>
    <row r="1736" spans="1:13" x14ac:dyDescent="0.25">
      <c r="A1736" s="12">
        <v>46661</v>
      </c>
      <c r="B1736" s="12" t="s">
        <v>19</v>
      </c>
      <c r="C1736" s="12" t="s">
        <v>14</v>
      </c>
      <c r="D1736" s="12" t="s">
        <v>22</v>
      </c>
      <c r="E1736" s="13">
        <v>37105</v>
      </c>
      <c r="F1736" s="14">
        <v>33</v>
      </c>
      <c r="G1736" s="15">
        <v>10394</v>
      </c>
      <c r="H1736" s="16">
        <v>0</v>
      </c>
      <c r="I1736" s="13">
        <v>1</v>
      </c>
      <c r="J1736" s="15">
        <v>0</v>
      </c>
      <c r="K1736" s="15">
        <v>343002</v>
      </c>
      <c r="L1736" s="15">
        <v>270045.700283435</v>
      </c>
      <c r="M1736" s="15">
        <v>72956.299716565001</v>
      </c>
    </row>
    <row r="1737" spans="1:13" x14ac:dyDescent="0.25">
      <c r="A1737" s="12">
        <v>46662</v>
      </c>
      <c r="B1737" s="12" t="s">
        <v>16</v>
      </c>
      <c r="C1737" s="12" t="s">
        <v>17</v>
      </c>
      <c r="D1737" s="12" t="s">
        <v>22</v>
      </c>
      <c r="E1737" s="13">
        <v>10877</v>
      </c>
      <c r="F1737" s="14">
        <v>12</v>
      </c>
      <c r="G1737" s="15">
        <v>49210</v>
      </c>
      <c r="H1737" s="16">
        <v>0.1</v>
      </c>
      <c r="I1737" s="13">
        <v>3</v>
      </c>
      <c r="J1737" s="15">
        <v>59052</v>
      </c>
      <c r="K1737" s="15">
        <v>531468</v>
      </c>
      <c r="L1737" s="15">
        <v>356767.22197632038</v>
      </c>
      <c r="M1737" s="15">
        <v>174700.7780236796</v>
      </c>
    </row>
    <row r="1738" spans="1:13" x14ac:dyDescent="0.25">
      <c r="A1738" s="12">
        <v>46663</v>
      </c>
      <c r="B1738" s="12" t="s">
        <v>19</v>
      </c>
      <c r="C1738" s="12" t="s">
        <v>20</v>
      </c>
      <c r="D1738" s="12" t="s">
        <v>22</v>
      </c>
      <c r="E1738" s="13">
        <v>58353</v>
      </c>
      <c r="F1738" s="14">
        <v>34</v>
      </c>
      <c r="G1738" s="15">
        <v>42333</v>
      </c>
      <c r="H1738" s="16">
        <v>0</v>
      </c>
      <c r="I1738" s="13">
        <v>4</v>
      </c>
      <c r="J1738" s="15">
        <v>0</v>
      </c>
      <c r="K1738" s="15">
        <v>1439322</v>
      </c>
      <c r="L1738" s="15">
        <v>1080903.6683703091</v>
      </c>
      <c r="M1738" s="15">
        <v>358418.33162969118</v>
      </c>
    </row>
    <row r="1739" spans="1:13" x14ac:dyDescent="0.25">
      <c r="A1739" s="12">
        <v>46664</v>
      </c>
      <c r="B1739" s="12" t="s">
        <v>13</v>
      </c>
      <c r="C1739" s="12" t="s">
        <v>21</v>
      </c>
      <c r="D1739" s="12" t="s">
        <v>15</v>
      </c>
      <c r="E1739" s="13">
        <v>93788</v>
      </c>
      <c r="F1739" s="14">
        <v>7</v>
      </c>
      <c r="G1739" s="15">
        <v>1065</v>
      </c>
      <c r="H1739" s="16">
        <v>0.15</v>
      </c>
      <c r="I1739" s="13">
        <v>2</v>
      </c>
      <c r="J1739" s="15">
        <v>1118.25</v>
      </c>
      <c r="K1739" s="15">
        <v>6336.75</v>
      </c>
      <c r="L1739" s="15">
        <v>5562.8061697153144</v>
      </c>
      <c r="M1739" s="15">
        <v>773.94383028468565</v>
      </c>
    </row>
    <row r="1740" spans="1:13" x14ac:dyDescent="0.25">
      <c r="A1740" s="12">
        <v>46665</v>
      </c>
      <c r="B1740" s="12" t="s">
        <v>13</v>
      </c>
      <c r="C1740" s="12" t="s">
        <v>20</v>
      </c>
      <c r="D1740" s="12" t="s">
        <v>15</v>
      </c>
      <c r="E1740" s="13">
        <v>94585</v>
      </c>
      <c r="F1740" s="14">
        <v>11</v>
      </c>
      <c r="G1740" s="15">
        <v>40680</v>
      </c>
      <c r="H1740" s="16">
        <v>0.1</v>
      </c>
      <c r="I1740" s="13">
        <v>5</v>
      </c>
      <c r="J1740" s="15">
        <v>44748</v>
      </c>
      <c r="K1740" s="15">
        <v>402732</v>
      </c>
      <c r="L1740" s="15">
        <v>340108.11361206678</v>
      </c>
      <c r="M1740" s="15">
        <v>62623.886387933162</v>
      </c>
    </row>
    <row r="1741" spans="1:13" x14ac:dyDescent="0.25">
      <c r="A1741" s="12">
        <v>46666</v>
      </c>
      <c r="B1741" s="12" t="s">
        <v>13</v>
      </c>
      <c r="C1741" s="12" t="s">
        <v>23</v>
      </c>
      <c r="D1741" s="12" t="s">
        <v>15</v>
      </c>
      <c r="E1741" s="13">
        <v>93308</v>
      </c>
      <c r="F1741" s="14">
        <v>31</v>
      </c>
      <c r="G1741" s="15">
        <v>18902</v>
      </c>
      <c r="H1741" s="16">
        <v>0.05</v>
      </c>
      <c r="I1741" s="13">
        <v>2</v>
      </c>
      <c r="J1741" s="15">
        <v>29298.1</v>
      </c>
      <c r="K1741" s="15">
        <v>556663.9</v>
      </c>
      <c r="L1741" s="15">
        <v>387970.76581938809</v>
      </c>
      <c r="M1741" s="15">
        <v>168693.1341806119</v>
      </c>
    </row>
    <row r="1742" spans="1:13" x14ac:dyDescent="0.25">
      <c r="A1742" s="12">
        <v>46667</v>
      </c>
      <c r="B1742" s="12" t="s">
        <v>16</v>
      </c>
      <c r="C1742" s="12" t="s">
        <v>14</v>
      </c>
      <c r="D1742" s="12" t="s">
        <v>27</v>
      </c>
      <c r="E1742" s="13">
        <v>61567</v>
      </c>
      <c r="F1742" s="14">
        <v>29</v>
      </c>
      <c r="G1742" s="15">
        <v>43345</v>
      </c>
      <c r="H1742" s="16">
        <v>0.1</v>
      </c>
      <c r="I1742" s="13">
        <v>1</v>
      </c>
      <c r="J1742" s="15">
        <v>125700.5</v>
      </c>
      <c r="K1742" s="15">
        <v>1131304.5</v>
      </c>
      <c r="L1742" s="15">
        <v>1012154.795535668</v>
      </c>
      <c r="M1742" s="15">
        <v>119149.7044643323</v>
      </c>
    </row>
    <row r="1743" spans="1:13" x14ac:dyDescent="0.25">
      <c r="A1743" s="12">
        <v>46668</v>
      </c>
      <c r="B1743" s="12" t="s">
        <v>24</v>
      </c>
      <c r="C1743" s="12" t="s">
        <v>14</v>
      </c>
      <c r="D1743" s="12" t="s">
        <v>18</v>
      </c>
      <c r="E1743" s="13">
        <v>67913</v>
      </c>
      <c r="F1743" s="14">
        <v>13</v>
      </c>
      <c r="G1743" s="15">
        <v>10815</v>
      </c>
      <c r="H1743" s="16">
        <v>0.1</v>
      </c>
      <c r="I1743" s="13">
        <v>2</v>
      </c>
      <c r="J1743" s="15">
        <v>14059.5</v>
      </c>
      <c r="K1743" s="15">
        <v>126535.5</v>
      </c>
      <c r="L1743" s="15">
        <v>102820.9910037779</v>
      </c>
      <c r="M1743" s="15">
        <v>23714.508996222139</v>
      </c>
    </row>
    <row r="1744" spans="1:13" x14ac:dyDescent="0.25">
      <c r="A1744" s="12">
        <v>46669</v>
      </c>
      <c r="B1744" s="12" t="s">
        <v>24</v>
      </c>
      <c r="C1744" s="12" t="s">
        <v>23</v>
      </c>
      <c r="D1744" s="12" t="s">
        <v>27</v>
      </c>
      <c r="E1744" s="13">
        <v>12637</v>
      </c>
      <c r="F1744" s="14">
        <v>31</v>
      </c>
      <c r="G1744" s="15">
        <v>13334</v>
      </c>
      <c r="H1744" s="16">
        <v>0.1</v>
      </c>
      <c r="I1744" s="13">
        <v>5</v>
      </c>
      <c r="J1744" s="15">
        <v>41335.4</v>
      </c>
      <c r="K1744" s="15">
        <v>372018.6</v>
      </c>
      <c r="L1744" s="15">
        <v>230180.8565598175</v>
      </c>
      <c r="M1744" s="15">
        <v>141837.7434401825</v>
      </c>
    </row>
    <row r="1745" spans="1:13" x14ac:dyDescent="0.25">
      <c r="A1745" s="12">
        <v>46670</v>
      </c>
      <c r="B1745" s="12" t="s">
        <v>13</v>
      </c>
      <c r="C1745" s="12" t="s">
        <v>17</v>
      </c>
      <c r="D1745" s="12" t="s">
        <v>22</v>
      </c>
      <c r="E1745" s="13">
        <v>82778</v>
      </c>
      <c r="F1745" s="14">
        <v>2</v>
      </c>
      <c r="G1745" s="15">
        <v>2814</v>
      </c>
      <c r="H1745" s="16">
        <v>0.15</v>
      </c>
      <c r="I1745" s="13">
        <v>4</v>
      </c>
      <c r="J1745" s="15">
        <v>844.19999999999993</v>
      </c>
      <c r="K1745" s="15">
        <v>4783.8</v>
      </c>
      <c r="L1745" s="15">
        <v>2920.740546069057</v>
      </c>
      <c r="M1745" s="15">
        <v>1863.0594539309441</v>
      </c>
    </row>
    <row r="1746" spans="1:13" x14ac:dyDescent="0.25">
      <c r="A1746" s="12">
        <v>46671</v>
      </c>
      <c r="B1746" s="12" t="s">
        <v>24</v>
      </c>
      <c r="C1746" s="12" t="s">
        <v>17</v>
      </c>
      <c r="D1746" s="12" t="s">
        <v>18</v>
      </c>
      <c r="E1746" s="13">
        <v>52025</v>
      </c>
      <c r="F1746" s="14">
        <v>39</v>
      </c>
      <c r="G1746" s="15">
        <v>37680</v>
      </c>
      <c r="H1746" s="16">
        <v>0</v>
      </c>
      <c r="I1746" s="13">
        <v>5</v>
      </c>
      <c r="J1746" s="15">
        <v>0</v>
      </c>
      <c r="K1746" s="15">
        <v>1469520</v>
      </c>
      <c r="L1746" s="15">
        <v>955955.65476876567</v>
      </c>
      <c r="M1746" s="15">
        <v>513564.34523123433</v>
      </c>
    </row>
    <row r="1747" spans="1:13" x14ac:dyDescent="0.25">
      <c r="A1747" s="12">
        <v>46672</v>
      </c>
      <c r="B1747" s="12" t="s">
        <v>24</v>
      </c>
      <c r="C1747" s="12" t="s">
        <v>14</v>
      </c>
      <c r="D1747" s="12" t="s">
        <v>26</v>
      </c>
      <c r="E1747" s="13">
        <v>92464</v>
      </c>
      <c r="F1747" s="14">
        <v>15</v>
      </c>
      <c r="G1747" s="15">
        <v>4383</v>
      </c>
      <c r="H1747" s="16">
        <v>0.05</v>
      </c>
      <c r="I1747" s="13">
        <v>2</v>
      </c>
      <c r="J1747" s="15">
        <v>3287.25</v>
      </c>
      <c r="K1747" s="15">
        <v>62457.75</v>
      </c>
      <c r="L1747" s="15">
        <v>51112.721952812717</v>
      </c>
      <c r="M1747" s="15">
        <v>11345.028047187279</v>
      </c>
    </row>
    <row r="1748" spans="1:13" x14ac:dyDescent="0.25">
      <c r="A1748" s="12">
        <v>46673</v>
      </c>
      <c r="B1748" s="12" t="s">
        <v>16</v>
      </c>
      <c r="C1748" s="12" t="s">
        <v>14</v>
      </c>
      <c r="D1748" s="12" t="s">
        <v>22</v>
      </c>
      <c r="E1748" s="13">
        <v>38742</v>
      </c>
      <c r="F1748" s="14">
        <v>11</v>
      </c>
      <c r="G1748" s="15">
        <v>44652</v>
      </c>
      <c r="H1748" s="16">
        <v>0</v>
      </c>
      <c r="I1748" s="13">
        <v>5</v>
      </c>
      <c r="J1748" s="15">
        <v>0</v>
      </c>
      <c r="K1748" s="15">
        <v>491172</v>
      </c>
      <c r="L1748" s="15">
        <v>321777.42470516311</v>
      </c>
      <c r="M1748" s="15">
        <v>169394.57529483689</v>
      </c>
    </row>
    <row r="1749" spans="1:13" x14ac:dyDescent="0.25">
      <c r="A1749" s="12">
        <v>46674</v>
      </c>
      <c r="B1749" s="12" t="s">
        <v>19</v>
      </c>
      <c r="C1749" s="12" t="s">
        <v>21</v>
      </c>
      <c r="D1749" s="12" t="s">
        <v>25</v>
      </c>
      <c r="E1749" s="13">
        <v>21831</v>
      </c>
      <c r="F1749" s="14">
        <v>34</v>
      </c>
      <c r="G1749" s="15">
        <v>10551</v>
      </c>
      <c r="H1749" s="16">
        <v>0</v>
      </c>
      <c r="I1749" s="13">
        <v>2</v>
      </c>
      <c r="J1749" s="15">
        <v>0</v>
      </c>
      <c r="K1749" s="15">
        <v>358734</v>
      </c>
      <c r="L1749" s="15">
        <v>270286.7083996085</v>
      </c>
      <c r="M1749" s="15">
        <v>88447.291600391502</v>
      </c>
    </row>
    <row r="1750" spans="1:13" x14ac:dyDescent="0.25">
      <c r="A1750" s="12">
        <v>46675</v>
      </c>
      <c r="B1750" s="12" t="s">
        <v>13</v>
      </c>
      <c r="C1750" s="12" t="s">
        <v>17</v>
      </c>
      <c r="D1750" s="12" t="s">
        <v>27</v>
      </c>
      <c r="E1750" s="13">
        <v>95092</v>
      </c>
      <c r="F1750" s="14">
        <v>39</v>
      </c>
      <c r="G1750" s="15">
        <v>41484</v>
      </c>
      <c r="H1750" s="16">
        <v>0.2</v>
      </c>
      <c r="I1750" s="13">
        <v>4</v>
      </c>
      <c r="J1750" s="15">
        <v>323575.2</v>
      </c>
      <c r="K1750" s="15">
        <v>1294300.8</v>
      </c>
      <c r="L1750" s="15">
        <v>812792.47444744396</v>
      </c>
      <c r="M1750" s="15">
        <v>481508.32555255608</v>
      </c>
    </row>
    <row r="1751" spans="1:13" x14ac:dyDescent="0.25">
      <c r="A1751" s="12">
        <v>46676</v>
      </c>
      <c r="B1751" s="12" t="s">
        <v>13</v>
      </c>
      <c r="C1751" s="12" t="s">
        <v>23</v>
      </c>
      <c r="D1751" s="12" t="s">
        <v>15</v>
      </c>
      <c r="E1751" s="13">
        <v>98370</v>
      </c>
      <c r="F1751" s="14">
        <v>4</v>
      </c>
      <c r="G1751" s="15">
        <v>12195</v>
      </c>
      <c r="H1751" s="16">
        <v>0.15</v>
      </c>
      <c r="I1751" s="13">
        <v>4</v>
      </c>
      <c r="J1751" s="15">
        <v>7317</v>
      </c>
      <c r="K1751" s="15">
        <v>41463</v>
      </c>
      <c r="L1751" s="15">
        <v>36332.610828634017</v>
      </c>
      <c r="M1751" s="15">
        <v>5130.3891713659832</v>
      </c>
    </row>
    <row r="1752" spans="1:13" x14ac:dyDescent="0.25">
      <c r="A1752" s="12">
        <v>46677</v>
      </c>
      <c r="B1752" s="12" t="s">
        <v>16</v>
      </c>
      <c r="C1752" s="12" t="s">
        <v>17</v>
      </c>
      <c r="D1752" s="12" t="s">
        <v>27</v>
      </c>
      <c r="E1752" s="13">
        <v>56762</v>
      </c>
      <c r="F1752" s="14">
        <v>11</v>
      </c>
      <c r="G1752" s="15">
        <v>23623</v>
      </c>
      <c r="H1752" s="16">
        <v>0.2</v>
      </c>
      <c r="I1752" s="13">
        <v>1</v>
      </c>
      <c r="J1752" s="15">
        <v>51970.600000000013</v>
      </c>
      <c r="K1752" s="15">
        <v>207882.4</v>
      </c>
      <c r="L1752" s="15">
        <v>146180.4473571674</v>
      </c>
      <c r="M1752" s="15">
        <v>61701.952642832621</v>
      </c>
    </row>
    <row r="1753" spans="1:13" x14ac:dyDescent="0.25">
      <c r="A1753" s="12">
        <v>46678</v>
      </c>
      <c r="B1753" s="12" t="s">
        <v>16</v>
      </c>
      <c r="C1753" s="12" t="s">
        <v>21</v>
      </c>
      <c r="D1753" s="12" t="s">
        <v>15</v>
      </c>
      <c r="E1753" s="13">
        <v>98741</v>
      </c>
      <c r="F1753" s="14">
        <v>29</v>
      </c>
      <c r="G1753" s="15">
        <v>8402</v>
      </c>
      <c r="H1753" s="16">
        <v>0.15</v>
      </c>
      <c r="I1753" s="13">
        <v>4</v>
      </c>
      <c r="J1753" s="15">
        <v>36548.699999999997</v>
      </c>
      <c r="K1753" s="15">
        <v>207109.3</v>
      </c>
      <c r="L1753" s="15">
        <v>180690.3583625498</v>
      </c>
      <c r="M1753" s="15">
        <v>26418.941637450189</v>
      </c>
    </row>
    <row r="1754" spans="1:13" x14ac:dyDescent="0.25">
      <c r="A1754" s="12">
        <v>46679</v>
      </c>
      <c r="B1754" s="12" t="s">
        <v>24</v>
      </c>
      <c r="C1754" s="12" t="s">
        <v>14</v>
      </c>
      <c r="D1754" s="12" t="s">
        <v>18</v>
      </c>
      <c r="E1754" s="13">
        <v>28830</v>
      </c>
      <c r="F1754" s="14">
        <v>2</v>
      </c>
      <c r="G1754" s="15">
        <v>46455</v>
      </c>
      <c r="H1754" s="16">
        <v>0</v>
      </c>
      <c r="I1754" s="13">
        <v>3</v>
      </c>
      <c r="J1754" s="15">
        <v>0</v>
      </c>
      <c r="K1754" s="15">
        <v>92910</v>
      </c>
      <c r="L1754" s="15">
        <v>82082.5187669726</v>
      </c>
      <c r="M1754" s="15">
        <v>10827.4812330274</v>
      </c>
    </row>
    <row r="1755" spans="1:13" x14ac:dyDescent="0.25">
      <c r="A1755" s="12">
        <v>46680</v>
      </c>
      <c r="B1755" s="12" t="s">
        <v>13</v>
      </c>
      <c r="C1755" s="12" t="s">
        <v>14</v>
      </c>
      <c r="D1755" s="12" t="s">
        <v>25</v>
      </c>
      <c r="E1755" s="13">
        <v>65044</v>
      </c>
      <c r="F1755" s="14">
        <v>16</v>
      </c>
      <c r="G1755" s="15">
        <v>18073</v>
      </c>
      <c r="H1755" s="16">
        <v>0</v>
      </c>
      <c r="I1755" s="13">
        <v>5</v>
      </c>
      <c r="J1755" s="15">
        <v>0</v>
      </c>
      <c r="K1755" s="15">
        <v>289168</v>
      </c>
      <c r="L1755" s="15">
        <v>174032.46260592071</v>
      </c>
      <c r="M1755" s="15">
        <v>115135.53739407931</v>
      </c>
    </row>
    <row r="1756" spans="1:13" x14ac:dyDescent="0.25">
      <c r="A1756" s="12">
        <v>46681</v>
      </c>
      <c r="B1756" s="12" t="s">
        <v>19</v>
      </c>
      <c r="C1756" s="12" t="s">
        <v>21</v>
      </c>
      <c r="D1756" s="12" t="s">
        <v>18</v>
      </c>
      <c r="E1756" s="13">
        <v>83948</v>
      </c>
      <c r="F1756" s="14">
        <v>39</v>
      </c>
      <c r="G1756" s="15">
        <v>29874</v>
      </c>
      <c r="H1756" s="16">
        <v>0.15</v>
      </c>
      <c r="I1756" s="13">
        <v>5</v>
      </c>
      <c r="J1756" s="15">
        <v>174762.9</v>
      </c>
      <c r="K1756" s="15">
        <v>990323.1</v>
      </c>
      <c r="L1756" s="15">
        <v>732086.99922171852</v>
      </c>
      <c r="M1756" s="15">
        <v>258236.10077828151</v>
      </c>
    </row>
    <row r="1757" spans="1:13" x14ac:dyDescent="0.25">
      <c r="A1757" s="12">
        <v>46682</v>
      </c>
      <c r="B1757" s="12" t="s">
        <v>16</v>
      </c>
      <c r="C1757" s="12" t="s">
        <v>23</v>
      </c>
      <c r="D1757" s="12" t="s">
        <v>25</v>
      </c>
      <c r="E1757" s="13">
        <v>79202</v>
      </c>
      <c r="F1757" s="14">
        <v>13</v>
      </c>
      <c r="G1757" s="15">
        <v>12788</v>
      </c>
      <c r="H1757" s="16">
        <v>0</v>
      </c>
      <c r="I1757" s="13">
        <v>2</v>
      </c>
      <c r="J1757" s="15">
        <v>0</v>
      </c>
      <c r="K1757" s="15">
        <v>166244</v>
      </c>
      <c r="L1757" s="15">
        <v>100976.076397481</v>
      </c>
      <c r="M1757" s="15">
        <v>65267.923602518997</v>
      </c>
    </row>
    <row r="1758" spans="1:13" x14ac:dyDescent="0.25">
      <c r="A1758" s="12">
        <v>46683</v>
      </c>
      <c r="B1758" s="12" t="s">
        <v>19</v>
      </c>
      <c r="C1758" s="12" t="s">
        <v>14</v>
      </c>
      <c r="D1758" s="12" t="s">
        <v>27</v>
      </c>
      <c r="E1758" s="13">
        <v>47045</v>
      </c>
      <c r="F1758" s="14">
        <v>37</v>
      </c>
      <c r="G1758" s="15">
        <v>47478</v>
      </c>
      <c r="H1758" s="16">
        <v>0</v>
      </c>
      <c r="I1758" s="13">
        <v>4</v>
      </c>
      <c r="J1758" s="15">
        <v>0</v>
      </c>
      <c r="K1758" s="15">
        <v>1756686</v>
      </c>
      <c r="L1758" s="15">
        <v>1532897.9582596759</v>
      </c>
      <c r="M1758" s="15">
        <v>223788.04174032409</v>
      </c>
    </row>
    <row r="1759" spans="1:13" x14ac:dyDescent="0.25">
      <c r="A1759" s="12">
        <v>46684</v>
      </c>
      <c r="B1759" s="12" t="s">
        <v>19</v>
      </c>
      <c r="C1759" s="12" t="s">
        <v>20</v>
      </c>
      <c r="D1759" s="12" t="s">
        <v>15</v>
      </c>
      <c r="E1759" s="13">
        <v>96322</v>
      </c>
      <c r="F1759" s="14">
        <v>17</v>
      </c>
      <c r="G1759" s="15">
        <v>7384</v>
      </c>
      <c r="H1759" s="16">
        <v>0.05</v>
      </c>
      <c r="I1759" s="13">
        <v>1</v>
      </c>
      <c r="J1759" s="15">
        <v>6276.4000000000005</v>
      </c>
      <c r="K1759" s="15">
        <v>119251.6</v>
      </c>
      <c r="L1759" s="15">
        <v>90097.238748500924</v>
      </c>
      <c r="M1759" s="15">
        <v>29154.361251499078</v>
      </c>
    </row>
    <row r="1760" spans="1:13" x14ac:dyDescent="0.25">
      <c r="A1760" s="12">
        <v>46685</v>
      </c>
      <c r="B1760" s="12" t="s">
        <v>13</v>
      </c>
      <c r="C1760" s="12" t="s">
        <v>14</v>
      </c>
      <c r="D1760" s="12" t="s">
        <v>18</v>
      </c>
      <c r="E1760" s="13">
        <v>81051</v>
      </c>
      <c r="F1760" s="14">
        <v>21</v>
      </c>
      <c r="G1760" s="15">
        <v>11059</v>
      </c>
      <c r="H1760" s="16">
        <v>0.2</v>
      </c>
      <c r="I1760" s="13">
        <v>1</v>
      </c>
      <c r="J1760" s="15">
        <v>46447.8</v>
      </c>
      <c r="K1760" s="15">
        <v>185791.2</v>
      </c>
      <c r="L1760" s="15">
        <v>115651.9014156207</v>
      </c>
      <c r="M1760" s="15">
        <v>70139.298584379314</v>
      </c>
    </row>
    <row r="1761" spans="1:13" x14ac:dyDescent="0.25">
      <c r="A1761" s="12">
        <v>46686</v>
      </c>
      <c r="B1761" s="12" t="s">
        <v>13</v>
      </c>
      <c r="C1761" s="12" t="s">
        <v>20</v>
      </c>
      <c r="D1761" s="12" t="s">
        <v>25</v>
      </c>
      <c r="E1761" s="13">
        <v>36627</v>
      </c>
      <c r="F1761" s="14">
        <v>44</v>
      </c>
      <c r="G1761" s="15">
        <v>18625</v>
      </c>
      <c r="H1761" s="16">
        <v>0.2</v>
      </c>
      <c r="I1761" s="13">
        <v>1</v>
      </c>
      <c r="J1761" s="15">
        <v>163900</v>
      </c>
      <c r="K1761" s="15">
        <v>655600</v>
      </c>
      <c r="L1761" s="15">
        <v>415049.22691743512</v>
      </c>
      <c r="M1761" s="15">
        <v>240550.77308256491</v>
      </c>
    </row>
    <row r="1762" spans="1:13" x14ac:dyDescent="0.25">
      <c r="A1762" s="12">
        <v>46687</v>
      </c>
      <c r="B1762" s="12" t="s">
        <v>16</v>
      </c>
      <c r="C1762" s="12" t="s">
        <v>21</v>
      </c>
      <c r="D1762" s="12" t="s">
        <v>22</v>
      </c>
      <c r="E1762" s="13">
        <v>25198</v>
      </c>
      <c r="F1762" s="14">
        <v>19</v>
      </c>
      <c r="G1762" s="15">
        <v>4188</v>
      </c>
      <c r="H1762" s="16">
        <v>0.2</v>
      </c>
      <c r="I1762" s="13">
        <v>3</v>
      </c>
      <c r="J1762" s="15">
        <v>15914.4</v>
      </c>
      <c r="K1762" s="15">
        <v>63657.599999999999</v>
      </c>
      <c r="L1762" s="15">
        <v>45518.539223264692</v>
      </c>
      <c r="M1762" s="15">
        <v>18139.06077673531</v>
      </c>
    </row>
    <row r="1763" spans="1:13" x14ac:dyDescent="0.25">
      <c r="A1763" s="12">
        <v>46688</v>
      </c>
      <c r="B1763" s="12" t="s">
        <v>13</v>
      </c>
      <c r="C1763" s="12" t="s">
        <v>21</v>
      </c>
      <c r="D1763" s="12" t="s">
        <v>22</v>
      </c>
      <c r="E1763" s="13">
        <v>79521</v>
      </c>
      <c r="F1763" s="14">
        <v>7</v>
      </c>
      <c r="G1763" s="15">
        <v>24369</v>
      </c>
      <c r="H1763" s="16">
        <v>0.1</v>
      </c>
      <c r="I1763" s="13">
        <v>4</v>
      </c>
      <c r="J1763" s="15">
        <v>17058.3</v>
      </c>
      <c r="K1763" s="15">
        <v>153524.70000000001</v>
      </c>
      <c r="L1763" s="15">
        <v>135419.57171716579</v>
      </c>
      <c r="M1763" s="15">
        <v>18105.128282834248</v>
      </c>
    </row>
    <row r="1764" spans="1:13" x14ac:dyDescent="0.25">
      <c r="A1764" s="12">
        <v>46689</v>
      </c>
      <c r="B1764" s="12" t="s">
        <v>13</v>
      </c>
      <c r="C1764" s="12" t="s">
        <v>14</v>
      </c>
      <c r="D1764" s="12" t="s">
        <v>18</v>
      </c>
      <c r="E1764" s="13">
        <v>39475</v>
      </c>
      <c r="F1764" s="14">
        <v>38</v>
      </c>
      <c r="G1764" s="15">
        <v>47382</v>
      </c>
      <c r="H1764" s="16">
        <v>0.05</v>
      </c>
      <c r="I1764" s="13">
        <v>1</v>
      </c>
      <c r="J1764" s="15">
        <v>90025.8</v>
      </c>
      <c r="K1764" s="15">
        <v>1710490.2</v>
      </c>
      <c r="L1764" s="15">
        <v>1381858.4139742551</v>
      </c>
      <c r="M1764" s="15">
        <v>328631.7860257451</v>
      </c>
    </row>
    <row r="1765" spans="1:13" x14ac:dyDescent="0.25">
      <c r="A1765" s="12">
        <v>46690</v>
      </c>
      <c r="B1765" s="12" t="s">
        <v>13</v>
      </c>
      <c r="C1765" s="12" t="s">
        <v>17</v>
      </c>
      <c r="D1765" s="12" t="s">
        <v>15</v>
      </c>
      <c r="E1765" s="13">
        <v>29403</v>
      </c>
      <c r="F1765" s="14">
        <v>8</v>
      </c>
      <c r="G1765" s="15">
        <v>38637</v>
      </c>
      <c r="H1765" s="16">
        <v>0.2</v>
      </c>
      <c r="I1765" s="13">
        <v>3</v>
      </c>
      <c r="J1765" s="15">
        <v>61819.199999999997</v>
      </c>
      <c r="K1765" s="15">
        <v>247276.79999999999</v>
      </c>
      <c r="L1765" s="15">
        <v>212728.68505526299</v>
      </c>
      <c r="M1765" s="15">
        <v>34548.114944736968</v>
      </c>
    </row>
    <row r="1766" spans="1:13" x14ac:dyDescent="0.25">
      <c r="A1766" s="12">
        <v>46691</v>
      </c>
      <c r="B1766" s="12" t="s">
        <v>19</v>
      </c>
      <c r="C1766" s="12" t="s">
        <v>20</v>
      </c>
      <c r="D1766" s="12" t="s">
        <v>18</v>
      </c>
      <c r="E1766" s="13">
        <v>13681</v>
      </c>
      <c r="F1766" s="14">
        <v>13</v>
      </c>
      <c r="G1766" s="15">
        <v>45206</v>
      </c>
      <c r="H1766" s="16">
        <v>0.2</v>
      </c>
      <c r="I1766" s="13">
        <v>5</v>
      </c>
      <c r="J1766" s="15">
        <v>117535.6</v>
      </c>
      <c r="K1766" s="15">
        <v>470142.4</v>
      </c>
      <c r="L1766" s="15">
        <v>333771.48216186877</v>
      </c>
      <c r="M1766" s="15">
        <v>136370.91783813119</v>
      </c>
    </row>
    <row r="1767" spans="1:13" x14ac:dyDescent="0.25">
      <c r="A1767" s="12">
        <v>46692</v>
      </c>
      <c r="B1767" s="12" t="s">
        <v>16</v>
      </c>
      <c r="C1767" s="12" t="s">
        <v>23</v>
      </c>
      <c r="D1767" s="12" t="s">
        <v>27</v>
      </c>
      <c r="E1767" s="13">
        <v>52292</v>
      </c>
      <c r="F1767" s="14">
        <v>37</v>
      </c>
      <c r="G1767" s="15">
        <v>4523</v>
      </c>
      <c r="H1767" s="16">
        <v>0.05</v>
      </c>
      <c r="I1767" s="13">
        <v>2</v>
      </c>
      <c r="J1767" s="15">
        <v>8367.5500000000011</v>
      </c>
      <c r="K1767" s="15">
        <v>158983.45000000001</v>
      </c>
      <c r="L1767" s="15">
        <v>97451.148912516655</v>
      </c>
      <c r="M1767" s="15">
        <v>61532.301087483364</v>
      </c>
    </row>
    <row r="1768" spans="1:13" x14ac:dyDescent="0.25">
      <c r="A1768" s="12">
        <v>46693</v>
      </c>
      <c r="B1768" s="12" t="s">
        <v>24</v>
      </c>
      <c r="C1768" s="12" t="s">
        <v>14</v>
      </c>
      <c r="D1768" s="12" t="s">
        <v>25</v>
      </c>
      <c r="E1768" s="13">
        <v>15629</v>
      </c>
      <c r="F1768" s="14">
        <v>2</v>
      </c>
      <c r="G1768" s="15">
        <v>49250</v>
      </c>
      <c r="H1768" s="16">
        <v>0</v>
      </c>
      <c r="I1768" s="13">
        <v>4</v>
      </c>
      <c r="J1768" s="15">
        <v>0</v>
      </c>
      <c r="K1768" s="15">
        <v>98500</v>
      </c>
      <c r="L1768" s="15">
        <v>87891.086179390433</v>
      </c>
      <c r="M1768" s="15">
        <v>10608.91382060957</v>
      </c>
    </row>
    <row r="1769" spans="1:13" x14ac:dyDescent="0.25">
      <c r="A1769" s="12">
        <v>46694</v>
      </c>
      <c r="B1769" s="12" t="s">
        <v>19</v>
      </c>
      <c r="C1769" s="12" t="s">
        <v>23</v>
      </c>
      <c r="D1769" s="12" t="s">
        <v>27</v>
      </c>
      <c r="E1769" s="13">
        <v>87814</v>
      </c>
      <c r="F1769" s="14">
        <v>41</v>
      </c>
      <c r="G1769" s="15">
        <v>17600</v>
      </c>
      <c r="H1769" s="16">
        <v>0.2</v>
      </c>
      <c r="I1769" s="13">
        <v>4</v>
      </c>
      <c r="J1769" s="15">
        <v>144320</v>
      </c>
      <c r="K1769" s="15">
        <v>577280</v>
      </c>
      <c r="L1769" s="15">
        <v>349342.08721487178</v>
      </c>
      <c r="M1769" s="15">
        <v>227937.9127851282</v>
      </c>
    </row>
    <row r="1770" spans="1:13" x14ac:dyDescent="0.25">
      <c r="A1770" s="12">
        <v>46695</v>
      </c>
      <c r="B1770" s="12" t="s">
        <v>13</v>
      </c>
      <c r="C1770" s="12" t="s">
        <v>14</v>
      </c>
      <c r="D1770" s="12" t="s">
        <v>22</v>
      </c>
      <c r="E1770" s="13">
        <v>18417</v>
      </c>
      <c r="F1770" s="14">
        <v>11</v>
      </c>
      <c r="G1770" s="15">
        <v>37235</v>
      </c>
      <c r="H1770" s="16">
        <v>0</v>
      </c>
      <c r="I1770" s="13">
        <v>5</v>
      </c>
      <c r="J1770" s="15">
        <v>0</v>
      </c>
      <c r="K1770" s="15">
        <v>409585</v>
      </c>
      <c r="L1770" s="15">
        <v>362194.17069816543</v>
      </c>
      <c r="M1770" s="15">
        <v>47390.82930183463</v>
      </c>
    </row>
    <row r="1771" spans="1:13" x14ac:dyDescent="0.25">
      <c r="A1771" s="12">
        <v>46696</v>
      </c>
      <c r="B1771" s="12" t="s">
        <v>19</v>
      </c>
      <c r="C1771" s="12" t="s">
        <v>17</v>
      </c>
      <c r="D1771" s="12" t="s">
        <v>25</v>
      </c>
      <c r="E1771" s="13">
        <v>44765</v>
      </c>
      <c r="F1771" s="14">
        <v>24</v>
      </c>
      <c r="G1771" s="15">
        <v>7923</v>
      </c>
      <c r="H1771" s="16">
        <v>0.2</v>
      </c>
      <c r="I1771" s="13">
        <v>4</v>
      </c>
      <c r="J1771" s="15">
        <v>38030.400000000001</v>
      </c>
      <c r="K1771" s="15">
        <v>152121.60000000001</v>
      </c>
      <c r="L1771" s="15">
        <v>108098.09987994299</v>
      </c>
      <c r="M1771" s="15">
        <v>44023.500120056982</v>
      </c>
    </row>
    <row r="1772" spans="1:13" x14ac:dyDescent="0.25">
      <c r="A1772" s="12">
        <v>46697</v>
      </c>
      <c r="B1772" s="12" t="s">
        <v>13</v>
      </c>
      <c r="C1772" s="12" t="s">
        <v>17</v>
      </c>
      <c r="D1772" s="12" t="s">
        <v>18</v>
      </c>
      <c r="E1772" s="13">
        <v>84499</v>
      </c>
      <c r="F1772" s="14">
        <v>6</v>
      </c>
      <c r="G1772" s="15">
        <v>39718</v>
      </c>
      <c r="H1772" s="16">
        <v>0.15</v>
      </c>
      <c r="I1772" s="13">
        <v>4</v>
      </c>
      <c r="J1772" s="15">
        <v>35746.199999999997</v>
      </c>
      <c r="K1772" s="15">
        <v>202561.8</v>
      </c>
      <c r="L1772" s="15">
        <v>122150.2591811884</v>
      </c>
      <c r="M1772" s="15">
        <v>80411.540818811583</v>
      </c>
    </row>
    <row r="1773" spans="1:13" x14ac:dyDescent="0.25">
      <c r="A1773" s="12">
        <v>46698</v>
      </c>
      <c r="B1773" s="12" t="s">
        <v>13</v>
      </c>
      <c r="C1773" s="12" t="s">
        <v>17</v>
      </c>
      <c r="D1773" s="12" t="s">
        <v>27</v>
      </c>
      <c r="E1773" s="13">
        <v>66574</v>
      </c>
      <c r="F1773" s="14">
        <v>26</v>
      </c>
      <c r="G1773" s="15">
        <v>12713</v>
      </c>
      <c r="H1773" s="16">
        <v>0.1</v>
      </c>
      <c r="I1773" s="13">
        <v>4</v>
      </c>
      <c r="J1773" s="15">
        <v>33053.800000000003</v>
      </c>
      <c r="K1773" s="15">
        <v>297484.2</v>
      </c>
      <c r="L1773" s="15">
        <v>239994.536326134</v>
      </c>
      <c r="M1773" s="15">
        <v>57489.663673866024</v>
      </c>
    </row>
    <row r="1774" spans="1:13" x14ac:dyDescent="0.25">
      <c r="A1774" s="12">
        <v>46699</v>
      </c>
      <c r="B1774" s="12" t="s">
        <v>19</v>
      </c>
      <c r="C1774" s="12" t="s">
        <v>17</v>
      </c>
      <c r="D1774" s="12" t="s">
        <v>26</v>
      </c>
      <c r="E1774" s="13">
        <v>37675</v>
      </c>
      <c r="F1774" s="14">
        <v>7</v>
      </c>
      <c r="G1774" s="15">
        <v>36483</v>
      </c>
      <c r="H1774" s="16">
        <v>0.2</v>
      </c>
      <c r="I1774" s="13">
        <v>4</v>
      </c>
      <c r="J1774" s="15">
        <v>51076.2</v>
      </c>
      <c r="K1774" s="15">
        <v>204304.8</v>
      </c>
      <c r="L1774" s="15">
        <v>182681.6072121195</v>
      </c>
      <c r="M1774" s="15">
        <v>21623.192787880489</v>
      </c>
    </row>
    <row r="1775" spans="1:13" x14ac:dyDescent="0.25">
      <c r="A1775" s="12">
        <v>46700</v>
      </c>
      <c r="B1775" s="12" t="s">
        <v>16</v>
      </c>
      <c r="C1775" s="12" t="s">
        <v>21</v>
      </c>
      <c r="D1775" s="12" t="s">
        <v>15</v>
      </c>
      <c r="E1775" s="13">
        <v>82267</v>
      </c>
      <c r="F1775" s="14">
        <v>39</v>
      </c>
      <c r="G1775" s="15">
        <v>33658</v>
      </c>
      <c r="H1775" s="16">
        <v>0.15</v>
      </c>
      <c r="I1775" s="13">
        <v>3</v>
      </c>
      <c r="J1775" s="15">
        <v>196899.3</v>
      </c>
      <c r="K1775" s="15">
        <v>1115762.7</v>
      </c>
      <c r="L1775" s="15">
        <v>992680.36911081721</v>
      </c>
      <c r="M1775" s="15">
        <v>123082.3308891827</v>
      </c>
    </row>
    <row r="1776" spans="1:13" x14ac:dyDescent="0.25">
      <c r="A1776" s="12">
        <v>46701</v>
      </c>
      <c r="B1776" s="12" t="s">
        <v>13</v>
      </c>
      <c r="C1776" s="12" t="s">
        <v>21</v>
      </c>
      <c r="D1776" s="12" t="s">
        <v>15</v>
      </c>
      <c r="E1776" s="13">
        <v>50563</v>
      </c>
      <c r="F1776" s="14">
        <v>19</v>
      </c>
      <c r="G1776" s="15">
        <v>28960</v>
      </c>
      <c r="H1776" s="16">
        <v>0.05</v>
      </c>
      <c r="I1776" s="13">
        <v>3</v>
      </c>
      <c r="J1776" s="15">
        <v>27512</v>
      </c>
      <c r="K1776" s="15">
        <v>522728</v>
      </c>
      <c r="L1776" s="15">
        <v>338874.68459754542</v>
      </c>
      <c r="M1776" s="15">
        <v>183853.31540245461</v>
      </c>
    </row>
    <row r="1777" spans="1:13" x14ac:dyDescent="0.25">
      <c r="A1777" s="12">
        <v>46702</v>
      </c>
      <c r="B1777" s="12" t="s">
        <v>16</v>
      </c>
      <c r="C1777" s="12" t="s">
        <v>20</v>
      </c>
      <c r="D1777" s="12" t="s">
        <v>26</v>
      </c>
      <c r="E1777" s="13">
        <v>21332</v>
      </c>
      <c r="F1777" s="14">
        <v>6</v>
      </c>
      <c r="G1777" s="15">
        <v>31517</v>
      </c>
      <c r="H1777" s="16">
        <v>0.15</v>
      </c>
      <c r="I1777" s="13">
        <v>2</v>
      </c>
      <c r="J1777" s="15">
        <v>28365.3</v>
      </c>
      <c r="K1777" s="15">
        <v>160736.70000000001</v>
      </c>
      <c r="L1777" s="15">
        <v>105181.9722687941</v>
      </c>
      <c r="M1777" s="15">
        <v>55554.727731205887</v>
      </c>
    </row>
    <row r="1778" spans="1:13" x14ac:dyDescent="0.25">
      <c r="A1778" s="12">
        <v>46703</v>
      </c>
      <c r="B1778" s="12" t="s">
        <v>24</v>
      </c>
      <c r="C1778" s="12" t="s">
        <v>23</v>
      </c>
      <c r="D1778" s="12" t="s">
        <v>22</v>
      </c>
      <c r="E1778" s="13">
        <v>29177</v>
      </c>
      <c r="F1778" s="14">
        <v>43</v>
      </c>
      <c r="G1778" s="15">
        <v>33500</v>
      </c>
      <c r="H1778" s="16">
        <v>0.05</v>
      </c>
      <c r="I1778" s="13">
        <v>4</v>
      </c>
      <c r="J1778" s="15">
        <v>72025</v>
      </c>
      <c r="K1778" s="15">
        <v>1368475</v>
      </c>
      <c r="L1778" s="15">
        <v>1053262.759855242</v>
      </c>
      <c r="M1778" s="15">
        <v>315212.24014475831</v>
      </c>
    </row>
    <row r="1779" spans="1:13" x14ac:dyDescent="0.25">
      <c r="A1779" s="12">
        <v>46704</v>
      </c>
      <c r="B1779" s="12" t="s">
        <v>13</v>
      </c>
      <c r="C1779" s="12" t="s">
        <v>14</v>
      </c>
      <c r="D1779" s="12" t="s">
        <v>25</v>
      </c>
      <c r="E1779" s="13">
        <v>99254</v>
      </c>
      <c r="F1779" s="14">
        <v>29</v>
      </c>
      <c r="G1779" s="15">
        <v>27002</v>
      </c>
      <c r="H1779" s="16">
        <v>0.2</v>
      </c>
      <c r="I1779" s="13">
        <v>5</v>
      </c>
      <c r="J1779" s="15">
        <v>156611.6</v>
      </c>
      <c r="K1779" s="15">
        <v>626446.4</v>
      </c>
      <c r="L1779" s="15">
        <v>495639.03426559467</v>
      </c>
      <c r="M1779" s="15">
        <v>130807.36573440531</v>
      </c>
    </row>
    <row r="1780" spans="1:13" x14ac:dyDescent="0.25">
      <c r="A1780" s="12">
        <v>46705</v>
      </c>
      <c r="B1780" s="12" t="s">
        <v>16</v>
      </c>
      <c r="C1780" s="12" t="s">
        <v>14</v>
      </c>
      <c r="D1780" s="12" t="s">
        <v>15</v>
      </c>
      <c r="E1780" s="13">
        <v>78447</v>
      </c>
      <c r="F1780" s="14">
        <v>43</v>
      </c>
      <c r="G1780" s="15">
        <v>31490</v>
      </c>
      <c r="H1780" s="16">
        <v>0.05</v>
      </c>
      <c r="I1780" s="13">
        <v>1</v>
      </c>
      <c r="J1780" s="15">
        <v>67703.5</v>
      </c>
      <c r="K1780" s="15">
        <v>1286366.5</v>
      </c>
      <c r="L1780" s="15">
        <v>1057168.6300918979</v>
      </c>
      <c r="M1780" s="15">
        <v>229197.86990810159</v>
      </c>
    </row>
    <row r="1781" spans="1:13" x14ac:dyDescent="0.25">
      <c r="A1781" s="12">
        <v>46706</v>
      </c>
      <c r="B1781" s="12" t="s">
        <v>16</v>
      </c>
      <c r="C1781" s="12" t="s">
        <v>21</v>
      </c>
      <c r="D1781" s="12" t="s">
        <v>26</v>
      </c>
      <c r="E1781" s="13">
        <v>67104</v>
      </c>
      <c r="F1781" s="14">
        <v>39</v>
      </c>
      <c r="G1781" s="15">
        <v>20015</v>
      </c>
      <c r="H1781" s="16">
        <v>0.15</v>
      </c>
      <c r="I1781" s="13">
        <v>2</v>
      </c>
      <c r="J1781" s="15">
        <v>117087.75</v>
      </c>
      <c r="K1781" s="15">
        <v>663497.25</v>
      </c>
      <c r="L1781" s="15">
        <v>434136.27488543361</v>
      </c>
      <c r="M1781" s="15">
        <v>229360.97511456639</v>
      </c>
    </row>
    <row r="1782" spans="1:13" x14ac:dyDescent="0.25">
      <c r="A1782" s="12">
        <v>46707</v>
      </c>
      <c r="B1782" s="12" t="s">
        <v>24</v>
      </c>
      <c r="C1782" s="12" t="s">
        <v>14</v>
      </c>
      <c r="D1782" s="12" t="s">
        <v>18</v>
      </c>
      <c r="E1782" s="13">
        <v>94335</v>
      </c>
      <c r="F1782" s="14">
        <v>2</v>
      </c>
      <c r="G1782" s="15">
        <v>30491</v>
      </c>
      <c r="H1782" s="16">
        <v>0.1</v>
      </c>
      <c r="I1782" s="13">
        <v>1</v>
      </c>
      <c r="J1782" s="15">
        <v>6098.2000000000007</v>
      </c>
      <c r="K1782" s="15">
        <v>54883.8</v>
      </c>
      <c r="L1782" s="15">
        <v>48720.465944568561</v>
      </c>
      <c r="M1782" s="15">
        <v>6163.3340554314418</v>
      </c>
    </row>
    <row r="1783" spans="1:13" x14ac:dyDescent="0.25">
      <c r="A1783" s="12">
        <v>46708</v>
      </c>
      <c r="B1783" s="12" t="s">
        <v>16</v>
      </c>
      <c r="C1783" s="12" t="s">
        <v>21</v>
      </c>
      <c r="D1783" s="12" t="s">
        <v>26</v>
      </c>
      <c r="E1783" s="13">
        <v>90730</v>
      </c>
      <c r="F1783" s="14">
        <v>19</v>
      </c>
      <c r="G1783" s="15">
        <v>8134</v>
      </c>
      <c r="H1783" s="16">
        <v>0</v>
      </c>
      <c r="I1783" s="13">
        <v>1</v>
      </c>
      <c r="J1783" s="15">
        <v>0</v>
      </c>
      <c r="K1783" s="15">
        <v>154546</v>
      </c>
      <c r="L1783" s="15">
        <v>122341.979130743</v>
      </c>
      <c r="M1783" s="15">
        <v>32204.02086925703</v>
      </c>
    </row>
    <row r="1784" spans="1:13" x14ac:dyDescent="0.25">
      <c r="A1784" s="12">
        <v>46709</v>
      </c>
      <c r="B1784" s="12" t="s">
        <v>16</v>
      </c>
      <c r="C1784" s="12" t="s">
        <v>20</v>
      </c>
      <c r="D1784" s="12" t="s">
        <v>22</v>
      </c>
      <c r="E1784" s="13">
        <v>14951</v>
      </c>
      <c r="F1784" s="14">
        <v>4</v>
      </c>
      <c r="G1784" s="15">
        <v>11998</v>
      </c>
      <c r="H1784" s="16">
        <v>0</v>
      </c>
      <c r="I1784" s="13">
        <v>4</v>
      </c>
      <c r="J1784" s="15">
        <v>0</v>
      </c>
      <c r="K1784" s="15">
        <v>47992</v>
      </c>
      <c r="L1784" s="15">
        <v>40990.642719130701</v>
      </c>
      <c r="M1784" s="15">
        <v>7001.3572808692988</v>
      </c>
    </row>
    <row r="1785" spans="1:13" x14ac:dyDescent="0.25">
      <c r="A1785" s="12">
        <v>46710</v>
      </c>
      <c r="B1785" s="12" t="s">
        <v>24</v>
      </c>
      <c r="C1785" s="12" t="s">
        <v>23</v>
      </c>
      <c r="D1785" s="12" t="s">
        <v>22</v>
      </c>
      <c r="E1785" s="13">
        <v>38333</v>
      </c>
      <c r="F1785" s="14">
        <v>6</v>
      </c>
      <c r="G1785" s="15">
        <v>11416</v>
      </c>
      <c r="H1785" s="16">
        <v>0.1</v>
      </c>
      <c r="I1785" s="13">
        <v>5</v>
      </c>
      <c r="J1785" s="15">
        <v>6849.6</v>
      </c>
      <c r="K1785" s="15">
        <v>61646.400000000001</v>
      </c>
      <c r="L1785" s="15">
        <v>46975.772133208251</v>
      </c>
      <c r="M1785" s="15">
        <v>14670.62786679175</v>
      </c>
    </row>
    <row r="1786" spans="1:13" x14ac:dyDescent="0.25">
      <c r="A1786" s="12">
        <v>46711</v>
      </c>
      <c r="B1786" s="12" t="s">
        <v>13</v>
      </c>
      <c r="C1786" s="12" t="s">
        <v>20</v>
      </c>
      <c r="D1786" s="12" t="s">
        <v>27</v>
      </c>
      <c r="E1786" s="13">
        <v>31673</v>
      </c>
      <c r="F1786" s="14">
        <v>49</v>
      </c>
      <c r="G1786" s="15">
        <v>29877</v>
      </c>
      <c r="H1786" s="16">
        <v>0</v>
      </c>
      <c r="I1786" s="13">
        <v>1</v>
      </c>
      <c r="J1786" s="15">
        <v>0</v>
      </c>
      <c r="K1786" s="15">
        <v>1463973</v>
      </c>
      <c r="L1786" s="15">
        <v>1060330.8358190111</v>
      </c>
      <c r="M1786" s="15">
        <v>403642.16418098891</v>
      </c>
    </row>
    <row r="1787" spans="1:13" x14ac:dyDescent="0.25">
      <c r="A1787" s="12">
        <v>46712</v>
      </c>
      <c r="B1787" s="12" t="s">
        <v>16</v>
      </c>
      <c r="C1787" s="12" t="s">
        <v>17</v>
      </c>
      <c r="D1787" s="12" t="s">
        <v>15</v>
      </c>
      <c r="E1787" s="13">
        <v>50870</v>
      </c>
      <c r="F1787" s="14">
        <v>37</v>
      </c>
      <c r="G1787" s="15">
        <v>33501</v>
      </c>
      <c r="H1787" s="16">
        <v>0.2</v>
      </c>
      <c r="I1787" s="13">
        <v>1</v>
      </c>
      <c r="J1787" s="15">
        <v>247907.4</v>
      </c>
      <c r="K1787" s="15">
        <v>991629.6</v>
      </c>
      <c r="L1787" s="15">
        <v>885678.80843808991</v>
      </c>
      <c r="M1787" s="15">
        <v>105950.7915619101</v>
      </c>
    </row>
    <row r="1788" spans="1:13" x14ac:dyDescent="0.25">
      <c r="A1788" s="12">
        <v>46713</v>
      </c>
      <c r="B1788" s="12" t="s">
        <v>16</v>
      </c>
      <c r="C1788" s="12" t="s">
        <v>17</v>
      </c>
      <c r="D1788" s="12" t="s">
        <v>27</v>
      </c>
      <c r="E1788" s="13">
        <v>81101</v>
      </c>
      <c r="F1788" s="14">
        <v>28</v>
      </c>
      <c r="G1788" s="15">
        <v>1891</v>
      </c>
      <c r="H1788" s="16">
        <v>0.2</v>
      </c>
      <c r="I1788" s="13">
        <v>2</v>
      </c>
      <c r="J1788" s="15">
        <v>10589.6</v>
      </c>
      <c r="K1788" s="15">
        <v>42358.400000000001</v>
      </c>
      <c r="L1788" s="15">
        <v>32812.358962120488</v>
      </c>
      <c r="M1788" s="15">
        <v>9546.0410378795132</v>
      </c>
    </row>
    <row r="1789" spans="1:13" x14ac:dyDescent="0.25">
      <c r="A1789" s="12">
        <v>46714</v>
      </c>
      <c r="B1789" s="12" t="s">
        <v>16</v>
      </c>
      <c r="C1789" s="12" t="s">
        <v>17</v>
      </c>
      <c r="D1789" s="12" t="s">
        <v>26</v>
      </c>
      <c r="E1789" s="13">
        <v>32821</v>
      </c>
      <c r="F1789" s="14">
        <v>30</v>
      </c>
      <c r="G1789" s="15">
        <v>44352</v>
      </c>
      <c r="H1789" s="16">
        <v>0.15</v>
      </c>
      <c r="I1789" s="13">
        <v>5</v>
      </c>
      <c r="J1789" s="15">
        <v>199584</v>
      </c>
      <c r="K1789" s="15">
        <v>1130976</v>
      </c>
      <c r="L1789" s="15">
        <v>972709.56515396514</v>
      </c>
      <c r="M1789" s="15">
        <v>158266.43484603491</v>
      </c>
    </row>
    <row r="1790" spans="1:13" x14ac:dyDescent="0.25">
      <c r="A1790" s="12">
        <v>46715</v>
      </c>
      <c r="B1790" s="12" t="s">
        <v>19</v>
      </c>
      <c r="C1790" s="12" t="s">
        <v>20</v>
      </c>
      <c r="D1790" s="12" t="s">
        <v>25</v>
      </c>
      <c r="E1790" s="13">
        <v>35494</v>
      </c>
      <c r="F1790" s="14">
        <v>7</v>
      </c>
      <c r="G1790" s="15">
        <v>42715</v>
      </c>
      <c r="H1790" s="16">
        <v>0.15</v>
      </c>
      <c r="I1790" s="13">
        <v>5</v>
      </c>
      <c r="J1790" s="15">
        <v>44850.75</v>
      </c>
      <c r="K1790" s="15">
        <v>254154.25</v>
      </c>
      <c r="L1790" s="15">
        <v>225177.54420875321</v>
      </c>
      <c r="M1790" s="15">
        <v>28976.705791246841</v>
      </c>
    </row>
    <row r="1791" spans="1:13" x14ac:dyDescent="0.25">
      <c r="A1791" s="12">
        <v>46716</v>
      </c>
      <c r="B1791" s="12" t="s">
        <v>24</v>
      </c>
      <c r="C1791" s="12" t="s">
        <v>14</v>
      </c>
      <c r="D1791" s="12" t="s">
        <v>25</v>
      </c>
      <c r="E1791" s="13">
        <v>84160</v>
      </c>
      <c r="F1791" s="14">
        <v>9</v>
      </c>
      <c r="G1791" s="15">
        <v>14684</v>
      </c>
      <c r="H1791" s="16">
        <v>0.05</v>
      </c>
      <c r="I1791" s="13">
        <v>1</v>
      </c>
      <c r="J1791" s="15">
        <v>6607.8</v>
      </c>
      <c r="K1791" s="15">
        <v>125548.2</v>
      </c>
      <c r="L1791" s="15">
        <v>100765.7873347826</v>
      </c>
      <c r="M1791" s="15">
        <v>24782.412665217431</v>
      </c>
    </row>
    <row r="1792" spans="1:13" x14ac:dyDescent="0.25">
      <c r="A1792" s="12">
        <v>46717</v>
      </c>
      <c r="B1792" s="12" t="s">
        <v>19</v>
      </c>
      <c r="C1792" s="12" t="s">
        <v>23</v>
      </c>
      <c r="D1792" s="12" t="s">
        <v>22</v>
      </c>
      <c r="E1792" s="13">
        <v>10835</v>
      </c>
      <c r="F1792" s="14">
        <v>25</v>
      </c>
      <c r="G1792" s="15">
        <v>27614</v>
      </c>
      <c r="H1792" s="16">
        <v>0.15</v>
      </c>
      <c r="I1792" s="13">
        <v>5</v>
      </c>
      <c r="J1792" s="15">
        <v>103552.5</v>
      </c>
      <c r="K1792" s="15">
        <v>586797.5</v>
      </c>
      <c r="L1792" s="15">
        <v>448713.25326241867</v>
      </c>
      <c r="M1792" s="15">
        <v>138084.2467375813</v>
      </c>
    </row>
    <row r="1793" spans="1:13" x14ac:dyDescent="0.25">
      <c r="A1793" s="12">
        <v>46718</v>
      </c>
      <c r="B1793" s="12" t="s">
        <v>24</v>
      </c>
      <c r="C1793" s="12" t="s">
        <v>17</v>
      </c>
      <c r="D1793" s="12" t="s">
        <v>25</v>
      </c>
      <c r="E1793" s="13">
        <v>28646</v>
      </c>
      <c r="F1793" s="14">
        <v>33</v>
      </c>
      <c r="G1793" s="15">
        <v>12382</v>
      </c>
      <c r="H1793" s="16">
        <v>0.2</v>
      </c>
      <c r="I1793" s="13">
        <v>2</v>
      </c>
      <c r="J1793" s="15">
        <v>81721.200000000012</v>
      </c>
      <c r="K1793" s="15">
        <v>326884.8</v>
      </c>
      <c r="L1793" s="15">
        <v>196475.17313932741</v>
      </c>
      <c r="M1793" s="15">
        <v>130409.62686067259</v>
      </c>
    </row>
    <row r="1794" spans="1:13" x14ac:dyDescent="0.25">
      <c r="A1794" s="12">
        <v>46719</v>
      </c>
      <c r="B1794" s="12" t="s">
        <v>13</v>
      </c>
      <c r="C1794" s="12" t="s">
        <v>17</v>
      </c>
      <c r="D1794" s="12" t="s">
        <v>25</v>
      </c>
      <c r="E1794" s="13">
        <v>87360</v>
      </c>
      <c r="F1794" s="14">
        <v>1</v>
      </c>
      <c r="G1794" s="15">
        <v>48106</v>
      </c>
      <c r="H1794" s="16">
        <v>0.15</v>
      </c>
      <c r="I1794" s="13">
        <v>2</v>
      </c>
      <c r="J1794" s="15">
        <v>7215.9</v>
      </c>
      <c r="K1794" s="15">
        <v>40890.1</v>
      </c>
      <c r="L1794" s="15">
        <v>25024.98213353461</v>
      </c>
      <c r="M1794" s="15">
        <v>15865.117866465391</v>
      </c>
    </row>
    <row r="1795" spans="1:13" x14ac:dyDescent="0.25">
      <c r="A1795" s="12">
        <v>46720</v>
      </c>
      <c r="B1795" s="12" t="s">
        <v>13</v>
      </c>
      <c r="C1795" s="12" t="s">
        <v>17</v>
      </c>
      <c r="D1795" s="12" t="s">
        <v>25</v>
      </c>
      <c r="E1795" s="13">
        <v>47335</v>
      </c>
      <c r="F1795" s="14">
        <v>6</v>
      </c>
      <c r="G1795" s="15">
        <v>17773</v>
      </c>
      <c r="H1795" s="16">
        <v>0</v>
      </c>
      <c r="I1795" s="13">
        <v>2</v>
      </c>
      <c r="J1795" s="15">
        <v>0</v>
      </c>
      <c r="K1795" s="15">
        <v>106638</v>
      </c>
      <c r="L1795" s="15">
        <v>70408.311593177685</v>
      </c>
      <c r="M1795" s="15">
        <v>36229.688406822323</v>
      </c>
    </row>
    <row r="1796" spans="1:13" x14ac:dyDescent="0.25">
      <c r="A1796" s="12">
        <v>46721</v>
      </c>
      <c r="B1796" s="12" t="s">
        <v>16</v>
      </c>
      <c r="C1796" s="12" t="s">
        <v>23</v>
      </c>
      <c r="D1796" s="12" t="s">
        <v>26</v>
      </c>
      <c r="E1796" s="13">
        <v>79351</v>
      </c>
      <c r="F1796" s="14">
        <v>18</v>
      </c>
      <c r="G1796" s="15">
        <v>41170</v>
      </c>
      <c r="H1796" s="16">
        <v>0.05</v>
      </c>
      <c r="I1796" s="13">
        <v>4</v>
      </c>
      <c r="J1796" s="15">
        <v>37053</v>
      </c>
      <c r="K1796" s="15">
        <v>704007</v>
      </c>
      <c r="L1796" s="15">
        <v>461689.57142569311</v>
      </c>
      <c r="M1796" s="15">
        <v>242317.42857430689</v>
      </c>
    </row>
    <row r="1797" spans="1:13" x14ac:dyDescent="0.25">
      <c r="A1797" s="12">
        <v>46722</v>
      </c>
      <c r="B1797" s="12" t="s">
        <v>24</v>
      </c>
      <c r="C1797" s="12" t="s">
        <v>17</v>
      </c>
      <c r="D1797" s="12" t="s">
        <v>25</v>
      </c>
      <c r="E1797" s="13">
        <v>12429</v>
      </c>
      <c r="F1797" s="14">
        <v>10</v>
      </c>
      <c r="G1797" s="15">
        <v>46147</v>
      </c>
      <c r="H1797" s="16">
        <v>0.05</v>
      </c>
      <c r="I1797" s="13">
        <v>1</v>
      </c>
      <c r="J1797" s="15">
        <v>23073.5</v>
      </c>
      <c r="K1797" s="15">
        <v>438396.5</v>
      </c>
      <c r="L1797" s="15">
        <v>296543.50924794871</v>
      </c>
      <c r="M1797" s="15">
        <v>141852.99075205129</v>
      </c>
    </row>
    <row r="1798" spans="1:13" x14ac:dyDescent="0.25">
      <c r="A1798" s="12">
        <v>46723</v>
      </c>
      <c r="B1798" s="12" t="s">
        <v>13</v>
      </c>
      <c r="C1798" s="12" t="s">
        <v>23</v>
      </c>
      <c r="D1798" s="12" t="s">
        <v>18</v>
      </c>
      <c r="E1798" s="13">
        <v>51950</v>
      </c>
      <c r="F1798" s="14">
        <v>28</v>
      </c>
      <c r="G1798" s="15">
        <v>17629</v>
      </c>
      <c r="H1798" s="16">
        <v>0.2</v>
      </c>
      <c r="I1798" s="13">
        <v>5</v>
      </c>
      <c r="J1798" s="15">
        <v>98722.400000000009</v>
      </c>
      <c r="K1798" s="15">
        <v>394889.6</v>
      </c>
      <c r="L1798" s="15">
        <v>273058.41513197217</v>
      </c>
      <c r="M1798" s="15">
        <v>121831.1848680277</v>
      </c>
    </row>
    <row r="1799" spans="1:13" x14ac:dyDescent="0.25">
      <c r="A1799" s="12">
        <v>46724</v>
      </c>
      <c r="B1799" s="12" t="s">
        <v>24</v>
      </c>
      <c r="C1799" s="12" t="s">
        <v>17</v>
      </c>
      <c r="D1799" s="12" t="s">
        <v>25</v>
      </c>
      <c r="E1799" s="13">
        <v>70654</v>
      </c>
      <c r="F1799" s="14">
        <v>11</v>
      </c>
      <c r="G1799" s="15">
        <v>43179</v>
      </c>
      <c r="H1799" s="16">
        <v>0.15</v>
      </c>
      <c r="I1799" s="13">
        <v>2</v>
      </c>
      <c r="J1799" s="15">
        <v>71245.349999999991</v>
      </c>
      <c r="K1799" s="15">
        <v>403723.65</v>
      </c>
      <c r="L1799" s="15">
        <v>285844.27658860543</v>
      </c>
      <c r="M1799" s="15">
        <v>117879.3734113946</v>
      </c>
    </row>
    <row r="1800" spans="1:13" x14ac:dyDescent="0.25">
      <c r="A1800" s="12">
        <v>46725</v>
      </c>
      <c r="B1800" s="12" t="s">
        <v>13</v>
      </c>
      <c r="C1800" s="12" t="s">
        <v>20</v>
      </c>
      <c r="D1800" s="12" t="s">
        <v>25</v>
      </c>
      <c r="E1800" s="13">
        <v>78143</v>
      </c>
      <c r="F1800" s="14">
        <v>33</v>
      </c>
      <c r="G1800" s="15">
        <v>927</v>
      </c>
      <c r="H1800" s="16">
        <v>0</v>
      </c>
      <c r="I1800" s="13">
        <v>1</v>
      </c>
      <c r="J1800" s="15">
        <v>0</v>
      </c>
      <c r="K1800" s="15">
        <v>30591</v>
      </c>
      <c r="L1800" s="15">
        <v>22214.000543069102</v>
      </c>
      <c r="M1800" s="15">
        <v>8376.9994569308983</v>
      </c>
    </row>
    <row r="1801" spans="1:13" x14ac:dyDescent="0.25">
      <c r="A1801" s="12">
        <v>46726</v>
      </c>
      <c r="B1801" s="12" t="s">
        <v>19</v>
      </c>
      <c r="C1801" s="12" t="s">
        <v>20</v>
      </c>
      <c r="D1801" s="12" t="s">
        <v>27</v>
      </c>
      <c r="E1801" s="13">
        <v>87527</v>
      </c>
      <c r="F1801" s="14">
        <v>1</v>
      </c>
      <c r="G1801" s="15">
        <v>31916</v>
      </c>
      <c r="H1801" s="16">
        <v>0.15</v>
      </c>
      <c r="I1801" s="13">
        <v>1</v>
      </c>
      <c r="J1801" s="15">
        <v>4787.3999999999996</v>
      </c>
      <c r="K1801" s="15">
        <v>27128.6</v>
      </c>
      <c r="L1801" s="15">
        <v>17081.791604831349</v>
      </c>
      <c r="M1801" s="15">
        <v>10046.808395168649</v>
      </c>
    </row>
    <row r="1802" spans="1:13" x14ac:dyDescent="0.25">
      <c r="A1802" s="12">
        <v>46727</v>
      </c>
      <c r="B1802" s="12" t="s">
        <v>13</v>
      </c>
      <c r="C1802" s="12" t="s">
        <v>23</v>
      </c>
      <c r="D1802" s="12" t="s">
        <v>26</v>
      </c>
      <c r="E1802" s="13">
        <v>96704</v>
      </c>
      <c r="F1802" s="14">
        <v>13</v>
      </c>
      <c r="G1802" s="15">
        <v>1231</v>
      </c>
      <c r="H1802" s="16">
        <v>0.1</v>
      </c>
      <c r="I1802" s="13">
        <v>4</v>
      </c>
      <c r="J1802" s="15">
        <v>1600.3</v>
      </c>
      <c r="K1802" s="15">
        <v>14402.7</v>
      </c>
      <c r="L1802" s="15">
        <v>8824.6578592009009</v>
      </c>
      <c r="M1802" s="15">
        <v>5578.0421407990998</v>
      </c>
    </row>
    <row r="1803" spans="1:13" x14ac:dyDescent="0.25">
      <c r="A1803" s="12">
        <v>46728</v>
      </c>
      <c r="B1803" s="12" t="s">
        <v>19</v>
      </c>
      <c r="C1803" s="12" t="s">
        <v>20</v>
      </c>
      <c r="D1803" s="12" t="s">
        <v>22</v>
      </c>
      <c r="E1803" s="13">
        <v>41099</v>
      </c>
      <c r="F1803" s="14">
        <v>37</v>
      </c>
      <c r="G1803" s="15">
        <v>1299</v>
      </c>
      <c r="H1803" s="16">
        <v>0.15</v>
      </c>
      <c r="I1803" s="13">
        <v>5</v>
      </c>
      <c r="J1803" s="15">
        <v>7209.45</v>
      </c>
      <c r="K1803" s="15">
        <v>40853.550000000003</v>
      </c>
      <c r="L1803" s="15">
        <v>32772.036974228169</v>
      </c>
      <c r="M1803" s="15">
        <v>8081.5130257718338</v>
      </c>
    </row>
    <row r="1804" spans="1:13" x14ac:dyDescent="0.25">
      <c r="A1804" s="12">
        <v>46729</v>
      </c>
      <c r="B1804" s="12" t="s">
        <v>13</v>
      </c>
      <c r="C1804" s="12" t="s">
        <v>23</v>
      </c>
      <c r="D1804" s="12" t="s">
        <v>27</v>
      </c>
      <c r="E1804" s="13">
        <v>49385</v>
      </c>
      <c r="F1804" s="14">
        <v>20</v>
      </c>
      <c r="G1804" s="15">
        <v>29373</v>
      </c>
      <c r="H1804" s="16">
        <v>0.2</v>
      </c>
      <c r="I1804" s="13">
        <v>5</v>
      </c>
      <c r="J1804" s="15">
        <v>117492</v>
      </c>
      <c r="K1804" s="15">
        <v>469968</v>
      </c>
      <c r="L1804" s="15">
        <v>357739.85188855551</v>
      </c>
      <c r="M1804" s="15">
        <v>112228.14811144451</v>
      </c>
    </row>
    <row r="1805" spans="1:13" x14ac:dyDescent="0.25">
      <c r="A1805" s="12">
        <v>46730</v>
      </c>
      <c r="B1805" s="12" t="s">
        <v>16</v>
      </c>
      <c r="C1805" s="12" t="s">
        <v>20</v>
      </c>
      <c r="D1805" s="12" t="s">
        <v>15</v>
      </c>
      <c r="E1805" s="13">
        <v>45919</v>
      </c>
      <c r="F1805" s="14">
        <v>1</v>
      </c>
      <c r="G1805" s="15">
        <v>7525</v>
      </c>
      <c r="H1805" s="16">
        <v>0.15</v>
      </c>
      <c r="I1805" s="13">
        <v>2</v>
      </c>
      <c r="J1805" s="15">
        <v>1128.75</v>
      </c>
      <c r="K1805" s="15">
        <v>6396.25</v>
      </c>
      <c r="L1805" s="15">
        <v>4690.0072060351322</v>
      </c>
      <c r="M1805" s="15">
        <v>1706.242793964868</v>
      </c>
    </row>
    <row r="1806" spans="1:13" x14ac:dyDescent="0.25">
      <c r="A1806" s="12">
        <v>46731</v>
      </c>
      <c r="B1806" s="12" t="s">
        <v>19</v>
      </c>
      <c r="C1806" s="12" t="s">
        <v>20</v>
      </c>
      <c r="D1806" s="12" t="s">
        <v>26</v>
      </c>
      <c r="E1806" s="13">
        <v>70782</v>
      </c>
      <c r="F1806" s="14">
        <v>3</v>
      </c>
      <c r="G1806" s="15">
        <v>14981</v>
      </c>
      <c r="H1806" s="16">
        <v>0.05</v>
      </c>
      <c r="I1806" s="13">
        <v>2</v>
      </c>
      <c r="J1806" s="15">
        <v>2247.15</v>
      </c>
      <c r="K1806" s="15">
        <v>42695.85</v>
      </c>
      <c r="L1806" s="15">
        <v>33743.895768639843</v>
      </c>
      <c r="M1806" s="15">
        <v>8951.9542313601632</v>
      </c>
    </row>
    <row r="1807" spans="1:13" x14ac:dyDescent="0.25">
      <c r="A1807" s="12">
        <v>46732</v>
      </c>
      <c r="B1807" s="12" t="s">
        <v>13</v>
      </c>
      <c r="C1807" s="12" t="s">
        <v>23</v>
      </c>
      <c r="D1807" s="12" t="s">
        <v>18</v>
      </c>
      <c r="E1807" s="13">
        <v>81116</v>
      </c>
      <c r="F1807" s="14">
        <v>18</v>
      </c>
      <c r="G1807" s="15">
        <v>25911</v>
      </c>
      <c r="H1807" s="16">
        <v>0</v>
      </c>
      <c r="I1807" s="13">
        <v>1</v>
      </c>
      <c r="J1807" s="15">
        <v>0</v>
      </c>
      <c r="K1807" s="15">
        <v>466398</v>
      </c>
      <c r="L1807" s="15">
        <v>395647.20604827511</v>
      </c>
      <c r="M1807" s="15">
        <v>70750.793951724947</v>
      </c>
    </row>
    <row r="1808" spans="1:13" x14ac:dyDescent="0.25">
      <c r="A1808" s="12">
        <v>46733</v>
      </c>
      <c r="B1808" s="12" t="s">
        <v>16</v>
      </c>
      <c r="C1808" s="12" t="s">
        <v>14</v>
      </c>
      <c r="D1808" s="12" t="s">
        <v>26</v>
      </c>
      <c r="E1808" s="13">
        <v>82590</v>
      </c>
      <c r="F1808" s="14">
        <v>41</v>
      </c>
      <c r="G1808" s="15">
        <v>31858</v>
      </c>
      <c r="H1808" s="16">
        <v>0.2</v>
      </c>
      <c r="I1808" s="13">
        <v>5</v>
      </c>
      <c r="J1808" s="15">
        <v>261235.6</v>
      </c>
      <c r="K1808" s="15">
        <v>1044942.4</v>
      </c>
      <c r="L1808" s="15">
        <v>761039.77647446073</v>
      </c>
      <c r="M1808" s="15">
        <v>283902.6235255393</v>
      </c>
    </row>
    <row r="1809" spans="1:13" x14ac:dyDescent="0.25">
      <c r="A1809" s="12">
        <v>46734</v>
      </c>
      <c r="B1809" s="12" t="s">
        <v>19</v>
      </c>
      <c r="C1809" s="12" t="s">
        <v>20</v>
      </c>
      <c r="D1809" s="12" t="s">
        <v>15</v>
      </c>
      <c r="E1809" s="13">
        <v>99626</v>
      </c>
      <c r="F1809" s="14">
        <v>14</v>
      </c>
      <c r="G1809" s="15">
        <v>40892</v>
      </c>
      <c r="H1809" s="16">
        <v>0.1</v>
      </c>
      <c r="I1809" s="13">
        <v>5</v>
      </c>
      <c r="J1809" s="15">
        <v>57248.800000000003</v>
      </c>
      <c r="K1809" s="15">
        <v>515239.2</v>
      </c>
      <c r="L1809" s="15">
        <v>408242.48408334289</v>
      </c>
      <c r="M1809" s="15">
        <v>106996.71591665709</v>
      </c>
    </row>
    <row r="1810" spans="1:13" x14ac:dyDescent="0.25">
      <c r="A1810" s="12">
        <v>46735</v>
      </c>
      <c r="B1810" s="12" t="s">
        <v>16</v>
      </c>
      <c r="C1810" s="12" t="s">
        <v>17</v>
      </c>
      <c r="D1810" s="12" t="s">
        <v>15</v>
      </c>
      <c r="E1810" s="13">
        <v>50387</v>
      </c>
      <c r="F1810" s="14">
        <v>31</v>
      </c>
      <c r="G1810" s="15">
        <v>15461</v>
      </c>
      <c r="H1810" s="16">
        <v>0</v>
      </c>
      <c r="I1810" s="13">
        <v>2</v>
      </c>
      <c r="J1810" s="15">
        <v>0</v>
      </c>
      <c r="K1810" s="15">
        <v>479291</v>
      </c>
      <c r="L1810" s="15">
        <v>424686.17542025307</v>
      </c>
      <c r="M1810" s="15">
        <v>54604.82457974687</v>
      </c>
    </row>
    <row r="1811" spans="1:13" x14ac:dyDescent="0.25">
      <c r="A1811" s="12">
        <v>46736</v>
      </c>
      <c r="B1811" s="12" t="s">
        <v>24</v>
      </c>
      <c r="C1811" s="12" t="s">
        <v>14</v>
      </c>
      <c r="D1811" s="12" t="s">
        <v>15</v>
      </c>
      <c r="E1811" s="13">
        <v>25823</v>
      </c>
      <c r="F1811" s="14">
        <v>27</v>
      </c>
      <c r="G1811" s="15">
        <v>22267</v>
      </c>
      <c r="H1811" s="16">
        <v>0</v>
      </c>
      <c r="I1811" s="13">
        <v>3</v>
      </c>
      <c r="J1811" s="15">
        <v>0</v>
      </c>
      <c r="K1811" s="15">
        <v>601209</v>
      </c>
      <c r="L1811" s="15">
        <v>512162.34105972992</v>
      </c>
      <c r="M1811" s="15">
        <v>89046.658940270136</v>
      </c>
    </row>
    <row r="1812" spans="1:13" x14ac:dyDescent="0.25">
      <c r="A1812" s="12">
        <v>46737</v>
      </c>
      <c r="B1812" s="12" t="s">
        <v>24</v>
      </c>
      <c r="C1812" s="12" t="s">
        <v>23</v>
      </c>
      <c r="D1812" s="12" t="s">
        <v>22</v>
      </c>
      <c r="E1812" s="13">
        <v>56015</v>
      </c>
      <c r="F1812" s="14">
        <v>17</v>
      </c>
      <c r="G1812" s="15">
        <v>41500</v>
      </c>
      <c r="H1812" s="16">
        <v>0.05</v>
      </c>
      <c r="I1812" s="13">
        <v>1</v>
      </c>
      <c r="J1812" s="15">
        <v>35275</v>
      </c>
      <c r="K1812" s="15">
        <v>670225</v>
      </c>
      <c r="L1812" s="15">
        <v>487789.91796569322</v>
      </c>
      <c r="M1812" s="15">
        <v>182435.0820343068</v>
      </c>
    </row>
    <row r="1813" spans="1:13" x14ac:dyDescent="0.25">
      <c r="A1813" s="12">
        <v>46738</v>
      </c>
      <c r="B1813" s="12" t="s">
        <v>19</v>
      </c>
      <c r="C1813" s="12" t="s">
        <v>14</v>
      </c>
      <c r="D1813" s="12" t="s">
        <v>25</v>
      </c>
      <c r="E1813" s="13">
        <v>25339</v>
      </c>
      <c r="F1813" s="14">
        <v>46</v>
      </c>
      <c r="G1813" s="15">
        <v>36635</v>
      </c>
      <c r="H1813" s="16">
        <v>0.05</v>
      </c>
      <c r="I1813" s="13">
        <v>5</v>
      </c>
      <c r="J1813" s="15">
        <v>84260.5</v>
      </c>
      <c r="K1813" s="15">
        <v>1600949.5</v>
      </c>
      <c r="L1813" s="15">
        <v>1270217.4297423279</v>
      </c>
      <c r="M1813" s="15">
        <v>330732.07025767188</v>
      </c>
    </row>
    <row r="1814" spans="1:13" x14ac:dyDescent="0.25">
      <c r="A1814" s="12">
        <v>46739</v>
      </c>
      <c r="B1814" s="12" t="s">
        <v>13</v>
      </c>
      <c r="C1814" s="12" t="s">
        <v>21</v>
      </c>
      <c r="D1814" s="12" t="s">
        <v>26</v>
      </c>
      <c r="E1814" s="13">
        <v>13491</v>
      </c>
      <c r="F1814" s="14">
        <v>29</v>
      </c>
      <c r="G1814" s="15">
        <v>21892</v>
      </c>
      <c r="H1814" s="16">
        <v>0.05</v>
      </c>
      <c r="I1814" s="13">
        <v>4</v>
      </c>
      <c r="J1814" s="15">
        <v>31743.4</v>
      </c>
      <c r="K1814" s="15">
        <v>603124.6</v>
      </c>
      <c r="L1814" s="15">
        <v>393913.50868565473</v>
      </c>
      <c r="M1814" s="15">
        <v>209211.09131434519</v>
      </c>
    </row>
    <row r="1815" spans="1:13" x14ac:dyDescent="0.25">
      <c r="A1815" s="12">
        <v>46740</v>
      </c>
      <c r="B1815" s="12" t="s">
        <v>19</v>
      </c>
      <c r="C1815" s="12" t="s">
        <v>21</v>
      </c>
      <c r="D1815" s="12" t="s">
        <v>25</v>
      </c>
      <c r="E1815" s="13">
        <v>10706</v>
      </c>
      <c r="F1815" s="14">
        <v>36</v>
      </c>
      <c r="G1815" s="15">
        <v>13762</v>
      </c>
      <c r="H1815" s="16">
        <v>0.2</v>
      </c>
      <c r="I1815" s="13">
        <v>4</v>
      </c>
      <c r="J1815" s="15">
        <v>99086.400000000009</v>
      </c>
      <c r="K1815" s="15">
        <v>396345.59999999998</v>
      </c>
      <c r="L1815" s="15">
        <v>304455.51050566661</v>
      </c>
      <c r="M1815" s="15">
        <v>91890.08949433337</v>
      </c>
    </row>
    <row r="1816" spans="1:13" x14ac:dyDescent="0.25">
      <c r="A1816" s="12">
        <v>46741</v>
      </c>
      <c r="B1816" s="12" t="s">
        <v>16</v>
      </c>
      <c r="C1816" s="12" t="s">
        <v>20</v>
      </c>
      <c r="D1816" s="12" t="s">
        <v>25</v>
      </c>
      <c r="E1816" s="13">
        <v>25728</v>
      </c>
      <c r="F1816" s="14">
        <v>37</v>
      </c>
      <c r="G1816" s="15">
        <v>5729</v>
      </c>
      <c r="H1816" s="16">
        <v>0.15</v>
      </c>
      <c r="I1816" s="13">
        <v>3</v>
      </c>
      <c r="J1816" s="15">
        <v>31795.95</v>
      </c>
      <c r="K1816" s="15">
        <v>180177.05</v>
      </c>
      <c r="L1816" s="15">
        <v>161150.0809736597</v>
      </c>
      <c r="M1816" s="15">
        <v>19026.969026340259</v>
      </c>
    </row>
    <row r="1817" spans="1:13" x14ac:dyDescent="0.25">
      <c r="A1817" s="12">
        <v>46742</v>
      </c>
      <c r="B1817" s="12" t="s">
        <v>13</v>
      </c>
      <c r="C1817" s="12" t="s">
        <v>20</v>
      </c>
      <c r="D1817" s="12" t="s">
        <v>18</v>
      </c>
      <c r="E1817" s="13">
        <v>16997</v>
      </c>
      <c r="F1817" s="14">
        <v>26</v>
      </c>
      <c r="G1817" s="15">
        <v>24272</v>
      </c>
      <c r="H1817" s="16">
        <v>0</v>
      </c>
      <c r="I1817" s="13">
        <v>2</v>
      </c>
      <c r="J1817" s="15">
        <v>0</v>
      </c>
      <c r="K1817" s="15">
        <v>631072</v>
      </c>
      <c r="L1817" s="15">
        <v>476771.44691432582</v>
      </c>
      <c r="M1817" s="15">
        <v>154300.55308567421</v>
      </c>
    </row>
    <row r="1818" spans="1:13" x14ac:dyDescent="0.25">
      <c r="A1818" s="12">
        <v>46743</v>
      </c>
      <c r="B1818" s="12" t="s">
        <v>24</v>
      </c>
      <c r="C1818" s="12" t="s">
        <v>17</v>
      </c>
      <c r="D1818" s="12" t="s">
        <v>15</v>
      </c>
      <c r="E1818" s="13">
        <v>70408</v>
      </c>
      <c r="F1818" s="14">
        <v>17</v>
      </c>
      <c r="G1818" s="15">
        <v>19299</v>
      </c>
      <c r="H1818" s="16">
        <v>0.15</v>
      </c>
      <c r="I1818" s="13">
        <v>2</v>
      </c>
      <c r="J1818" s="15">
        <v>49212.45</v>
      </c>
      <c r="K1818" s="15">
        <v>278870.55</v>
      </c>
      <c r="L1818" s="15">
        <v>244929.63080886629</v>
      </c>
      <c r="M1818" s="15">
        <v>33940.919191133733</v>
      </c>
    </row>
    <row r="1819" spans="1:13" x14ac:dyDescent="0.25">
      <c r="A1819" s="12">
        <v>46744</v>
      </c>
      <c r="B1819" s="12" t="s">
        <v>13</v>
      </c>
      <c r="C1819" s="12" t="s">
        <v>14</v>
      </c>
      <c r="D1819" s="12" t="s">
        <v>22</v>
      </c>
      <c r="E1819" s="13">
        <v>68097</v>
      </c>
      <c r="F1819" s="14">
        <v>22</v>
      </c>
      <c r="G1819" s="15">
        <v>47015</v>
      </c>
      <c r="H1819" s="16">
        <v>0.15</v>
      </c>
      <c r="I1819" s="13">
        <v>2</v>
      </c>
      <c r="J1819" s="15">
        <v>155149.5</v>
      </c>
      <c r="K1819" s="15">
        <v>879180.5</v>
      </c>
      <c r="L1819" s="15">
        <v>634944.57572265505</v>
      </c>
      <c r="M1819" s="15">
        <v>244235.92427734501</v>
      </c>
    </row>
    <row r="1820" spans="1:13" x14ac:dyDescent="0.25">
      <c r="A1820" s="12">
        <v>46745</v>
      </c>
      <c r="B1820" s="12" t="s">
        <v>24</v>
      </c>
      <c r="C1820" s="12" t="s">
        <v>21</v>
      </c>
      <c r="D1820" s="12" t="s">
        <v>18</v>
      </c>
      <c r="E1820" s="13">
        <v>48523</v>
      </c>
      <c r="F1820" s="14">
        <v>25</v>
      </c>
      <c r="G1820" s="15">
        <v>24055</v>
      </c>
      <c r="H1820" s="16">
        <v>0.05</v>
      </c>
      <c r="I1820" s="13">
        <v>4</v>
      </c>
      <c r="J1820" s="15">
        <v>30068.75</v>
      </c>
      <c r="K1820" s="15">
        <v>571306.25</v>
      </c>
      <c r="L1820" s="15">
        <v>513977.63776522491</v>
      </c>
      <c r="M1820" s="15">
        <v>57328.612234775093</v>
      </c>
    </row>
    <row r="1821" spans="1:13" x14ac:dyDescent="0.25">
      <c r="A1821" s="12">
        <v>46746</v>
      </c>
      <c r="B1821" s="12" t="s">
        <v>13</v>
      </c>
      <c r="C1821" s="12" t="s">
        <v>20</v>
      </c>
      <c r="D1821" s="12" t="s">
        <v>27</v>
      </c>
      <c r="E1821" s="13">
        <v>35163</v>
      </c>
      <c r="F1821" s="14">
        <v>2</v>
      </c>
      <c r="G1821" s="15">
        <v>27116</v>
      </c>
      <c r="H1821" s="16">
        <v>0.15</v>
      </c>
      <c r="I1821" s="13">
        <v>2</v>
      </c>
      <c r="J1821" s="15">
        <v>8134.7999999999993</v>
      </c>
      <c r="K1821" s="15">
        <v>46097.2</v>
      </c>
      <c r="L1821" s="15">
        <v>35668.446542367528</v>
      </c>
      <c r="M1821" s="15">
        <v>10428.753457632471</v>
      </c>
    </row>
    <row r="1822" spans="1:13" x14ac:dyDescent="0.25">
      <c r="A1822" s="12">
        <v>46747</v>
      </c>
      <c r="B1822" s="12" t="s">
        <v>13</v>
      </c>
      <c r="C1822" s="12" t="s">
        <v>14</v>
      </c>
      <c r="D1822" s="12" t="s">
        <v>22</v>
      </c>
      <c r="E1822" s="13">
        <v>27718</v>
      </c>
      <c r="F1822" s="14">
        <v>22</v>
      </c>
      <c r="G1822" s="15">
        <v>19833</v>
      </c>
      <c r="H1822" s="16">
        <v>0</v>
      </c>
      <c r="I1822" s="13">
        <v>4</v>
      </c>
      <c r="J1822" s="15">
        <v>0</v>
      </c>
      <c r="K1822" s="15">
        <v>436326</v>
      </c>
      <c r="L1822" s="15">
        <v>267328.51835369651</v>
      </c>
      <c r="M1822" s="15">
        <v>168997.48164630349</v>
      </c>
    </row>
    <row r="1823" spans="1:13" x14ac:dyDescent="0.25">
      <c r="A1823" s="12">
        <v>46748</v>
      </c>
      <c r="B1823" s="12" t="s">
        <v>13</v>
      </c>
      <c r="C1823" s="12" t="s">
        <v>20</v>
      </c>
      <c r="D1823" s="12" t="s">
        <v>25</v>
      </c>
      <c r="E1823" s="13">
        <v>97508</v>
      </c>
      <c r="F1823" s="14">
        <v>5</v>
      </c>
      <c r="G1823" s="15">
        <v>4761</v>
      </c>
      <c r="H1823" s="16">
        <v>0</v>
      </c>
      <c r="I1823" s="13">
        <v>3</v>
      </c>
      <c r="J1823" s="15">
        <v>0</v>
      </c>
      <c r="K1823" s="15">
        <v>23805</v>
      </c>
      <c r="L1823" s="15">
        <v>18473.309380571551</v>
      </c>
      <c r="M1823" s="15">
        <v>5331.6906194284529</v>
      </c>
    </row>
    <row r="1824" spans="1:13" x14ac:dyDescent="0.25">
      <c r="A1824" s="12">
        <v>46749</v>
      </c>
      <c r="B1824" s="12" t="s">
        <v>16</v>
      </c>
      <c r="C1824" s="12" t="s">
        <v>20</v>
      </c>
      <c r="D1824" s="12" t="s">
        <v>22</v>
      </c>
      <c r="E1824" s="13">
        <v>93767</v>
      </c>
      <c r="F1824" s="14">
        <v>4</v>
      </c>
      <c r="G1824" s="15">
        <v>3966</v>
      </c>
      <c r="H1824" s="16">
        <v>0.1</v>
      </c>
      <c r="I1824" s="13">
        <v>1</v>
      </c>
      <c r="J1824" s="15">
        <v>1586.4</v>
      </c>
      <c r="K1824" s="15">
        <v>14277.6</v>
      </c>
      <c r="L1824" s="15">
        <v>9742.6317359505028</v>
      </c>
      <c r="M1824" s="15">
        <v>4534.9682640494984</v>
      </c>
    </row>
    <row r="1825" spans="1:13" x14ac:dyDescent="0.25">
      <c r="A1825" s="12">
        <v>46750</v>
      </c>
      <c r="B1825" s="12" t="s">
        <v>16</v>
      </c>
      <c r="C1825" s="12" t="s">
        <v>21</v>
      </c>
      <c r="D1825" s="12" t="s">
        <v>15</v>
      </c>
      <c r="E1825" s="13">
        <v>49619</v>
      </c>
      <c r="F1825" s="14">
        <v>36</v>
      </c>
      <c r="G1825" s="15">
        <v>47053</v>
      </c>
      <c r="H1825" s="16">
        <v>0.2</v>
      </c>
      <c r="I1825" s="13">
        <v>5</v>
      </c>
      <c r="J1825" s="15">
        <v>338781.6</v>
      </c>
      <c r="K1825" s="15">
        <v>1355126.4</v>
      </c>
      <c r="L1825" s="15">
        <v>826280.72909932269</v>
      </c>
      <c r="M1825" s="15">
        <v>528845.67090067721</v>
      </c>
    </row>
    <row r="1826" spans="1:13" x14ac:dyDescent="0.25">
      <c r="A1826" s="12">
        <v>46751</v>
      </c>
      <c r="B1826" s="12" t="s">
        <v>19</v>
      </c>
      <c r="C1826" s="12" t="s">
        <v>21</v>
      </c>
      <c r="D1826" s="12" t="s">
        <v>27</v>
      </c>
      <c r="E1826" s="13">
        <v>22126</v>
      </c>
      <c r="F1826" s="14">
        <v>6</v>
      </c>
      <c r="G1826" s="15">
        <v>3588</v>
      </c>
      <c r="H1826" s="16">
        <v>0.15</v>
      </c>
      <c r="I1826" s="13">
        <v>3</v>
      </c>
      <c r="J1826" s="15">
        <v>3229.2</v>
      </c>
      <c r="K1826" s="15">
        <v>18298.8</v>
      </c>
      <c r="L1826" s="15">
        <v>15485.46913558401</v>
      </c>
      <c r="M1826" s="15">
        <v>2813.3308644159879</v>
      </c>
    </row>
    <row r="1827" spans="1:13" x14ac:dyDescent="0.25">
      <c r="A1827" s="12">
        <v>46752</v>
      </c>
      <c r="B1827" s="12" t="s">
        <v>19</v>
      </c>
      <c r="C1827" s="12" t="s">
        <v>20</v>
      </c>
      <c r="D1827" s="12" t="s">
        <v>15</v>
      </c>
      <c r="E1827" s="13">
        <v>99131</v>
      </c>
      <c r="F1827" s="14">
        <v>21</v>
      </c>
      <c r="G1827" s="15">
        <v>46283</v>
      </c>
      <c r="H1827" s="16">
        <v>0.2</v>
      </c>
      <c r="I1827" s="13">
        <v>4</v>
      </c>
      <c r="J1827" s="15">
        <v>194388.6</v>
      </c>
      <c r="K1827" s="15">
        <v>777554.4</v>
      </c>
      <c r="L1827" s="15">
        <v>530851.07773343683</v>
      </c>
      <c r="M1827" s="15">
        <v>246703.32226656319</v>
      </c>
    </row>
    <row r="1828" spans="1:13" x14ac:dyDescent="0.25">
      <c r="A1828" s="12">
        <v>46753</v>
      </c>
      <c r="B1828" s="12" t="s">
        <v>24</v>
      </c>
      <c r="C1828" s="12" t="s">
        <v>23</v>
      </c>
      <c r="D1828" s="12" t="s">
        <v>27</v>
      </c>
      <c r="E1828" s="13">
        <v>74926</v>
      </c>
      <c r="F1828" s="14">
        <v>13</v>
      </c>
      <c r="G1828" s="15">
        <v>1615</v>
      </c>
      <c r="H1828" s="16">
        <v>0.2</v>
      </c>
      <c r="I1828" s="13">
        <v>3</v>
      </c>
      <c r="J1828" s="15">
        <v>4199</v>
      </c>
      <c r="K1828" s="15">
        <v>16796</v>
      </c>
      <c r="L1828" s="15">
        <v>14091.248854129501</v>
      </c>
      <c r="M1828" s="15">
        <v>2704.751145870503</v>
      </c>
    </row>
    <row r="1829" spans="1:13" x14ac:dyDescent="0.25">
      <c r="A1829" s="12">
        <v>46754</v>
      </c>
      <c r="B1829" s="12" t="s">
        <v>16</v>
      </c>
      <c r="C1829" s="12" t="s">
        <v>20</v>
      </c>
      <c r="D1829" s="12" t="s">
        <v>18</v>
      </c>
      <c r="E1829" s="13">
        <v>50633</v>
      </c>
      <c r="F1829" s="14">
        <v>37</v>
      </c>
      <c r="G1829" s="15">
        <v>5078</v>
      </c>
      <c r="H1829" s="16">
        <v>0.2</v>
      </c>
      <c r="I1829" s="13">
        <v>5</v>
      </c>
      <c r="J1829" s="15">
        <v>37577.199999999997</v>
      </c>
      <c r="K1829" s="15">
        <v>150308.79999999999</v>
      </c>
      <c r="L1829" s="15">
        <v>103181.771709899</v>
      </c>
      <c r="M1829" s="15">
        <v>47127.028290100949</v>
      </c>
    </row>
    <row r="1830" spans="1:13" x14ac:dyDescent="0.25">
      <c r="A1830" s="12">
        <v>46755</v>
      </c>
      <c r="B1830" s="12" t="s">
        <v>24</v>
      </c>
      <c r="C1830" s="12" t="s">
        <v>20</v>
      </c>
      <c r="D1830" s="12" t="s">
        <v>25</v>
      </c>
      <c r="E1830" s="13">
        <v>87654</v>
      </c>
      <c r="F1830" s="14">
        <v>25</v>
      </c>
      <c r="G1830" s="15">
        <v>3090</v>
      </c>
      <c r="H1830" s="16">
        <v>0.2</v>
      </c>
      <c r="I1830" s="13">
        <v>1</v>
      </c>
      <c r="J1830" s="15">
        <v>15450</v>
      </c>
      <c r="K1830" s="15">
        <v>61800</v>
      </c>
      <c r="L1830" s="15">
        <v>40682.810600819772</v>
      </c>
      <c r="M1830" s="15">
        <v>21117.189399180232</v>
      </c>
    </row>
    <row r="1831" spans="1:13" x14ac:dyDescent="0.25">
      <c r="A1831" s="12">
        <v>46756</v>
      </c>
      <c r="B1831" s="12" t="s">
        <v>19</v>
      </c>
      <c r="C1831" s="12" t="s">
        <v>17</v>
      </c>
      <c r="D1831" s="12" t="s">
        <v>27</v>
      </c>
      <c r="E1831" s="13">
        <v>13317</v>
      </c>
      <c r="F1831" s="14">
        <v>26</v>
      </c>
      <c r="G1831" s="15">
        <v>7872</v>
      </c>
      <c r="H1831" s="16">
        <v>0</v>
      </c>
      <c r="I1831" s="13">
        <v>5</v>
      </c>
      <c r="J1831" s="15">
        <v>0</v>
      </c>
      <c r="K1831" s="15">
        <v>204672</v>
      </c>
      <c r="L1831" s="15">
        <v>182604.40254693039</v>
      </c>
      <c r="M1831" s="15">
        <v>22067.597453069578</v>
      </c>
    </row>
    <row r="1832" spans="1:13" x14ac:dyDescent="0.25">
      <c r="A1832" s="12">
        <v>46757</v>
      </c>
      <c r="B1832" s="12" t="s">
        <v>24</v>
      </c>
      <c r="C1832" s="12" t="s">
        <v>17</v>
      </c>
      <c r="D1832" s="12" t="s">
        <v>27</v>
      </c>
      <c r="E1832" s="13">
        <v>54980</v>
      </c>
      <c r="F1832" s="14">
        <v>39</v>
      </c>
      <c r="G1832" s="15">
        <v>4073</v>
      </c>
      <c r="H1832" s="16">
        <v>0.15</v>
      </c>
      <c r="I1832" s="13">
        <v>4</v>
      </c>
      <c r="J1832" s="15">
        <v>23827.05</v>
      </c>
      <c r="K1832" s="15">
        <v>135019.95000000001</v>
      </c>
      <c r="L1832" s="15">
        <v>95660.770221364903</v>
      </c>
      <c r="M1832" s="15">
        <v>39359.179778635109</v>
      </c>
    </row>
    <row r="1833" spans="1:13" x14ac:dyDescent="0.25">
      <c r="A1833" s="12">
        <v>46758</v>
      </c>
      <c r="B1833" s="12" t="s">
        <v>19</v>
      </c>
      <c r="C1833" s="12" t="s">
        <v>17</v>
      </c>
      <c r="D1833" s="12" t="s">
        <v>27</v>
      </c>
      <c r="E1833" s="13">
        <v>54115</v>
      </c>
      <c r="F1833" s="14">
        <v>20</v>
      </c>
      <c r="G1833" s="15">
        <v>3478</v>
      </c>
      <c r="H1833" s="16">
        <v>0.1</v>
      </c>
      <c r="I1833" s="13">
        <v>5</v>
      </c>
      <c r="J1833" s="15">
        <v>6956</v>
      </c>
      <c r="K1833" s="15">
        <v>62604</v>
      </c>
      <c r="L1833" s="15">
        <v>48856.966902356282</v>
      </c>
      <c r="M1833" s="15">
        <v>13747.03309764372</v>
      </c>
    </row>
    <row r="1834" spans="1:13" x14ac:dyDescent="0.25">
      <c r="A1834" s="12">
        <v>46759</v>
      </c>
      <c r="B1834" s="12" t="s">
        <v>16</v>
      </c>
      <c r="C1834" s="12" t="s">
        <v>23</v>
      </c>
      <c r="D1834" s="12" t="s">
        <v>22</v>
      </c>
      <c r="E1834" s="13">
        <v>71646</v>
      </c>
      <c r="F1834" s="14">
        <v>33</v>
      </c>
      <c r="G1834" s="15">
        <v>43907</v>
      </c>
      <c r="H1834" s="16">
        <v>0.2</v>
      </c>
      <c r="I1834" s="13">
        <v>3</v>
      </c>
      <c r="J1834" s="15">
        <v>289786.2</v>
      </c>
      <c r="K1834" s="15">
        <v>1159144.8</v>
      </c>
      <c r="L1834" s="15">
        <v>907603.94264763966</v>
      </c>
      <c r="M1834" s="15">
        <v>251540.85735236041</v>
      </c>
    </row>
    <row r="1835" spans="1:13" x14ac:dyDescent="0.25">
      <c r="A1835" s="12">
        <v>46760</v>
      </c>
      <c r="B1835" s="12" t="s">
        <v>13</v>
      </c>
      <c r="C1835" s="12" t="s">
        <v>23</v>
      </c>
      <c r="D1835" s="12" t="s">
        <v>18</v>
      </c>
      <c r="E1835" s="13">
        <v>53158</v>
      </c>
      <c r="F1835" s="14">
        <v>14</v>
      </c>
      <c r="G1835" s="15">
        <v>9922</v>
      </c>
      <c r="H1835" s="16">
        <v>0.1</v>
      </c>
      <c r="I1835" s="13">
        <v>2</v>
      </c>
      <c r="J1835" s="15">
        <v>13890.8</v>
      </c>
      <c r="K1835" s="15">
        <v>125017.2</v>
      </c>
      <c r="L1835" s="15">
        <v>96030.967624674333</v>
      </c>
      <c r="M1835" s="15">
        <v>28986.232375325661</v>
      </c>
    </row>
    <row r="1836" spans="1:13" x14ac:dyDescent="0.25">
      <c r="A1836" s="12">
        <v>46761</v>
      </c>
      <c r="B1836" s="12" t="s">
        <v>16</v>
      </c>
      <c r="C1836" s="12" t="s">
        <v>20</v>
      </c>
      <c r="D1836" s="12" t="s">
        <v>22</v>
      </c>
      <c r="E1836" s="13">
        <v>65963</v>
      </c>
      <c r="F1836" s="14">
        <v>36</v>
      </c>
      <c r="G1836" s="15">
        <v>44126</v>
      </c>
      <c r="H1836" s="16">
        <v>0</v>
      </c>
      <c r="I1836" s="13">
        <v>3</v>
      </c>
      <c r="J1836" s="15">
        <v>0</v>
      </c>
      <c r="K1836" s="15">
        <v>1588536</v>
      </c>
      <c r="L1836" s="15">
        <v>1389029.7352890649</v>
      </c>
      <c r="M1836" s="15">
        <v>199506.26471093509</v>
      </c>
    </row>
    <row r="1837" spans="1:13" x14ac:dyDescent="0.25">
      <c r="A1837" s="12">
        <v>46762</v>
      </c>
      <c r="B1837" s="12" t="s">
        <v>24</v>
      </c>
      <c r="C1837" s="12" t="s">
        <v>17</v>
      </c>
      <c r="D1837" s="12" t="s">
        <v>25</v>
      </c>
      <c r="E1837" s="13">
        <v>57631</v>
      </c>
      <c r="F1837" s="14">
        <v>17</v>
      </c>
      <c r="G1837" s="15">
        <v>24197</v>
      </c>
      <c r="H1837" s="16">
        <v>0</v>
      </c>
      <c r="I1837" s="13">
        <v>4</v>
      </c>
      <c r="J1837" s="15">
        <v>0</v>
      </c>
      <c r="K1837" s="15">
        <v>411349</v>
      </c>
      <c r="L1837" s="15">
        <v>330038.59807970701</v>
      </c>
      <c r="M1837" s="15">
        <v>81310.401920292992</v>
      </c>
    </row>
    <row r="1838" spans="1:13" x14ac:dyDescent="0.25">
      <c r="A1838" s="12">
        <v>46763</v>
      </c>
      <c r="B1838" s="12" t="s">
        <v>24</v>
      </c>
      <c r="C1838" s="12" t="s">
        <v>23</v>
      </c>
      <c r="D1838" s="12" t="s">
        <v>27</v>
      </c>
      <c r="E1838" s="13">
        <v>59316</v>
      </c>
      <c r="F1838" s="14">
        <v>21</v>
      </c>
      <c r="G1838" s="15">
        <v>31320</v>
      </c>
      <c r="H1838" s="16">
        <v>0.05</v>
      </c>
      <c r="I1838" s="13">
        <v>1</v>
      </c>
      <c r="J1838" s="15">
        <v>32886</v>
      </c>
      <c r="K1838" s="15">
        <v>624834</v>
      </c>
      <c r="L1838" s="15">
        <v>450580.23236606998</v>
      </c>
      <c r="M1838" s="15">
        <v>174253.76763392999</v>
      </c>
    </row>
    <row r="1839" spans="1:13" x14ac:dyDescent="0.25">
      <c r="A1839" s="12">
        <v>46764</v>
      </c>
      <c r="B1839" s="12" t="s">
        <v>16</v>
      </c>
      <c r="C1839" s="12" t="s">
        <v>21</v>
      </c>
      <c r="D1839" s="12" t="s">
        <v>18</v>
      </c>
      <c r="E1839" s="13">
        <v>69342</v>
      </c>
      <c r="F1839" s="14">
        <v>46</v>
      </c>
      <c r="G1839" s="15">
        <v>38243</v>
      </c>
      <c r="H1839" s="16">
        <v>0.2</v>
      </c>
      <c r="I1839" s="13">
        <v>5</v>
      </c>
      <c r="J1839" s="15">
        <v>351835.6</v>
      </c>
      <c r="K1839" s="15">
        <v>1407342.4</v>
      </c>
      <c r="L1839" s="15">
        <v>1208504.7840207941</v>
      </c>
      <c r="M1839" s="15">
        <v>198837.61597920561</v>
      </c>
    </row>
    <row r="1840" spans="1:13" x14ac:dyDescent="0.25">
      <c r="A1840" s="12">
        <v>46765</v>
      </c>
      <c r="B1840" s="12" t="s">
        <v>16</v>
      </c>
      <c r="C1840" s="12" t="s">
        <v>20</v>
      </c>
      <c r="D1840" s="12" t="s">
        <v>18</v>
      </c>
      <c r="E1840" s="13">
        <v>25504</v>
      </c>
      <c r="F1840" s="14">
        <v>16</v>
      </c>
      <c r="G1840" s="15">
        <v>5425</v>
      </c>
      <c r="H1840" s="16">
        <v>0.05</v>
      </c>
      <c r="I1840" s="13">
        <v>1</v>
      </c>
      <c r="J1840" s="15">
        <v>4340</v>
      </c>
      <c r="K1840" s="15">
        <v>82460</v>
      </c>
      <c r="L1840" s="15">
        <v>53955.133998330719</v>
      </c>
      <c r="M1840" s="15">
        <v>28504.866001669281</v>
      </c>
    </row>
    <row r="1841" spans="1:13" x14ac:dyDescent="0.25">
      <c r="A1841" s="12">
        <v>46766</v>
      </c>
      <c r="B1841" s="12" t="s">
        <v>19</v>
      </c>
      <c r="C1841" s="12" t="s">
        <v>14</v>
      </c>
      <c r="D1841" s="12" t="s">
        <v>26</v>
      </c>
      <c r="E1841" s="13">
        <v>78593</v>
      </c>
      <c r="F1841" s="14">
        <v>46</v>
      </c>
      <c r="G1841" s="15">
        <v>29930</v>
      </c>
      <c r="H1841" s="16">
        <v>0.1</v>
      </c>
      <c r="I1841" s="13">
        <v>4</v>
      </c>
      <c r="J1841" s="15">
        <v>137678</v>
      </c>
      <c r="K1841" s="15">
        <v>1239102</v>
      </c>
      <c r="L1841" s="15">
        <v>945770.65644857509</v>
      </c>
      <c r="M1841" s="15">
        <v>293331.34355142491</v>
      </c>
    </row>
    <row r="1842" spans="1:13" x14ac:dyDescent="0.25">
      <c r="A1842" s="12">
        <v>46767</v>
      </c>
      <c r="B1842" s="12" t="s">
        <v>24</v>
      </c>
      <c r="C1842" s="12" t="s">
        <v>20</v>
      </c>
      <c r="D1842" s="12" t="s">
        <v>25</v>
      </c>
      <c r="E1842" s="13">
        <v>36660</v>
      </c>
      <c r="F1842" s="14">
        <v>16</v>
      </c>
      <c r="G1842" s="15">
        <v>29334</v>
      </c>
      <c r="H1842" s="16">
        <v>0.15</v>
      </c>
      <c r="I1842" s="13">
        <v>5</v>
      </c>
      <c r="J1842" s="15">
        <v>70401.599999999991</v>
      </c>
      <c r="K1842" s="15">
        <v>398942.4</v>
      </c>
      <c r="L1842" s="15">
        <v>353129.89401124051</v>
      </c>
      <c r="M1842" s="15">
        <v>45812.505988759571</v>
      </c>
    </row>
    <row r="1843" spans="1:13" x14ac:dyDescent="0.25">
      <c r="A1843" s="12">
        <v>46768</v>
      </c>
      <c r="B1843" s="12" t="s">
        <v>24</v>
      </c>
      <c r="C1843" s="12" t="s">
        <v>14</v>
      </c>
      <c r="D1843" s="12" t="s">
        <v>18</v>
      </c>
      <c r="E1843" s="13">
        <v>47196</v>
      </c>
      <c r="F1843" s="14">
        <v>20</v>
      </c>
      <c r="G1843" s="15">
        <v>24935</v>
      </c>
      <c r="H1843" s="16">
        <v>0.05</v>
      </c>
      <c r="I1843" s="13">
        <v>3</v>
      </c>
      <c r="J1843" s="15">
        <v>24935</v>
      </c>
      <c r="K1843" s="15">
        <v>473765</v>
      </c>
      <c r="L1843" s="15">
        <v>373146.45243608812</v>
      </c>
      <c r="M1843" s="15">
        <v>100618.5475639119</v>
      </c>
    </row>
    <row r="1844" spans="1:13" x14ac:dyDescent="0.25">
      <c r="A1844" s="12">
        <v>46769</v>
      </c>
      <c r="B1844" s="12" t="s">
        <v>16</v>
      </c>
      <c r="C1844" s="12" t="s">
        <v>17</v>
      </c>
      <c r="D1844" s="12" t="s">
        <v>27</v>
      </c>
      <c r="E1844" s="13">
        <v>75938</v>
      </c>
      <c r="F1844" s="14">
        <v>29</v>
      </c>
      <c r="G1844" s="15">
        <v>22176</v>
      </c>
      <c r="H1844" s="16">
        <v>0</v>
      </c>
      <c r="I1844" s="13">
        <v>3</v>
      </c>
      <c r="J1844" s="15">
        <v>0</v>
      </c>
      <c r="K1844" s="15">
        <v>643104</v>
      </c>
      <c r="L1844" s="15">
        <v>543481.1035122585</v>
      </c>
      <c r="M1844" s="15">
        <v>99622.896487741498</v>
      </c>
    </row>
    <row r="1845" spans="1:13" x14ac:dyDescent="0.25">
      <c r="A1845" s="12">
        <v>46770</v>
      </c>
      <c r="B1845" s="12" t="s">
        <v>13</v>
      </c>
      <c r="C1845" s="12" t="s">
        <v>14</v>
      </c>
      <c r="D1845" s="12" t="s">
        <v>27</v>
      </c>
      <c r="E1845" s="13">
        <v>18605</v>
      </c>
      <c r="F1845" s="14">
        <v>28</v>
      </c>
      <c r="G1845" s="15">
        <v>44054</v>
      </c>
      <c r="H1845" s="16">
        <v>0.2</v>
      </c>
      <c r="I1845" s="13">
        <v>4</v>
      </c>
      <c r="J1845" s="15">
        <v>246702.4</v>
      </c>
      <c r="K1845" s="15">
        <v>986809.6</v>
      </c>
      <c r="L1845" s="15">
        <v>785567.75944528845</v>
      </c>
      <c r="M1845" s="15">
        <v>201241.8405547115</v>
      </c>
    </row>
    <row r="1846" spans="1:13" x14ac:dyDescent="0.25">
      <c r="A1846" s="12">
        <v>46771</v>
      </c>
      <c r="B1846" s="12" t="s">
        <v>24</v>
      </c>
      <c r="C1846" s="12" t="s">
        <v>17</v>
      </c>
      <c r="D1846" s="12" t="s">
        <v>18</v>
      </c>
      <c r="E1846" s="13">
        <v>67388</v>
      </c>
      <c r="F1846" s="14">
        <v>8</v>
      </c>
      <c r="G1846" s="15">
        <v>20314</v>
      </c>
      <c r="H1846" s="16">
        <v>0.1</v>
      </c>
      <c r="I1846" s="13">
        <v>5</v>
      </c>
      <c r="J1846" s="15">
        <v>16251.2</v>
      </c>
      <c r="K1846" s="15">
        <v>146260.79999999999</v>
      </c>
      <c r="L1846" s="15">
        <v>124586.5961993228</v>
      </c>
      <c r="M1846" s="15">
        <v>21674.203800677191</v>
      </c>
    </row>
    <row r="1847" spans="1:13" x14ac:dyDescent="0.25">
      <c r="A1847" s="12">
        <v>46772</v>
      </c>
      <c r="B1847" s="12" t="s">
        <v>13</v>
      </c>
      <c r="C1847" s="12" t="s">
        <v>21</v>
      </c>
      <c r="D1847" s="12" t="s">
        <v>22</v>
      </c>
      <c r="E1847" s="13">
        <v>91297</v>
      </c>
      <c r="F1847" s="14">
        <v>24</v>
      </c>
      <c r="G1847" s="15">
        <v>15216</v>
      </c>
      <c r="H1847" s="16">
        <v>0</v>
      </c>
      <c r="I1847" s="13">
        <v>3</v>
      </c>
      <c r="J1847" s="15">
        <v>0</v>
      </c>
      <c r="K1847" s="15">
        <v>365184</v>
      </c>
      <c r="L1847" s="15">
        <v>322583.95857402158</v>
      </c>
      <c r="M1847" s="15">
        <v>42600.041425978357</v>
      </c>
    </row>
    <row r="1848" spans="1:13" x14ac:dyDescent="0.25">
      <c r="A1848" s="12">
        <v>46773</v>
      </c>
      <c r="B1848" s="12" t="s">
        <v>16</v>
      </c>
      <c r="C1848" s="12" t="s">
        <v>14</v>
      </c>
      <c r="D1848" s="12" t="s">
        <v>25</v>
      </c>
      <c r="E1848" s="13">
        <v>65501</v>
      </c>
      <c r="F1848" s="14">
        <v>3</v>
      </c>
      <c r="G1848" s="15">
        <v>28028</v>
      </c>
      <c r="H1848" s="16">
        <v>0.15</v>
      </c>
      <c r="I1848" s="13">
        <v>4</v>
      </c>
      <c r="J1848" s="15">
        <v>12612.6</v>
      </c>
      <c r="K1848" s="15">
        <v>71471.399999999994</v>
      </c>
      <c r="L1848" s="15">
        <v>48734.669387154972</v>
      </c>
      <c r="M1848" s="15">
        <v>22736.730612845029</v>
      </c>
    </row>
    <row r="1849" spans="1:13" x14ac:dyDescent="0.25">
      <c r="A1849" s="12">
        <v>46774</v>
      </c>
      <c r="B1849" s="12" t="s">
        <v>16</v>
      </c>
      <c r="C1849" s="12" t="s">
        <v>20</v>
      </c>
      <c r="D1849" s="12" t="s">
        <v>27</v>
      </c>
      <c r="E1849" s="13">
        <v>63309</v>
      </c>
      <c r="F1849" s="14">
        <v>25</v>
      </c>
      <c r="G1849" s="15">
        <v>2495</v>
      </c>
      <c r="H1849" s="16">
        <v>0.2</v>
      </c>
      <c r="I1849" s="13">
        <v>4</v>
      </c>
      <c r="J1849" s="15">
        <v>12475</v>
      </c>
      <c r="K1849" s="15">
        <v>49900</v>
      </c>
      <c r="L1849" s="15">
        <v>32479.826386413079</v>
      </c>
      <c r="M1849" s="15">
        <v>17420.173613586921</v>
      </c>
    </row>
    <row r="1850" spans="1:13" x14ac:dyDescent="0.25">
      <c r="A1850" s="12">
        <v>46775</v>
      </c>
      <c r="B1850" s="12" t="s">
        <v>19</v>
      </c>
      <c r="C1850" s="12" t="s">
        <v>17</v>
      </c>
      <c r="D1850" s="12" t="s">
        <v>18</v>
      </c>
      <c r="E1850" s="13">
        <v>37043</v>
      </c>
      <c r="F1850" s="14">
        <v>19</v>
      </c>
      <c r="G1850" s="15">
        <v>22914</v>
      </c>
      <c r="H1850" s="16">
        <v>0.15</v>
      </c>
      <c r="I1850" s="13">
        <v>1</v>
      </c>
      <c r="J1850" s="15">
        <v>65304.899999999987</v>
      </c>
      <c r="K1850" s="15">
        <v>370061.1</v>
      </c>
      <c r="L1850" s="15">
        <v>275768.50483736547</v>
      </c>
      <c r="M1850" s="15">
        <v>94292.595162634505</v>
      </c>
    </row>
    <row r="1851" spans="1:13" x14ac:dyDescent="0.25">
      <c r="A1851" s="12">
        <v>46776</v>
      </c>
      <c r="B1851" s="12" t="s">
        <v>24</v>
      </c>
      <c r="C1851" s="12" t="s">
        <v>20</v>
      </c>
      <c r="D1851" s="12" t="s">
        <v>27</v>
      </c>
      <c r="E1851" s="13">
        <v>43635</v>
      </c>
      <c r="F1851" s="14">
        <v>33</v>
      </c>
      <c r="G1851" s="15">
        <v>14344</v>
      </c>
      <c r="H1851" s="16">
        <v>0.15</v>
      </c>
      <c r="I1851" s="13">
        <v>3</v>
      </c>
      <c r="J1851" s="15">
        <v>71002.8</v>
      </c>
      <c r="K1851" s="15">
        <v>402349.2</v>
      </c>
      <c r="L1851" s="15">
        <v>326127.65578283463</v>
      </c>
      <c r="M1851" s="15">
        <v>76221.544217165443</v>
      </c>
    </row>
    <row r="1852" spans="1:13" x14ac:dyDescent="0.25">
      <c r="A1852" s="12">
        <v>46777</v>
      </c>
      <c r="B1852" s="12" t="s">
        <v>13</v>
      </c>
      <c r="C1852" s="12" t="s">
        <v>23</v>
      </c>
      <c r="D1852" s="12" t="s">
        <v>18</v>
      </c>
      <c r="E1852" s="13">
        <v>89315</v>
      </c>
      <c r="F1852" s="14">
        <v>2</v>
      </c>
      <c r="G1852" s="15">
        <v>37159</v>
      </c>
      <c r="H1852" s="16">
        <v>0.2</v>
      </c>
      <c r="I1852" s="13">
        <v>5</v>
      </c>
      <c r="J1852" s="15">
        <v>14863.6</v>
      </c>
      <c r="K1852" s="15">
        <v>59454.400000000001</v>
      </c>
      <c r="L1852" s="15">
        <v>39724.89589295903</v>
      </c>
      <c r="M1852" s="15">
        <v>19729.504107040972</v>
      </c>
    </row>
    <row r="1853" spans="1:13" x14ac:dyDescent="0.25">
      <c r="A1853" s="12">
        <v>46778</v>
      </c>
      <c r="B1853" s="12" t="s">
        <v>19</v>
      </c>
      <c r="C1853" s="12" t="s">
        <v>17</v>
      </c>
      <c r="D1853" s="12" t="s">
        <v>25</v>
      </c>
      <c r="E1853" s="13">
        <v>90691</v>
      </c>
      <c r="F1853" s="14">
        <v>15</v>
      </c>
      <c r="G1853" s="15">
        <v>16022</v>
      </c>
      <c r="H1853" s="16">
        <v>0.2</v>
      </c>
      <c r="I1853" s="13">
        <v>3</v>
      </c>
      <c r="J1853" s="15">
        <v>48066</v>
      </c>
      <c r="K1853" s="15">
        <v>192264</v>
      </c>
      <c r="L1853" s="15">
        <v>115594.96837965171</v>
      </c>
      <c r="M1853" s="15">
        <v>76669.031620348323</v>
      </c>
    </row>
    <row r="1854" spans="1:13" x14ac:dyDescent="0.25">
      <c r="A1854" s="12">
        <v>46779</v>
      </c>
      <c r="B1854" s="12" t="s">
        <v>24</v>
      </c>
      <c r="C1854" s="12" t="s">
        <v>14</v>
      </c>
      <c r="D1854" s="12" t="s">
        <v>18</v>
      </c>
      <c r="E1854" s="13">
        <v>43132</v>
      </c>
      <c r="F1854" s="14">
        <v>22</v>
      </c>
      <c r="G1854" s="15">
        <v>40413</v>
      </c>
      <c r="H1854" s="16">
        <v>0.15</v>
      </c>
      <c r="I1854" s="13">
        <v>3</v>
      </c>
      <c r="J1854" s="15">
        <v>133362.9</v>
      </c>
      <c r="K1854" s="15">
        <v>755723.1</v>
      </c>
      <c r="L1854" s="15">
        <v>531183.05665169226</v>
      </c>
      <c r="M1854" s="15">
        <v>224540.04334830769</v>
      </c>
    </row>
    <row r="1855" spans="1:13" x14ac:dyDescent="0.25">
      <c r="A1855" s="12">
        <v>46780</v>
      </c>
      <c r="B1855" s="12" t="s">
        <v>19</v>
      </c>
      <c r="C1855" s="12" t="s">
        <v>17</v>
      </c>
      <c r="D1855" s="12" t="s">
        <v>26</v>
      </c>
      <c r="E1855" s="13">
        <v>99387</v>
      </c>
      <c r="F1855" s="14">
        <v>10</v>
      </c>
      <c r="G1855" s="15">
        <v>8998</v>
      </c>
      <c r="H1855" s="16">
        <v>0.1</v>
      </c>
      <c r="I1855" s="13">
        <v>3</v>
      </c>
      <c r="J1855" s="15">
        <v>8998</v>
      </c>
      <c r="K1855" s="15">
        <v>80982</v>
      </c>
      <c r="L1855" s="15">
        <v>72127.250011455733</v>
      </c>
      <c r="M1855" s="15">
        <v>8854.7499885442667</v>
      </c>
    </row>
    <row r="1856" spans="1:13" x14ac:dyDescent="0.25">
      <c r="A1856" s="12">
        <v>46781</v>
      </c>
      <c r="B1856" s="12" t="s">
        <v>16</v>
      </c>
      <c r="C1856" s="12" t="s">
        <v>20</v>
      </c>
      <c r="D1856" s="12" t="s">
        <v>18</v>
      </c>
      <c r="E1856" s="13">
        <v>25366</v>
      </c>
      <c r="F1856" s="14">
        <v>18</v>
      </c>
      <c r="G1856" s="15">
        <v>42822</v>
      </c>
      <c r="H1856" s="16">
        <v>0.2</v>
      </c>
      <c r="I1856" s="13">
        <v>4</v>
      </c>
      <c r="J1856" s="15">
        <v>154159.20000000001</v>
      </c>
      <c r="K1856" s="15">
        <v>616636.80000000005</v>
      </c>
      <c r="L1856" s="15">
        <v>498544.83330363472</v>
      </c>
      <c r="M1856" s="15">
        <v>118091.9666963654</v>
      </c>
    </row>
    <row r="1857" spans="1:13" x14ac:dyDescent="0.25">
      <c r="A1857" s="12">
        <v>46782</v>
      </c>
      <c r="B1857" s="12" t="s">
        <v>24</v>
      </c>
      <c r="C1857" s="12" t="s">
        <v>21</v>
      </c>
      <c r="D1857" s="12" t="s">
        <v>18</v>
      </c>
      <c r="E1857" s="13">
        <v>82107</v>
      </c>
      <c r="F1857" s="14">
        <v>22</v>
      </c>
      <c r="G1857" s="15">
        <v>2602</v>
      </c>
      <c r="H1857" s="16">
        <v>0</v>
      </c>
      <c r="I1857" s="13">
        <v>2</v>
      </c>
      <c r="J1857" s="15">
        <v>0</v>
      </c>
      <c r="K1857" s="15">
        <v>57244</v>
      </c>
      <c r="L1857" s="15">
        <v>41238.442113891433</v>
      </c>
      <c r="M1857" s="15">
        <v>16005.557886108571</v>
      </c>
    </row>
    <row r="1858" spans="1:13" x14ac:dyDescent="0.25">
      <c r="A1858" s="12">
        <v>46783</v>
      </c>
      <c r="B1858" s="12" t="s">
        <v>19</v>
      </c>
      <c r="C1858" s="12" t="s">
        <v>17</v>
      </c>
      <c r="D1858" s="12" t="s">
        <v>25</v>
      </c>
      <c r="E1858" s="13">
        <v>72580</v>
      </c>
      <c r="F1858" s="14">
        <v>46</v>
      </c>
      <c r="G1858" s="15">
        <v>36298</v>
      </c>
      <c r="H1858" s="16">
        <v>0.05</v>
      </c>
      <c r="I1858" s="13">
        <v>2</v>
      </c>
      <c r="J1858" s="15">
        <v>83485.400000000009</v>
      </c>
      <c r="K1858" s="15">
        <v>1586222.6</v>
      </c>
      <c r="L1858" s="15">
        <v>1043374.127349408</v>
      </c>
      <c r="M1858" s="15">
        <v>542848.47265059256</v>
      </c>
    </row>
    <row r="1859" spans="1:13" x14ac:dyDescent="0.25">
      <c r="A1859" s="12">
        <v>46784</v>
      </c>
      <c r="B1859" s="12" t="s">
        <v>19</v>
      </c>
      <c r="C1859" s="12" t="s">
        <v>14</v>
      </c>
      <c r="D1859" s="12" t="s">
        <v>18</v>
      </c>
      <c r="E1859" s="13">
        <v>67889</v>
      </c>
      <c r="F1859" s="14">
        <v>49</v>
      </c>
      <c r="G1859" s="15">
        <v>9024</v>
      </c>
      <c r="H1859" s="16">
        <v>0.1</v>
      </c>
      <c r="I1859" s="13">
        <v>1</v>
      </c>
      <c r="J1859" s="15">
        <v>44217.600000000013</v>
      </c>
      <c r="K1859" s="15">
        <v>397958.40000000002</v>
      </c>
      <c r="L1859" s="15">
        <v>281287.70304718829</v>
      </c>
      <c r="M1859" s="15">
        <v>116670.6969528117</v>
      </c>
    </row>
    <row r="1860" spans="1:13" x14ac:dyDescent="0.25">
      <c r="A1860" s="12">
        <v>46785</v>
      </c>
      <c r="B1860" s="12" t="s">
        <v>13</v>
      </c>
      <c r="C1860" s="12" t="s">
        <v>23</v>
      </c>
      <c r="D1860" s="12" t="s">
        <v>25</v>
      </c>
      <c r="E1860" s="13">
        <v>89553</v>
      </c>
      <c r="F1860" s="14">
        <v>27</v>
      </c>
      <c r="G1860" s="15">
        <v>31346</v>
      </c>
      <c r="H1860" s="16">
        <v>0.2</v>
      </c>
      <c r="I1860" s="13">
        <v>3</v>
      </c>
      <c r="J1860" s="15">
        <v>169268.4</v>
      </c>
      <c r="K1860" s="15">
        <v>677073.6</v>
      </c>
      <c r="L1860" s="15">
        <v>440742.29895817081</v>
      </c>
      <c r="M1860" s="15">
        <v>236331.3010418292</v>
      </c>
    </row>
    <row r="1861" spans="1:13" x14ac:dyDescent="0.25">
      <c r="A1861" s="12">
        <v>46786</v>
      </c>
      <c r="B1861" s="12" t="s">
        <v>19</v>
      </c>
      <c r="C1861" s="12" t="s">
        <v>21</v>
      </c>
      <c r="D1861" s="12" t="s">
        <v>26</v>
      </c>
      <c r="E1861" s="13">
        <v>49236</v>
      </c>
      <c r="F1861" s="14">
        <v>13</v>
      </c>
      <c r="G1861" s="15">
        <v>8607</v>
      </c>
      <c r="H1861" s="16">
        <v>0.2</v>
      </c>
      <c r="I1861" s="13">
        <v>2</v>
      </c>
      <c r="J1861" s="15">
        <v>22378.2</v>
      </c>
      <c r="K1861" s="15">
        <v>89512.8</v>
      </c>
      <c r="L1861" s="15">
        <v>56562.399516606587</v>
      </c>
      <c r="M1861" s="15">
        <v>32950.400483393409</v>
      </c>
    </row>
    <row r="1862" spans="1:13" x14ac:dyDescent="0.25">
      <c r="A1862" s="12">
        <v>46787</v>
      </c>
      <c r="B1862" s="12" t="s">
        <v>24</v>
      </c>
      <c r="C1862" s="12" t="s">
        <v>23</v>
      </c>
      <c r="D1862" s="12" t="s">
        <v>25</v>
      </c>
      <c r="E1862" s="13">
        <v>14150</v>
      </c>
      <c r="F1862" s="14">
        <v>33</v>
      </c>
      <c r="G1862" s="15">
        <v>49894</v>
      </c>
      <c r="H1862" s="16">
        <v>0.1</v>
      </c>
      <c r="I1862" s="13">
        <v>1</v>
      </c>
      <c r="J1862" s="15">
        <v>164650.20000000001</v>
      </c>
      <c r="K1862" s="15">
        <v>1481851.8</v>
      </c>
      <c r="L1862" s="15">
        <v>1292208.4250798731</v>
      </c>
      <c r="M1862" s="15">
        <v>189643.37492012719</v>
      </c>
    </row>
    <row r="1863" spans="1:13" x14ac:dyDescent="0.25">
      <c r="A1863" s="12">
        <v>46788</v>
      </c>
      <c r="B1863" s="12" t="s">
        <v>24</v>
      </c>
      <c r="C1863" s="12" t="s">
        <v>17</v>
      </c>
      <c r="D1863" s="12" t="s">
        <v>27</v>
      </c>
      <c r="E1863" s="13">
        <v>29423</v>
      </c>
      <c r="F1863" s="14">
        <v>5</v>
      </c>
      <c r="G1863" s="15">
        <v>18768</v>
      </c>
      <c r="H1863" s="16">
        <v>0.05</v>
      </c>
      <c r="I1863" s="13">
        <v>4</v>
      </c>
      <c r="J1863" s="15">
        <v>4692</v>
      </c>
      <c r="K1863" s="15">
        <v>89148</v>
      </c>
      <c r="L1863" s="15">
        <v>80170.359709649012</v>
      </c>
      <c r="M1863" s="15">
        <v>8977.6402903509879</v>
      </c>
    </row>
    <row r="1864" spans="1:13" x14ac:dyDescent="0.25">
      <c r="A1864" s="12">
        <v>46789</v>
      </c>
      <c r="B1864" s="12" t="s">
        <v>13</v>
      </c>
      <c r="C1864" s="12" t="s">
        <v>20</v>
      </c>
      <c r="D1864" s="12" t="s">
        <v>25</v>
      </c>
      <c r="E1864" s="13">
        <v>14137</v>
      </c>
      <c r="F1864" s="14">
        <v>26</v>
      </c>
      <c r="G1864" s="15">
        <v>48203</v>
      </c>
      <c r="H1864" s="16">
        <v>0.15</v>
      </c>
      <c r="I1864" s="13">
        <v>3</v>
      </c>
      <c r="J1864" s="15">
        <v>187991.7</v>
      </c>
      <c r="K1864" s="15">
        <v>1065286.3</v>
      </c>
      <c r="L1864" s="15">
        <v>691620.43924007181</v>
      </c>
      <c r="M1864" s="15">
        <v>373665.86075992818</v>
      </c>
    </row>
    <row r="1865" spans="1:13" x14ac:dyDescent="0.25">
      <c r="A1865" s="12">
        <v>46790</v>
      </c>
      <c r="B1865" s="12" t="s">
        <v>24</v>
      </c>
      <c r="C1865" s="12" t="s">
        <v>20</v>
      </c>
      <c r="D1865" s="12" t="s">
        <v>26</v>
      </c>
      <c r="E1865" s="13">
        <v>39992</v>
      </c>
      <c r="F1865" s="14">
        <v>13</v>
      </c>
      <c r="G1865" s="15">
        <v>24899</v>
      </c>
      <c r="H1865" s="16">
        <v>0</v>
      </c>
      <c r="I1865" s="13">
        <v>5</v>
      </c>
      <c r="J1865" s="15">
        <v>0</v>
      </c>
      <c r="K1865" s="15">
        <v>323687</v>
      </c>
      <c r="L1865" s="15">
        <v>199506.67305469009</v>
      </c>
      <c r="M1865" s="15">
        <v>124180.32694530991</v>
      </c>
    </row>
    <row r="1866" spans="1:13" x14ac:dyDescent="0.25">
      <c r="A1866" s="12">
        <v>46791</v>
      </c>
      <c r="B1866" s="12" t="s">
        <v>16</v>
      </c>
      <c r="C1866" s="12" t="s">
        <v>14</v>
      </c>
      <c r="D1866" s="12" t="s">
        <v>15</v>
      </c>
      <c r="E1866" s="13">
        <v>54921</v>
      </c>
      <c r="F1866" s="14">
        <v>27</v>
      </c>
      <c r="G1866" s="15">
        <v>10124</v>
      </c>
      <c r="H1866" s="16">
        <v>0.2</v>
      </c>
      <c r="I1866" s="13">
        <v>4</v>
      </c>
      <c r="J1866" s="15">
        <v>54669.600000000013</v>
      </c>
      <c r="K1866" s="15">
        <v>218678.39999999999</v>
      </c>
      <c r="L1866" s="15">
        <v>152838.56128228869</v>
      </c>
      <c r="M1866" s="15">
        <v>65839.838717711304</v>
      </c>
    </row>
    <row r="1867" spans="1:13" x14ac:dyDescent="0.25">
      <c r="A1867" s="12">
        <v>46792</v>
      </c>
      <c r="B1867" s="12" t="s">
        <v>24</v>
      </c>
      <c r="C1867" s="12" t="s">
        <v>20</v>
      </c>
      <c r="D1867" s="12" t="s">
        <v>18</v>
      </c>
      <c r="E1867" s="13">
        <v>89369</v>
      </c>
      <c r="F1867" s="14">
        <v>14</v>
      </c>
      <c r="G1867" s="15">
        <v>27626</v>
      </c>
      <c r="H1867" s="16">
        <v>0.05</v>
      </c>
      <c r="I1867" s="13">
        <v>1</v>
      </c>
      <c r="J1867" s="15">
        <v>19338.2</v>
      </c>
      <c r="K1867" s="15">
        <v>367425.8</v>
      </c>
      <c r="L1867" s="15">
        <v>271343.12814558228</v>
      </c>
      <c r="M1867" s="15">
        <v>96082.671854417713</v>
      </c>
    </row>
    <row r="1868" spans="1:13" x14ac:dyDescent="0.25">
      <c r="A1868" s="12">
        <v>46793</v>
      </c>
      <c r="B1868" s="12" t="s">
        <v>24</v>
      </c>
      <c r="C1868" s="12" t="s">
        <v>21</v>
      </c>
      <c r="D1868" s="12" t="s">
        <v>25</v>
      </c>
      <c r="E1868" s="13">
        <v>76917</v>
      </c>
      <c r="F1868" s="14">
        <v>24</v>
      </c>
      <c r="G1868" s="15">
        <v>23631</v>
      </c>
      <c r="H1868" s="16">
        <v>0</v>
      </c>
      <c r="I1868" s="13">
        <v>4</v>
      </c>
      <c r="J1868" s="15">
        <v>0</v>
      </c>
      <c r="K1868" s="15">
        <v>567144</v>
      </c>
      <c r="L1868" s="15">
        <v>375135.34240547649</v>
      </c>
      <c r="M1868" s="15">
        <v>192008.65759452351</v>
      </c>
    </row>
    <row r="1869" spans="1:13" x14ac:dyDescent="0.25">
      <c r="A1869" s="12">
        <v>46794</v>
      </c>
      <c r="B1869" s="12" t="s">
        <v>19</v>
      </c>
      <c r="C1869" s="12" t="s">
        <v>20</v>
      </c>
      <c r="D1869" s="12" t="s">
        <v>18</v>
      </c>
      <c r="E1869" s="13">
        <v>83690</v>
      </c>
      <c r="F1869" s="14">
        <v>3</v>
      </c>
      <c r="G1869" s="15">
        <v>49091</v>
      </c>
      <c r="H1869" s="16">
        <v>0.1</v>
      </c>
      <c r="I1869" s="13">
        <v>5</v>
      </c>
      <c r="J1869" s="15">
        <v>14727.3</v>
      </c>
      <c r="K1869" s="15">
        <v>132545.70000000001</v>
      </c>
      <c r="L1869" s="15">
        <v>91513.192779533463</v>
      </c>
      <c r="M1869" s="15">
        <v>41032.507220466548</v>
      </c>
    </row>
    <row r="1870" spans="1:13" x14ac:dyDescent="0.25">
      <c r="A1870" s="12">
        <v>46795</v>
      </c>
      <c r="B1870" s="12" t="s">
        <v>19</v>
      </c>
      <c r="C1870" s="12" t="s">
        <v>14</v>
      </c>
      <c r="D1870" s="12" t="s">
        <v>22</v>
      </c>
      <c r="E1870" s="13">
        <v>44235</v>
      </c>
      <c r="F1870" s="14">
        <v>47</v>
      </c>
      <c r="G1870" s="15">
        <v>21214</v>
      </c>
      <c r="H1870" s="16">
        <v>0.2</v>
      </c>
      <c r="I1870" s="13">
        <v>4</v>
      </c>
      <c r="J1870" s="15">
        <v>199411.6</v>
      </c>
      <c r="K1870" s="15">
        <v>797646.4</v>
      </c>
      <c r="L1870" s="15">
        <v>526654.98575694067</v>
      </c>
      <c r="M1870" s="15">
        <v>270991.41424305929</v>
      </c>
    </row>
    <row r="1871" spans="1:13" x14ac:dyDescent="0.25">
      <c r="A1871" s="12">
        <v>46796</v>
      </c>
      <c r="B1871" s="12" t="s">
        <v>24</v>
      </c>
      <c r="C1871" s="12" t="s">
        <v>17</v>
      </c>
      <c r="D1871" s="12" t="s">
        <v>27</v>
      </c>
      <c r="E1871" s="13">
        <v>88975</v>
      </c>
      <c r="F1871" s="14">
        <v>49</v>
      </c>
      <c r="G1871" s="15">
        <v>41131</v>
      </c>
      <c r="H1871" s="16">
        <v>0.15</v>
      </c>
      <c r="I1871" s="13">
        <v>1</v>
      </c>
      <c r="J1871" s="15">
        <v>302312.84999999998</v>
      </c>
      <c r="K1871" s="15">
        <v>1713106.15</v>
      </c>
      <c r="L1871" s="15">
        <v>1425780.852445239</v>
      </c>
      <c r="M1871" s="15">
        <v>287325.2975547614</v>
      </c>
    </row>
    <row r="1872" spans="1:13" x14ac:dyDescent="0.25">
      <c r="A1872" s="12">
        <v>46797</v>
      </c>
      <c r="B1872" s="12" t="s">
        <v>13</v>
      </c>
      <c r="C1872" s="12" t="s">
        <v>17</v>
      </c>
      <c r="D1872" s="12" t="s">
        <v>27</v>
      </c>
      <c r="E1872" s="13">
        <v>29122</v>
      </c>
      <c r="F1872" s="14">
        <v>30</v>
      </c>
      <c r="G1872" s="15">
        <v>36377</v>
      </c>
      <c r="H1872" s="16">
        <v>0.1</v>
      </c>
      <c r="I1872" s="13">
        <v>5</v>
      </c>
      <c r="J1872" s="15">
        <v>109131</v>
      </c>
      <c r="K1872" s="15">
        <v>982179</v>
      </c>
      <c r="L1872" s="15">
        <v>799271.12751619541</v>
      </c>
      <c r="M1872" s="15">
        <v>182907.87248380459</v>
      </c>
    </row>
    <row r="1873" spans="1:13" x14ac:dyDescent="0.25">
      <c r="A1873" s="12">
        <v>46798</v>
      </c>
      <c r="B1873" s="12" t="s">
        <v>19</v>
      </c>
      <c r="C1873" s="12" t="s">
        <v>20</v>
      </c>
      <c r="D1873" s="12" t="s">
        <v>22</v>
      </c>
      <c r="E1873" s="13">
        <v>33956</v>
      </c>
      <c r="F1873" s="14">
        <v>35</v>
      </c>
      <c r="G1873" s="15">
        <v>19070</v>
      </c>
      <c r="H1873" s="16">
        <v>0.2</v>
      </c>
      <c r="I1873" s="13">
        <v>5</v>
      </c>
      <c r="J1873" s="15">
        <v>133490</v>
      </c>
      <c r="K1873" s="15">
        <v>533960</v>
      </c>
      <c r="L1873" s="15">
        <v>422087.61340672022</v>
      </c>
      <c r="M1873" s="15">
        <v>111872.38659327981</v>
      </c>
    </row>
    <row r="1874" spans="1:13" x14ac:dyDescent="0.25">
      <c r="A1874" s="12">
        <v>46799</v>
      </c>
      <c r="B1874" s="12" t="s">
        <v>13</v>
      </c>
      <c r="C1874" s="12" t="s">
        <v>23</v>
      </c>
      <c r="D1874" s="12" t="s">
        <v>22</v>
      </c>
      <c r="E1874" s="13">
        <v>73879</v>
      </c>
      <c r="F1874" s="14">
        <v>48</v>
      </c>
      <c r="G1874" s="15">
        <v>12982</v>
      </c>
      <c r="H1874" s="16">
        <v>0.05</v>
      </c>
      <c r="I1874" s="13">
        <v>4</v>
      </c>
      <c r="J1874" s="15">
        <v>31156.799999999999</v>
      </c>
      <c r="K1874" s="15">
        <v>591979.19999999995</v>
      </c>
      <c r="L1874" s="15">
        <v>423954.99517783849</v>
      </c>
      <c r="M1874" s="15">
        <v>168024.20482216141</v>
      </c>
    </row>
    <row r="1875" spans="1:13" x14ac:dyDescent="0.25">
      <c r="A1875" s="12">
        <v>46800</v>
      </c>
      <c r="B1875" s="12" t="s">
        <v>24</v>
      </c>
      <c r="C1875" s="12" t="s">
        <v>17</v>
      </c>
      <c r="D1875" s="12" t="s">
        <v>25</v>
      </c>
      <c r="E1875" s="13">
        <v>68560</v>
      </c>
      <c r="F1875" s="14">
        <v>14</v>
      </c>
      <c r="G1875" s="15">
        <v>34818</v>
      </c>
      <c r="H1875" s="16">
        <v>0</v>
      </c>
      <c r="I1875" s="13">
        <v>5</v>
      </c>
      <c r="J1875" s="15">
        <v>0</v>
      </c>
      <c r="K1875" s="15">
        <v>487452</v>
      </c>
      <c r="L1875" s="15">
        <v>425405.34747765207</v>
      </c>
      <c r="M1875" s="15">
        <v>62046.652522347933</v>
      </c>
    </row>
    <row r="1876" spans="1:13" x14ac:dyDescent="0.25">
      <c r="A1876" s="12">
        <v>46801</v>
      </c>
      <c r="B1876" s="12" t="s">
        <v>24</v>
      </c>
      <c r="C1876" s="12" t="s">
        <v>20</v>
      </c>
      <c r="D1876" s="12" t="s">
        <v>22</v>
      </c>
      <c r="E1876" s="13">
        <v>92800</v>
      </c>
      <c r="F1876" s="14">
        <v>12</v>
      </c>
      <c r="G1876" s="15">
        <v>33914</v>
      </c>
      <c r="H1876" s="16">
        <v>0</v>
      </c>
      <c r="I1876" s="13">
        <v>4</v>
      </c>
      <c r="J1876" s="15">
        <v>0</v>
      </c>
      <c r="K1876" s="15">
        <v>406968</v>
      </c>
      <c r="L1876" s="15">
        <v>362551.41580902721</v>
      </c>
      <c r="M1876" s="15">
        <v>44416.58419097279</v>
      </c>
    </row>
    <row r="1877" spans="1:13" x14ac:dyDescent="0.25">
      <c r="A1877" s="12">
        <v>46802</v>
      </c>
      <c r="B1877" s="12" t="s">
        <v>16</v>
      </c>
      <c r="C1877" s="12" t="s">
        <v>14</v>
      </c>
      <c r="D1877" s="12" t="s">
        <v>15</v>
      </c>
      <c r="E1877" s="13">
        <v>78685</v>
      </c>
      <c r="F1877" s="14">
        <v>28</v>
      </c>
      <c r="G1877" s="15">
        <v>21540</v>
      </c>
      <c r="H1877" s="16">
        <v>0.2</v>
      </c>
      <c r="I1877" s="13">
        <v>3</v>
      </c>
      <c r="J1877" s="15">
        <v>120624</v>
      </c>
      <c r="K1877" s="15">
        <v>482496</v>
      </c>
      <c r="L1877" s="15">
        <v>314631.68213535321</v>
      </c>
      <c r="M1877" s="15">
        <v>167864.31786464679</v>
      </c>
    </row>
    <row r="1878" spans="1:13" x14ac:dyDescent="0.25">
      <c r="A1878" s="12">
        <v>46803</v>
      </c>
      <c r="B1878" s="12" t="s">
        <v>19</v>
      </c>
      <c r="C1878" s="12" t="s">
        <v>20</v>
      </c>
      <c r="D1878" s="12" t="s">
        <v>18</v>
      </c>
      <c r="E1878" s="13">
        <v>34660</v>
      </c>
      <c r="F1878" s="14">
        <v>44</v>
      </c>
      <c r="G1878" s="15">
        <v>13907</v>
      </c>
      <c r="H1878" s="16">
        <v>0.1</v>
      </c>
      <c r="I1878" s="13">
        <v>5</v>
      </c>
      <c r="J1878" s="15">
        <v>61190.8</v>
      </c>
      <c r="K1878" s="15">
        <v>550717.19999999995</v>
      </c>
      <c r="L1878" s="15">
        <v>367275.38923288602</v>
      </c>
      <c r="M1878" s="15">
        <v>183441.8107671139</v>
      </c>
    </row>
    <row r="1879" spans="1:13" x14ac:dyDescent="0.25">
      <c r="A1879" s="12">
        <v>46804</v>
      </c>
      <c r="B1879" s="12" t="s">
        <v>24</v>
      </c>
      <c r="C1879" s="12" t="s">
        <v>17</v>
      </c>
      <c r="D1879" s="12" t="s">
        <v>18</v>
      </c>
      <c r="E1879" s="13">
        <v>96064</v>
      </c>
      <c r="F1879" s="14">
        <v>29</v>
      </c>
      <c r="G1879" s="15">
        <v>45968</v>
      </c>
      <c r="H1879" s="16">
        <v>0.15</v>
      </c>
      <c r="I1879" s="13">
        <v>4</v>
      </c>
      <c r="J1879" s="15">
        <v>199960.8</v>
      </c>
      <c r="K1879" s="15">
        <v>1133111.2</v>
      </c>
      <c r="L1879" s="15">
        <v>858546.24146841967</v>
      </c>
      <c r="M1879" s="15">
        <v>274564.95853158028</v>
      </c>
    </row>
    <row r="1880" spans="1:13" x14ac:dyDescent="0.25">
      <c r="A1880" s="12">
        <v>46805</v>
      </c>
      <c r="B1880" s="12" t="s">
        <v>16</v>
      </c>
      <c r="C1880" s="12" t="s">
        <v>14</v>
      </c>
      <c r="D1880" s="12" t="s">
        <v>26</v>
      </c>
      <c r="E1880" s="13">
        <v>11168</v>
      </c>
      <c r="F1880" s="14">
        <v>43</v>
      </c>
      <c r="G1880" s="15">
        <v>33805</v>
      </c>
      <c r="H1880" s="16">
        <v>0.05</v>
      </c>
      <c r="I1880" s="13">
        <v>3</v>
      </c>
      <c r="J1880" s="15">
        <v>72680.75</v>
      </c>
      <c r="K1880" s="15">
        <v>1380934.25</v>
      </c>
      <c r="L1880" s="15">
        <v>866363.86093615508</v>
      </c>
      <c r="M1880" s="15">
        <v>514570.38906384492</v>
      </c>
    </row>
    <row r="1881" spans="1:13" x14ac:dyDescent="0.25">
      <c r="A1881" s="12">
        <v>46806</v>
      </c>
      <c r="B1881" s="12" t="s">
        <v>19</v>
      </c>
      <c r="C1881" s="12" t="s">
        <v>20</v>
      </c>
      <c r="D1881" s="12" t="s">
        <v>22</v>
      </c>
      <c r="E1881" s="13">
        <v>55124</v>
      </c>
      <c r="F1881" s="14">
        <v>17</v>
      </c>
      <c r="G1881" s="15">
        <v>14666</v>
      </c>
      <c r="H1881" s="16">
        <v>0.2</v>
      </c>
      <c r="I1881" s="13">
        <v>5</v>
      </c>
      <c r="J1881" s="15">
        <v>49864.4</v>
      </c>
      <c r="K1881" s="15">
        <v>199457.6</v>
      </c>
      <c r="L1881" s="15">
        <v>145790.4450459303</v>
      </c>
      <c r="M1881" s="15">
        <v>53667.154954069731</v>
      </c>
    </row>
    <row r="1882" spans="1:13" x14ac:dyDescent="0.25">
      <c r="A1882" s="12">
        <v>46807</v>
      </c>
      <c r="B1882" s="12" t="s">
        <v>24</v>
      </c>
      <c r="C1882" s="12" t="s">
        <v>21</v>
      </c>
      <c r="D1882" s="12" t="s">
        <v>22</v>
      </c>
      <c r="E1882" s="13">
        <v>45897</v>
      </c>
      <c r="F1882" s="14">
        <v>40</v>
      </c>
      <c r="G1882" s="15">
        <v>7072</v>
      </c>
      <c r="H1882" s="16">
        <v>0.05</v>
      </c>
      <c r="I1882" s="13">
        <v>3</v>
      </c>
      <c r="J1882" s="15">
        <v>14144</v>
      </c>
      <c r="K1882" s="15">
        <v>268736</v>
      </c>
      <c r="L1882" s="15">
        <v>208146.0771993908</v>
      </c>
      <c r="M1882" s="15">
        <v>60589.922800609202</v>
      </c>
    </row>
    <row r="1883" spans="1:13" x14ac:dyDescent="0.25">
      <c r="A1883" s="12">
        <v>46808</v>
      </c>
      <c r="B1883" s="12" t="s">
        <v>24</v>
      </c>
      <c r="C1883" s="12" t="s">
        <v>14</v>
      </c>
      <c r="D1883" s="12" t="s">
        <v>15</v>
      </c>
      <c r="E1883" s="13">
        <v>25032</v>
      </c>
      <c r="F1883" s="14">
        <v>49</v>
      </c>
      <c r="G1883" s="15">
        <v>33502</v>
      </c>
      <c r="H1883" s="16">
        <v>0</v>
      </c>
      <c r="I1883" s="13">
        <v>5</v>
      </c>
      <c r="J1883" s="15">
        <v>0</v>
      </c>
      <c r="K1883" s="15">
        <v>1641598</v>
      </c>
      <c r="L1883" s="15">
        <v>1242069.2790695711</v>
      </c>
      <c r="M1883" s="15">
        <v>399528.72093042871</v>
      </c>
    </row>
    <row r="1884" spans="1:13" x14ac:dyDescent="0.25">
      <c r="A1884" s="12">
        <v>46809</v>
      </c>
      <c r="B1884" s="12" t="s">
        <v>19</v>
      </c>
      <c r="C1884" s="12" t="s">
        <v>21</v>
      </c>
      <c r="D1884" s="12" t="s">
        <v>27</v>
      </c>
      <c r="E1884" s="13">
        <v>62797</v>
      </c>
      <c r="F1884" s="14">
        <v>21</v>
      </c>
      <c r="G1884" s="15">
        <v>27472</v>
      </c>
      <c r="H1884" s="16">
        <v>0.15</v>
      </c>
      <c r="I1884" s="13">
        <v>1</v>
      </c>
      <c r="J1884" s="15">
        <v>86536.8</v>
      </c>
      <c r="K1884" s="15">
        <v>490375.2</v>
      </c>
      <c r="L1884" s="15">
        <v>342905.92878258112</v>
      </c>
      <c r="M1884" s="15">
        <v>147469.27121741901</v>
      </c>
    </row>
    <row r="1885" spans="1:13" x14ac:dyDescent="0.25">
      <c r="A1885" s="12">
        <v>46810</v>
      </c>
      <c r="B1885" s="12" t="s">
        <v>19</v>
      </c>
      <c r="C1885" s="12" t="s">
        <v>23</v>
      </c>
      <c r="D1885" s="12" t="s">
        <v>27</v>
      </c>
      <c r="E1885" s="13">
        <v>45294</v>
      </c>
      <c r="F1885" s="14">
        <v>23</v>
      </c>
      <c r="G1885" s="15">
        <v>47335</v>
      </c>
      <c r="H1885" s="16">
        <v>0.05</v>
      </c>
      <c r="I1885" s="13">
        <v>1</v>
      </c>
      <c r="J1885" s="15">
        <v>54435.25</v>
      </c>
      <c r="K1885" s="15">
        <v>1034269.75</v>
      </c>
      <c r="L1885" s="15">
        <v>788872.43647200637</v>
      </c>
      <c r="M1885" s="15">
        <v>245397.3135279936</v>
      </c>
    </row>
    <row r="1886" spans="1:13" x14ac:dyDescent="0.25">
      <c r="A1886" s="12">
        <v>46811</v>
      </c>
      <c r="B1886" s="12" t="s">
        <v>19</v>
      </c>
      <c r="C1886" s="12" t="s">
        <v>14</v>
      </c>
      <c r="D1886" s="12" t="s">
        <v>18</v>
      </c>
      <c r="E1886" s="13">
        <v>53827</v>
      </c>
      <c r="F1886" s="14">
        <v>20</v>
      </c>
      <c r="G1886" s="15">
        <v>42964</v>
      </c>
      <c r="H1886" s="16">
        <v>0.2</v>
      </c>
      <c r="I1886" s="13">
        <v>4</v>
      </c>
      <c r="J1886" s="15">
        <v>171856</v>
      </c>
      <c r="K1886" s="15">
        <v>687424</v>
      </c>
      <c r="L1886" s="15">
        <v>610185.23615413031</v>
      </c>
      <c r="M1886" s="15">
        <v>77238.763845869689</v>
      </c>
    </row>
    <row r="1887" spans="1:13" x14ac:dyDescent="0.25">
      <c r="A1887" s="12">
        <v>46812</v>
      </c>
      <c r="B1887" s="12" t="s">
        <v>24</v>
      </c>
      <c r="C1887" s="12" t="s">
        <v>21</v>
      </c>
      <c r="D1887" s="12" t="s">
        <v>18</v>
      </c>
      <c r="E1887" s="13">
        <v>13516</v>
      </c>
      <c r="F1887" s="14">
        <v>11</v>
      </c>
      <c r="G1887" s="15">
        <v>47418</v>
      </c>
      <c r="H1887" s="16">
        <v>0.15</v>
      </c>
      <c r="I1887" s="13">
        <v>2</v>
      </c>
      <c r="J1887" s="15">
        <v>78239.7</v>
      </c>
      <c r="K1887" s="15">
        <v>443358.3</v>
      </c>
      <c r="L1887" s="15">
        <v>293416.83784111118</v>
      </c>
      <c r="M1887" s="15">
        <v>149941.46215888881</v>
      </c>
    </row>
    <row r="1888" spans="1:13" x14ac:dyDescent="0.25">
      <c r="A1888" s="12">
        <v>46813</v>
      </c>
      <c r="B1888" s="12" t="s">
        <v>24</v>
      </c>
      <c r="C1888" s="12" t="s">
        <v>17</v>
      </c>
      <c r="D1888" s="12" t="s">
        <v>25</v>
      </c>
      <c r="E1888" s="13">
        <v>29751</v>
      </c>
      <c r="F1888" s="14">
        <v>34</v>
      </c>
      <c r="G1888" s="15">
        <v>23423</v>
      </c>
      <c r="H1888" s="16">
        <v>0.1</v>
      </c>
      <c r="I1888" s="13">
        <v>1</v>
      </c>
      <c r="J1888" s="15">
        <v>79638.200000000012</v>
      </c>
      <c r="K1888" s="15">
        <v>716743.8</v>
      </c>
      <c r="L1888" s="15">
        <v>570850.17485234409</v>
      </c>
      <c r="M1888" s="15">
        <v>145893.62514765601</v>
      </c>
    </row>
    <row r="1889" spans="1:13" x14ac:dyDescent="0.25">
      <c r="A1889" s="12">
        <v>46814</v>
      </c>
      <c r="B1889" s="12" t="s">
        <v>16</v>
      </c>
      <c r="C1889" s="12" t="s">
        <v>17</v>
      </c>
      <c r="D1889" s="12" t="s">
        <v>15</v>
      </c>
      <c r="E1889" s="13">
        <v>40373</v>
      </c>
      <c r="F1889" s="14">
        <v>10</v>
      </c>
      <c r="G1889" s="15">
        <v>2409</v>
      </c>
      <c r="H1889" s="16">
        <v>0.2</v>
      </c>
      <c r="I1889" s="13">
        <v>2</v>
      </c>
      <c r="J1889" s="15">
        <v>4818</v>
      </c>
      <c r="K1889" s="15">
        <v>19272</v>
      </c>
      <c r="L1889" s="15">
        <v>11814.102326932631</v>
      </c>
      <c r="M1889" s="15">
        <v>7457.8976730673712</v>
      </c>
    </row>
    <row r="1890" spans="1:13" x14ac:dyDescent="0.25">
      <c r="A1890" s="12">
        <v>46815</v>
      </c>
      <c r="B1890" s="12" t="s">
        <v>13</v>
      </c>
      <c r="C1890" s="12" t="s">
        <v>23</v>
      </c>
      <c r="D1890" s="12" t="s">
        <v>26</v>
      </c>
      <c r="E1890" s="13">
        <v>40270</v>
      </c>
      <c r="F1890" s="14">
        <v>10</v>
      </c>
      <c r="G1890" s="15">
        <v>45418</v>
      </c>
      <c r="H1890" s="16">
        <v>0.05</v>
      </c>
      <c r="I1890" s="13">
        <v>3</v>
      </c>
      <c r="J1890" s="15">
        <v>22709</v>
      </c>
      <c r="K1890" s="15">
        <v>431471</v>
      </c>
      <c r="L1890" s="15">
        <v>267479.62573740282</v>
      </c>
      <c r="M1890" s="15">
        <v>163991.37426259721</v>
      </c>
    </row>
    <row r="1891" spans="1:13" x14ac:dyDescent="0.25">
      <c r="A1891" s="12">
        <v>46816</v>
      </c>
      <c r="B1891" s="12" t="s">
        <v>19</v>
      </c>
      <c r="C1891" s="12" t="s">
        <v>14</v>
      </c>
      <c r="D1891" s="12" t="s">
        <v>26</v>
      </c>
      <c r="E1891" s="13">
        <v>20386</v>
      </c>
      <c r="F1891" s="14">
        <v>43</v>
      </c>
      <c r="G1891" s="15">
        <v>33348</v>
      </c>
      <c r="H1891" s="16">
        <v>0.15</v>
      </c>
      <c r="I1891" s="13">
        <v>3</v>
      </c>
      <c r="J1891" s="15">
        <v>215094.6</v>
      </c>
      <c r="K1891" s="15">
        <v>1218869.3999999999</v>
      </c>
      <c r="L1891" s="15">
        <v>933103.60096873983</v>
      </c>
      <c r="M1891" s="15">
        <v>285765.79903126007</v>
      </c>
    </row>
    <row r="1892" spans="1:13" x14ac:dyDescent="0.25">
      <c r="A1892" s="12">
        <v>46817</v>
      </c>
      <c r="B1892" s="12" t="s">
        <v>24</v>
      </c>
      <c r="C1892" s="12" t="s">
        <v>14</v>
      </c>
      <c r="D1892" s="12" t="s">
        <v>15</v>
      </c>
      <c r="E1892" s="13">
        <v>74817</v>
      </c>
      <c r="F1892" s="14">
        <v>6</v>
      </c>
      <c r="G1892" s="15">
        <v>2583</v>
      </c>
      <c r="H1892" s="16">
        <v>0.2</v>
      </c>
      <c r="I1892" s="13">
        <v>2</v>
      </c>
      <c r="J1892" s="15">
        <v>3099.6</v>
      </c>
      <c r="K1892" s="15">
        <v>12398.4</v>
      </c>
      <c r="L1892" s="15">
        <v>7829.3633800134139</v>
      </c>
      <c r="M1892" s="15">
        <v>4569.0366199865857</v>
      </c>
    </row>
    <row r="1893" spans="1:13" x14ac:dyDescent="0.25">
      <c r="A1893" s="12">
        <v>46818</v>
      </c>
      <c r="B1893" s="12" t="s">
        <v>24</v>
      </c>
      <c r="C1893" s="12" t="s">
        <v>14</v>
      </c>
      <c r="D1893" s="12" t="s">
        <v>26</v>
      </c>
      <c r="E1893" s="13">
        <v>75184</v>
      </c>
      <c r="F1893" s="14">
        <v>36</v>
      </c>
      <c r="G1893" s="15">
        <v>46646</v>
      </c>
      <c r="H1893" s="16">
        <v>0.15</v>
      </c>
      <c r="I1893" s="13">
        <v>4</v>
      </c>
      <c r="J1893" s="15">
        <v>251888.4</v>
      </c>
      <c r="K1893" s="15">
        <v>1427367.6</v>
      </c>
      <c r="L1893" s="15">
        <v>865989.68452936539</v>
      </c>
      <c r="M1893" s="15">
        <v>561377.9154706347</v>
      </c>
    </row>
    <row r="1894" spans="1:13" x14ac:dyDescent="0.25">
      <c r="A1894" s="12">
        <v>46819</v>
      </c>
      <c r="B1894" s="12" t="s">
        <v>19</v>
      </c>
      <c r="C1894" s="12" t="s">
        <v>23</v>
      </c>
      <c r="D1894" s="12" t="s">
        <v>27</v>
      </c>
      <c r="E1894" s="13">
        <v>89693</v>
      </c>
      <c r="F1894" s="14">
        <v>24</v>
      </c>
      <c r="G1894" s="15">
        <v>48485</v>
      </c>
      <c r="H1894" s="16">
        <v>0.15</v>
      </c>
      <c r="I1894" s="13">
        <v>5</v>
      </c>
      <c r="J1894" s="15">
        <v>174546</v>
      </c>
      <c r="K1894" s="15">
        <v>989094</v>
      </c>
      <c r="L1894" s="15">
        <v>644349.14306870184</v>
      </c>
      <c r="M1894" s="15">
        <v>344744.85693129821</v>
      </c>
    </row>
    <row r="1895" spans="1:13" x14ac:dyDescent="0.25">
      <c r="A1895" s="12">
        <v>46820</v>
      </c>
      <c r="B1895" s="12" t="s">
        <v>13</v>
      </c>
      <c r="C1895" s="12" t="s">
        <v>14</v>
      </c>
      <c r="D1895" s="12" t="s">
        <v>26</v>
      </c>
      <c r="E1895" s="13">
        <v>47879</v>
      </c>
      <c r="F1895" s="14">
        <v>12</v>
      </c>
      <c r="G1895" s="15">
        <v>17640</v>
      </c>
      <c r="H1895" s="16">
        <v>0.15</v>
      </c>
      <c r="I1895" s="13">
        <v>2</v>
      </c>
      <c r="J1895" s="15">
        <v>31752</v>
      </c>
      <c r="K1895" s="15">
        <v>179928</v>
      </c>
      <c r="L1895" s="15">
        <v>138446.4544918834</v>
      </c>
      <c r="M1895" s="15">
        <v>41481.545508116571</v>
      </c>
    </row>
    <row r="1896" spans="1:13" x14ac:dyDescent="0.25">
      <c r="A1896" s="12">
        <v>46821</v>
      </c>
      <c r="B1896" s="12" t="s">
        <v>19</v>
      </c>
      <c r="C1896" s="12" t="s">
        <v>17</v>
      </c>
      <c r="D1896" s="12" t="s">
        <v>26</v>
      </c>
      <c r="E1896" s="13">
        <v>59597</v>
      </c>
      <c r="F1896" s="14">
        <v>43</v>
      </c>
      <c r="G1896" s="15">
        <v>3170</v>
      </c>
      <c r="H1896" s="16">
        <v>0.05</v>
      </c>
      <c r="I1896" s="13">
        <v>2</v>
      </c>
      <c r="J1896" s="15">
        <v>6815.5</v>
      </c>
      <c r="K1896" s="15">
        <v>129494.5</v>
      </c>
      <c r="L1896" s="15">
        <v>105020.33557048559</v>
      </c>
      <c r="M1896" s="15">
        <v>24474.16442951444</v>
      </c>
    </row>
    <row r="1897" spans="1:13" x14ac:dyDescent="0.25">
      <c r="A1897" s="12">
        <v>46822</v>
      </c>
      <c r="B1897" s="12" t="s">
        <v>13</v>
      </c>
      <c r="C1897" s="12" t="s">
        <v>21</v>
      </c>
      <c r="D1897" s="12" t="s">
        <v>15</v>
      </c>
      <c r="E1897" s="13">
        <v>49132</v>
      </c>
      <c r="F1897" s="14">
        <v>23</v>
      </c>
      <c r="G1897" s="15">
        <v>37019</v>
      </c>
      <c r="H1897" s="16">
        <v>0.2</v>
      </c>
      <c r="I1897" s="13">
        <v>2</v>
      </c>
      <c r="J1897" s="15">
        <v>170287.4</v>
      </c>
      <c r="K1897" s="15">
        <v>681149.6</v>
      </c>
      <c r="L1897" s="15">
        <v>450065.21789204248</v>
      </c>
      <c r="M1897" s="15">
        <v>231084.38210795741</v>
      </c>
    </row>
    <row r="1898" spans="1:13" x14ac:dyDescent="0.25">
      <c r="A1898" s="12">
        <v>46823</v>
      </c>
      <c r="B1898" s="12" t="s">
        <v>24</v>
      </c>
      <c r="C1898" s="12" t="s">
        <v>17</v>
      </c>
      <c r="D1898" s="12" t="s">
        <v>15</v>
      </c>
      <c r="E1898" s="13">
        <v>13626</v>
      </c>
      <c r="F1898" s="14">
        <v>27</v>
      </c>
      <c r="G1898" s="15">
        <v>45012</v>
      </c>
      <c r="H1898" s="16">
        <v>0</v>
      </c>
      <c r="I1898" s="13">
        <v>2</v>
      </c>
      <c r="J1898" s="15">
        <v>0</v>
      </c>
      <c r="K1898" s="15">
        <v>1215324</v>
      </c>
      <c r="L1898" s="15">
        <v>972839.91967967618</v>
      </c>
      <c r="M1898" s="15">
        <v>242484.08032032379</v>
      </c>
    </row>
    <row r="1899" spans="1:13" x14ac:dyDescent="0.25">
      <c r="A1899" s="12">
        <v>46824</v>
      </c>
      <c r="B1899" s="12" t="s">
        <v>13</v>
      </c>
      <c r="C1899" s="12" t="s">
        <v>17</v>
      </c>
      <c r="D1899" s="12" t="s">
        <v>26</v>
      </c>
      <c r="E1899" s="13">
        <v>95936</v>
      </c>
      <c r="F1899" s="14">
        <v>45</v>
      </c>
      <c r="G1899" s="15">
        <v>38529</v>
      </c>
      <c r="H1899" s="16">
        <v>0</v>
      </c>
      <c r="I1899" s="13">
        <v>2</v>
      </c>
      <c r="J1899" s="15">
        <v>0</v>
      </c>
      <c r="K1899" s="15">
        <v>1733805</v>
      </c>
      <c r="L1899" s="15">
        <v>1135196.5125724501</v>
      </c>
      <c r="M1899" s="15">
        <v>598608.48742755014</v>
      </c>
    </row>
    <row r="1900" spans="1:13" x14ac:dyDescent="0.25">
      <c r="A1900" s="12">
        <v>46825</v>
      </c>
      <c r="B1900" s="12" t="s">
        <v>16</v>
      </c>
      <c r="C1900" s="12" t="s">
        <v>21</v>
      </c>
      <c r="D1900" s="12" t="s">
        <v>22</v>
      </c>
      <c r="E1900" s="13">
        <v>91515</v>
      </c>
      <c r="F1900" s="14">
        <v>37</v>
      </c>
      <c r="G1900" s="15">
        <v>15191</v>
      </c>
      <c r="H1900" s="16">
        <v>0.05</v>
      </c>
      <c r="I1900" s="13">
        <v>4</v>
      </c>
      <c r="J1900" s="15">
        <v>28103.35</v>
      </c>
      <c r="K1900" s="15">
        <v>533963.65</v>
      </c>
      <c r="L1900" s="15">
        <v>418647.37999309</v>
      </c>
      <c r="M1900" s="15">
        <v>115316.27000691</v>
      </c>
    </row>
    <row r="1901" spans="1:13" x14ac:dyDescent="0.25">
      <c r="A1901" s="12">
        <v>46826</v>
      </c>
      <c r="B1901" s="12" t="s">
        <v>24</v>
      </c>
      <c r="C1901" s="12" t="s">
        <v>17</v>
      </c>
      <c r="D1901" s="12" t="s">
        <v>15</v>
      </c>
      <c r="E1901" s="13">
        <v>87065</v>
      </c>
      <c r="F1901" s="14">
        <v>6</v>
      </c>
      <c r="G1901" s="15">
        <v>40120</v>
      </c>
      <c r="H1901" s="16">
        <v>0.05</v>
      </c>
      <c r="I1901" s="13">
        <v>1</v>
      </c>
      <c r="J1901" s="15">
        <v>12036</v>
      </c>
      <c r="K1901" s="15">
        <v>228684</v>
      </c>
      <c r="L1901" s="15">
        <v>165472.97623118729</v>
      </c>
      <c r="M1901" s="15">
        <v>63211.023768812738</v>
      </c>
    </row>
    <row r="1902" spans="1:13" x14ac:dyDescent="0.25">
      <c r="A1902" s="12">
        <v>46827</v>
      </c>
      <c r="B1902" s="12" t="s">
        <v>16</v>
      </c>
      <c r="C1902" s="12" t="s">
        <v>23</v>
      </c>
      <c r="D1902" s="12" t="s">
        <v>25</v>
      </c>
      <c r="E1902" s="13">
        <v>65390</v>
      </c>
      <c r="F1902" s="14">
        <v>1</v>
      </c>
      <c r="G1902" s="15">
        <v>34762</v>
      </c>
      <c r="H1902" s="16">
        <v>0.15</v>
      </c>
      <c r="I1902" s="13">
        <v>5</v>
      </c>
      <c r="J1902" s="15">
        <v>5214.3</v>
      </c>
      <c r="K1902" s="15">
        <v>29547.7</v>
      </c>
      <c r="L1902" s="15">
        <v>23524.101528581072</v>
      </c>
      <c r="M1902" s="15">
        <v>6023.598471418929</v>
      </c>
    </row>
    <row r="1903" spans="1:13" x14ac:dyDescent="0.25">
      <c r="A1903" s="12">
        <v>46828</v>
      </c>
      <c r="B1903" s="12" t="s">
        <v>19</v>
      </c>
      <c r="C1903" s="12" t="s">
        <v>21</v>
      </c>
      <c r="D1903" s="12" t="s">
        <v>25</v>
      </c>
      <c r="E1903" s="13">
        <v>26645</v>
      </c>
      <c r="F1903" s="14">
        <v>6</v>
      </c>
      <c r="G1903" s="15">
        <v>26095</v>
      </c>
      <c r="H1903" s="16">
        <v>0.2</v>
      </c>
      <c r="I1903" s="13">
        <v>1</v>
      </c>
      <c r="J1903" s="15">
        <v>31314</v>
      </c>
      <c r="K1903" s="15">
        <v>125256</v>
      </c>
      <c r="L1903" s="15">
        <v>112544.4982693622</v>
      </c>
      <c r="M1903" s="15">
        <v>12711.50173063781</v>
      </c>
    </row>
    <row r="1904" spans="1:13" x14ac:dyDescent="0.25">
      <c r="A1904" s="12">
        <v>46829</v>
      </c>
      <c r="B1904" s="12" t="s">
        <v>19</v>
      </c>
      <c r="C1904" s="12" t="s">
        <v>17</v>
      </c>
      <c r="D1904" s="12" t="s">
        <v>27</v>
      </c>
      <c r="E1904" s="13">
        <v>64144</v>
      </c>
      <c r="F1904" s="14">
        <v>22</v>
      </c>
      <c r="G1904" s="15">
        <v>33940</v>
      </c>
      <c r="H1904" s="16">
        <v>0.2</v>
      </c>
      <c r="I1904" s="13">
        <v>2</v>
      </c>
      <c r="J1904" s="15">
        <v>149336</v>
      </c>
      <c r="K1904" s="15">
        <v>597344</v>
      </c>
      <c r="L1904" s="15">
        <v>526466.2011839638</v>
      </c>
      <c r="M1904" s="15">
        <v>70877.7988160362</v>
      </c>
    </row>
    <row r="1905" spans="1:13" x14ac:dyDescent="0.25">
      <c r="A1905" s="12">
        <v>46830</v>
      </c>
      <c r="B1905" s="12" t="s">
        <v>19</v>
      </c>
      <c r="C1905" s="12" t="s">
        <v>20</v>
      </c>
      <c r="D1905" s="12" t="s">
        <v>26</v>
      </c>
      <c r="E1905" s="13">
        <v>23382</v>
      </c>
      <c r="F1905" s="14">
        <v>41</v>
      </c>
      <c r="G1905" s="15">
        <v>9130</v>
      </c>
      <c r="H1905" s="16">
        <v>0.1</v>
      </c>
      <c r="I1905" s="13">
        <v>1</v>
      </c>
      <c r="J1905" s="15">
        <v>37433</v>
      </c>
      <c r="K1905" s="15">
        <v>336897</v>
      </c>
      <c r="L1905" s="15">
        <v>202570.95341091289</v>
      </c>
      <c r="M1905" s="15">
        <v>134326.04658908711</v>
      </c>
    </row>
    <row r="1906" spans="1:13" x14ac:dyDescent="0.25">
      <c r="A1906" s="12">
        <v>46831</v>
      </c>
      <c r="B1906" s="12" t="s">
        <v>13</v>
      </c>
      <c r="C1906" s="12" t="s">
        <v>17</v>
      </c>
      <c r="D1906" s="12" t="s">
        <v>22</v>
      </c>
      <c r="E1906" s="13">
        <v>14025</v>
      </c>
      <c r="F1906" s="14">
        <v>24</v>
      </c>
      <c r="G1906" s="15">
        <v>31750</v>
      </c>
      <c r="H1906" s="16">
        <v>0.1</v>
      </c>
      <c r="I1906" s="13">
        <v>4</v>
      </c>
      <c r="J1906" s="15">
        <v>76200</v>
      </c>
      <c r="K1906" s="15">
        <v>685800</v>
      </c>
      <c r="L1906" s="15">
        <v>593650.17137990077</v>
      </c>
      <c r="M1906" s="15">
        <v>92149.82862009923</v>
      </c>
    </row>
    <row r="1907" spans="1:13" x14ac:dyDescent="0.25">
      <c r="A1907" s="12">
        <v>46832</v>
      </c>
      <c r="B1907" s="12" t="s">
        <v>24</v>
      </c>
      <c r="C1907" s="12" t="s">
        <v>23</v>
      </c>
      <c r="D1907" s="12" t="s">
        <v>27</v>
      </c>
      <c r="E1907" s="13">
        <v>53226</v>
      </c>
      <c r="F1907" s="14">
        <v>25</v>
      </c>
      <c r="G1907" s="15">
        <v>29298</v>
      </c>
      <c r="H1907" s="16">
        <v>0</v>
      </c>
      <c r="I1907" s="13">
        <v>3</v>
      </c>
      <c r="J1907" s="15">
        <v>0</v>
      </c>
      <c r="K1907" s="15">
        <v>732450</v>
      </c>
      <c r="L1907" s="15">
        <v>454080.35487772728</v>
      </c>
      <c r="M1907" s="15">
        <v>278369.64512227272</v>
      </c>
    </row>
    <row r="1908" spans="1:13" x14ac:dyDescent="0.25">
      <c r="A1908" s="12">
        <v>46833</v>
      </c>
      <c r="B1908" s="12" t="s">
        <v>19</v>
      </c>
      <c r="C1908" s="12" t="s">
        <v>14</v>
      </c>
      <c r="D1908" s="12" t="s">
        <v>26</v>
      </c>
      <c r="E1908" s="13">
        <v>89380</v>
      </c>
      <c r="F1908" s="14">
        <v>15</v>
      </c>
      <c r="G1908" s="15">
        <v>43536</v>
      </c>
      <c r="H1908" s="16">
        <v>0.1</v>
      </c>
      <c r="I1908" s="13">
        <v>1</v>
      </c>
      <c r="J1908" s="15">
        <v>65304</v>
      </c>
      <c r="K1908" s="15">
        <v>587736</v>
      </c>
      <c r="L1908" s="15">
        <v>520683.53650897281</v>
      </c>
      <c r="M1908" s="15">
        <v>67052.463491027185</v>
      </c>
    </row>
    <row r="1909" spans="1:13" x14ac:dyDescent="0.25">
      <c r="A1909" s="12">
        <v>46834</v>
      </c>
      <c r="B1909" s="12" t="s">
        <v>19</v>
      </c>
      <c r="C1909" s="12" t="s">
        <v>17</v>
      </c>
      <c r="D1909" s="12" t="s">
        <v>15</v>
      </c>
      <c r="E1909" s="13">
        <v>79711</v>
      </c>
      <c r="F1909" s="14">
        <v>26</v>
      </c>
      <c r="G1909" s="15">
        <v>33712</v>
      </c>
      <c r="H1909" s="16">
        <v>0.1</v>
      </c>
      <c r="I1909" s="13">
        <v>5</v>
      </c>
      <c r="J1909" s="15">
        <v>87651.200000000012</v>
      </c>
      <c r="K1909" s="15">
        <v>788860.8</v>
      </c>
      <c r="L1909" s="15">
        <v>540012.84920253616</v>
      </c>
      <c r="M1909" s="15">
        <v>248847.95079746391</v>
      </c>
    </row>
    <row r="1910" spans="1:13" x14ac:dyDescent="0.25">
      <c r="A1910" s="12">
        <v>46835</v>
      </c>
      <c r="B1910" s="12" t="s">
        <v>24</v>
      </c>
      <c r="C1910" s="12" t="s">
        <v>14</v>
      </c>
      <c r="D1910" s="12" t="s">
        <v>25</v>
      </c>
      <c r="E1910" s="13">
        <v>84710</v>
      </c>
      <c r="F1910" s="14">
        <v>8</v>
      </c>
      <c r="G1910" s="15">
        <v>42425</v>
      </c>
      <c r="H1910" s="16">
        <v>0</v>
      </c>
      <c r="I1910" s="13">
        <v>4</v>
      </c>
      <c r="J1910" s="15">
        <v>0</v>
      </c>
      <c r="K1910" s="15">
        <v>339400</v>
      </c>
      <c r="L1910" s="15">
        <v>242538.78643247561</v>
      </c>
      <c r="M1910" s="15">
        <v>96861.213567524363</v>
      </c>
    </row>
    <row r="1911" spans="1:13" x14ac:dyDescent="0.25">
      <c r="A1911" s="12">
        <v>46836</v>
      </c>
      <c r="B1911" s="12" t="s">
        <v>19</v>
      </c>
      <c r="C1911" s="12" t="s">
        <v>20</v>
      </c>
      <c r="D1911" s="12" t="s">
        <v>18</v>
      </c>
      <c r="E1911" s="13">
        <v>13443</v>
      </c>
      <c r="F1911" s="14">
        <v>24</v>
      </c>
      <c r="G1911" s="15">
        <v>12482</v>
      </c>
      <c r="H1911" s="16">
        <v>0</v>
      </c>
      <c r="I1911" s="13">
        <v>3</v>
      </c>
      <c r="J1911" s="15">
        <v>0</v>
      </c>
      <c r="K1911" s="15">
        <v>299568</v>
      </c>
      <c r="L1911" s="15">
        <v>187976.36215442471</v>
      </c>
      <c r="M1911" s="15">
        <v>111591.6378455753</v>
      </c>
    </row>
    <row r="1912" spans="1:13" x14ac:dyDescent="0.25">
      <c r="A1912" s="12">
        <v>46837</v>
      </c>
      <c r="B1912" s="12" t="s">
        <v>16</v>
      </c>
      <c r="C1912" s="12" t="s">
        <v>17</v>
      </c>
      <c r="D1912" s="12" t="s">
        <v>22</v>
      </c>
      <c r="E1912" s="13">
        <v>31395</v>
      </c>
      <c r="F1912" s="14">
        <v>48</v>
      </c>
      <c r="G1912" s="15">
        <v>9155</v>
      </c>
      <c r="H1912" s="16">
        <v>0.1</v>
      </c>
      <c r="I1912" s="13">
        <v>4</v>
      </c>
      <c r="J1912" s="15">
        <v>43944</v>
      </c>
      <c r="K1912" s="15">
        <v>395496</v>
      </c>
      <c r="L1912" s="15">
        <v>250618.62804841509</v>
      </c>
      <c r="M1912" s="15">
        <v>144877.37195158491</v>
      </c>
    </row>
    <row r="1913" spans="1:13" x14ac:dyDescent="0.25">
      <c r="A1913" s="12">
        <v>46838</v>
      </c>
      <c r="B1913" s="12" t="s">
        <v>24</v>
      </c>
      <c r="C1913" s="12" t="s">
        <v>21</v>
      </c>
      <c r="D1913" s="12" t="s">
        <v>18</v>
      </c>
      <c r="E1913" s="13">
        <v>20725</v>
      </c>
      <c r="F1913" s="14">
        <v>38</v>
      </c>
      <c r="G1913" s="15">
        <v>19082</v>
      </c>
      <c r="H1913" s="16">
        <v>0.2</v>
      </c>
      <c r="I1913" s="13">
        <v>2</v>
      </c>
      <c r="J1913" s="15">
        <v>145023.20000000001</v>
      </c>
      <c r="K1913" s="15">
        <v>580092.80000000005</v>
      </c>
      <c r="L1913" s="15">
        <v>474528.77080723771</v>
      </c>
      <c r="M1913" s="15">
        <v>105564.02919276241</v>
      </c>
    </row>
    <row r="1914" spans="1:13" x14ac:dyDescent="0.25">
      <c r="A1914" s="12">
        <v>46839</v>
      </c>
      <c r="B1914" s="12" t="s">
        <v>24</v>
      </c>
      <c r="C1914" s="12" t="s">
        <v>14</v>
      </c>
      <c r="D1914" s="12" t="s">
        <v>25</v>
      </c>
      <c r="E1914" s="13">
        <v>43461</v>
      </c>
      <c r="F1914" s="14">
        <v>6</v>
      </c>
      <c r="G1914" s="15">
        <v>35555</v>
      </c>
      <c r="H1914" s="16">
        <v>0.1</v>
      </c>
      <c r="I1914" s="13">
        <v>3</v>
      </c>
      <c r="J1914" s="15">
        <v>21333</v>
      </c>
      <c r="K1914" s="15">
        <v>191997</v>
      </c>
      <c r="L1914" s="15">
        <v>169590.88688008941</v>
      </c>
      <c r="M1914" s="15">
        <v>22406.113119910558</v>
      </c>
    </row>
    <row r="1915" spans="1:13" x14ac:dyDescent="0.25">
      <c r="A1915" s="12">
        <v>46840</v>
      </c>
      <c r="B1915" s="12" t="s">
        <v>24</v>
      </c>
      <c r="C1915" s="12" t="s">
        <v>20</v>
      </c>
      <c r="D1915" s="12" t="s">
        <v>18</v>
      </c>
      <c r="E1915" s="13">
        <v>51115</v>
      </c>
      <c r="F1915" s="14">
        <v>35</v>
      </c>
      <c r="G1915" s="15">
        <v>45225</v>
      </c>
      <c r="H1915" s="16">
        <v>0.15</v>
      </c>
      <c r="I1915" s="13">
        <v>5</v>
      </c>
      <c r="J1915" s="15">
        <v>237431.25</v>
      </c>
      <c r="K1915" s="15">
        <v>1345443.75</v>
      </c>
      <c r="L1915" s="15">
        <v>1053784.573607455</v>
      </c>
      <c r="M1915" s="15">
        <v>291659.17639254523</v>
      </c>
    </row>
    <row r="1916" spans="1:13" x14ac:dyDescent="0.25">
      <c r="A1916" s="12">
        <v>46841</v>
      </c>
      <c r="B1916" s="12" t="s">
        <v>16</v>
      </c>
      <c r="C1916" s="12" t="s">
        <v>21</v>
      </c>
      <c r="D1916" s="12" t="s">
        <v>15</v>
      </c>
      <c r="E1916" s="13">
        <v>93732</v>
      </c>
      <c r="F1916" s="14">
        <v>42</v>
      </c>
      <c r="G1916" s="15">
        <v>4508</v>
      </c>
      <c r="H1916" s="16">
        <v>0.15</v>
      </c>
      <c r="I1916" s="13">
        <v>3</v>
      </c>
      <c r="J1916" s="15">
        <v>28400.400000000001</v>
      </c>
      <c r="K1916" s="15">
        <v>160935.6</v>
      </c>
      <c r="L1916" s="15">
        <v>131123.08552764499</v>
      </c>
      <c r="M1916" s="15">
        <v>29812.514472355018</v>
      </c>
    </row>
    <row r="1917" spans="1:13" x14ac:dyDescent="0.25">
      <c r="A1917" s="12">
        <v>46842</v>
      </c>
      <c r="B1917" s="12" t="s">
        <v>24</v>
      </c>
      <c r="C1917" s="12" t="s">
        <v>21</v>
      </c>
      <c r="D1917" s="12" t="s">
        <v>26</v>
      </c>
      <c r="E1917" s="13">
        <v>89790</v>
      </c>
      <c r="F1917" s="14">
        <v>1</v>
      </c>
      <c r="G1917" s="15">
        <v>44964</v>
      </c>
      <c r="H1917" s="16">
        <v>0.15</v>
      </c>
      <c r="I1917" s="13">
        <v>5</v>
      </c>
      <c r="J1917" s="15">
        <v>6744.5999999999995</v>
      </c>
      <c r="K1917" s="15">
        <v>38219.4</v>
      </c>
      <c r="L1917" s="15">
        <v>31668.247936996941</v>
      </c>
      <c r="M1917" s="15">
        <v>6551.1520630030655</v>
      </c>
    </row>
    <row r="1918" spans="1:13" x14ac:dyDescent="0.25">
      <c r="A1918" s="12">
        <v>46843</v>
      </c>
      <c r="B1918" s="12" t="s">
        <v>16</v>
      </c>
      <c r="C1918" s="12" t="s">
        <v>21</v>
      </c>
      <c r="D1918" s="12" t="s">
        <v>15</v>
      </c>
      <c r="E1918" s="13">
        <v>89557</v>
      </c>
      <c r="F1918" s="14">
        <v>46</v>
      </c>
      <c r="G1918" s="15">
        <v>42372</v>
      </c>
      <c r="H1918" s="16">
        <v>0.05</v>
      </c>
      <c r="I1918" s="13">
        <v>2</v>
      </c>
      <c r="J1918" s="15">
        <v>97455.6</v>
      </c>
      <c r="K1918" s="15">
        <v>1851656.4</v>
      </c>
      <c r="L1918" s="15">
        <v>1256986.360046193</v>
      </c>
      <c r="M1918" s="15">
        <v>594670.03995380667</v>
      </c>
    </row>
    <row r="1919" spans="1:13" x14ac:dyDescent="0.25">
      <c r="A1919" s="12">
        <v>46844</v>
      </c>
      <c r="B1919" s="12" t="s">
        <v>24</v>
      </c>
      <c r="C1919" s="12" t="s">
        <v>21</v>
      </c>
      <c r="D1919" s="12" t="s">
        <v>18</v>
      </c>
      <c r="E1919" s="13">
        <v>81260</v>
      </c>
      <c r="F1919" s="14">
        <v>36</v>
      </c>
      <c r="G1919" s="15">
        <v>996</v>
      </c>
      <c r="H1919" s="16">
        <v>0.15</v>
      </c>
      <c r="I1919" s="13">
        <v>5</v>
      </c>
      <c r="J1919" s="15">
        <v>5378.4</v>
      </c>
      <c r="K1919" s="15">
        <v>30477.599999999999</v>
      </c>
      <c r="L1919" s="15">
        <v>18700.107179800179</v>
      </c>
      <c r="M1919" s="15">
        <v>11777.492820199819</v>
      </c>
    </row>
    <row r="1920" spans="1:13" x14ac:dyDescent="0.25">
      <c r="A1920" s="12">
        <v>46845</v>
      </c>
      <c r="B1920" s="12" t="s">
        <v>13</v>
      </c>
      <c r="C1920" s="12" t="s">
        <v>17</v>
      </c>
      <c r="D1920" s="12" t="s">
        <v>15</v>
      </c>
      <c r="E1920" s="13">
        <v>38690</v>
      </c>
      <c r="F1920" s="14">
        <v>12</v>
      </c>
      <c r="G1920" s="15">
        <v>34731</v>
      </c>
      <c r="H1920" s="16">
        <v>0.2</v>
      </c>
      <c r="I1920" s="13">
        <v>4</v>
      </c>
      <c r="J1920" s="15">
        <v>83354.400000000009</v>
      </c>
      <c r="K1920" s="15">
        <v>333417.59999999998</v>
      </c>
      <c r="L1920" s="15">
        <v>200237.88173488309</v>
      </c>
      <c r="M1920" s="15">
        <v>133179.71826511691</v>
      </c>
    </row>
    <row r="1921" spans="1:13" x14ac:dyDescent="0.25">
      <c r="A1921" s="12">
        <v>46846</v>
      </c>
      <c r="B1921" s="12" t="s">
        <v>19</v>
      </c>
      <c r="C1921" s="12" t="s">
        <v>17</v>
      </c>
      <c r="D1921" s="12" t="s">
        <v>25</v>
      </c>
      <c r="E1921" s="13">
        <v>11407</v>
      </c>
      <c r="F1921" s="14">
        <v>38</v>
      </c>
      <c r="G1921" s="15">
        <v>23712</v>
      </c>
      <c r="H1921" s="16">
        <v>0.05</v>
      </c>
      <c r="I1921" s="13">
        <v>1</v>
      </c>
      <c r="J1921" s="15">
        <v>45052.800000000003</v>
      </c>
      <c r="K1921" s="15">
        <v>856003.2</v>
      </c>
      <c r="L1921" s="15">
        <v>603648.99248590355</v>
      </c>
      <c r="M1921" s="15">
        <v>252354.2075140964</v>
      </c>
    </row>
    <row r="1922" spans="1:13" x14ac:dyDescent="0.25">
      <c r="A1922" s="12">
        <v>46847</v>
      </c>
      <c r="B1922" s="12" t="s">
        <v>13</v>
      </c>
      <c r="C1922" s="12" t="s">
        <v>17</v>
      </c>
      <c r="D1922" s="12" t="s">
        <v>22</v>
      </c>
      <c r="E1922" s="13">
        <v>83568</v>
      </c>
      <c r="F1922" s="14">
        <v>11</v>
      </c>
      <c r="G1922" s="15">
        <v>21137</v>
      </c>
      <c r="H1922" s="16">
        <v>0.05</v>
      </c>
      <c r="I1922" s="13">
        <v>4</v>
      </c>
      <c r="J1922" s="15">
        <v>11625.35</v>
      </c>
      <c r="K1922" s="15">
        <v>220881.65</v>
      </c>
      <c r="L1922" s="15">
        <v>148529.4951421858</v>
      </c>
      <c r="M1922" s="15">
        <v>72352.154857814166</v>
      </c>
    </row>
    <row r="1923" spans="1:13" x14ac:dyDescent="0.25">
      <c r="A1923" s="12">
        <v>46848</v>
      </c>
      <c r="B1923" s="12" t="s">
        <v>19</v>
      </c>
      <c r="C1923" s="12" t="s">
        <v>20</v>
      </c>
      <c r="D1923" s="12" t="s">
        <v>15</v>
      </c>
      <c r="E1923" s="13">
        <v>68560</v>
      </c>
      <c r="F1923" s="14">
        <v>12</v>
      </c>
      <c r="G1923" s="15">
        <v>45727</v>
      </c>
      <c r="H1923" s="16">
        <v>0.15</v>
      </c>
      <c r="I1923" s="13">
        <v>4</v>
      </c>
      <c r="J1923" s="15">
        <v>82308.599999999991</v>
      </c>
      <c r="K1923" s="15">
        <v>466415.4</v>
      </c>
      <c r="L1923" s="15">
        <v>288569.02399677178</v>
      </c>
      <c r="M1923" s="15">
        <v>177846.37600322819</v>
      </c>
    </row>
    <row r="1924" spans="1:13" x14ac:dyDescent="0.25">
      <c r="A1924" s="12">
        <v>46849</v>
      </c>
      <c r="B1924" s="12" t="s">
        <v>16</v>
      </c>
      <c r="C1924" s="12" t="s">
        <v>20</v>
      </c>
      <c r="D1924" s="12" t="s">
        <v>25</v>
      </c>
      <c r="E1924" s="13">
        <v>57340</v>
      </c>
      <c r="F1924" s="14">
        <v>42</v>
      </c>
      <c r="G1924" s="15">
        <v>17377</v>
      </c>
      <c r="H1924" s="16">
        <v>0.1</v>
      </c>
      <c r="I1924" s="13">
        <v>3</v>
      </c>
      <c r="J1924" s="15">
        <v>72983.400000000009</v>
      </c>
      <c r="K1924" s="15">
        <v>656850.6</v>
      </c>
      <c r="L1924" s="15">
        <v>429487.3399924321</v>
      </c>
      <c r="M1924" s="15">
        <v>227363.26000756791</v>
      </c>
    </row>
    <row r="1925" spans="1:13" x14ac:dyDescent="0.25">
      <c r="A1925" s="12">
        <v>46850</v>
      </c>
      <c r="B1925" s="12" t="s">
        <v>13</v>
      </c>
      <c r="C1925" s="12" t="s">
        <v>20</v>
      </c>
      <c r="D1925" s="12" t="s">
        <v>22</v>
      </c>
      <c r="E1925" s="13">
        <v>27794</v>
      </c>
      <c r="F1925" s="14">
        <v>39</v>
      </c>
      <c r="G1925" s="15">
        <v>18310</v>
      </c>
      <c r="H1925" s="16">
        <v>0</v>
      </c>
      <c r="I1925" s="13">
        <v>2</v>
      </c>
      <c r="J1925" s="15">
        <v>0</v>
      </c>
      <c r="K1925" s="15">
        <v>714090</v>
      </c>
      <c r="L1925" s="15">
        <v>455125.02547924762</v>
      </c>
      <c r="M1925" s="15">
        <v>258964.97452075241</v>
      </c>
    </row>
    <row r="1926" spans="1:13" x14ac:dyDescent="0.25">
      <c r="A1926" s="12">
        <v>46851</v>
      </c>
      <c r="B1926" s="12" t="s">
        <v>24</v>
      </c>
      <c r="C1926" s="12" t="s">
        <v>23</v>
      </c>
      <c r="D1926" s="12" t="s">
        <v>26</v>
      </c>
      <c r="E1926" s="13">
        <v>29881</v>
      </c>
      <c r="F1926" s="14">
        <v>7</v>
      </c>
      <c r="G1926" s="15">
        <v>10384</v>
      </c>
      <c r="H1926" s="16">
        <v>0.1</v>
      </c>
      <c r="I1926" s="13">
        <v>1</v>
      </c>
      <c r="J1926" s="15">
        <v>7268.8</v>
      </c>
      <c r="K1926" s="15">
        <v>65419.199999999997</v>
      </c>
      <c r="L1926" s="15">
        <v>57206.703527185156</v>
      </c>
      <c r="M1926" s="15">
        <v>8212.4964728148407</v>
      </c>
    </row>
    <row r="1927" spans="1:13" x14ac:dyDescent="0.25">
      <c r="A1927" s="12">
        <v>46852</v>
      </c>
      <c r="B1927" s="12" t="s">
        <v>19</v>
      </c>
      <c r="C1927" s="12" t="s">
        <v>20</v>
      </c>
      <c r="D1927" s="12" t="s">
        <v>18</v>
      </c>
      <c r="E1927" s="13">
        <v>96292</v>
      </c>
      <c r="F1927" s="14">
        <v>11</v>
      </c>
      <c r="G1927" s="15">
        <v>3223</v>
      </c>
      <c r="H1927" s="16">
        <v>0.1</v>
      </c>
      <c r="I1927" s="13">
        <v>5</v>
      </c>
      <c r="J1927" s="15">
        <v>3545.3</v>
      </c>
      <c r="K1927" s="15">
        <v>31907.7</v>
      </c>
      <c r="L1927" s="15">
        <v>20487.301250067339</v>
      </c>
      <c r="M1927" s="15">
        <v>11420.398749932659</v>
      </c>
    </row>
    <row r="1928" spans="1:13" x14ac:dyDescent="0.25">
      <c r="A1928" s="12">
        <v>46853</v>
      </c>
      <c r="B1928" s="12" t="s">
        <v>19</v>
      </c>
      <c r="C1928" s="12" t="s">
        <v>17</v>
      </c>
      <c r="D1928" s="12" t="s">
        <v>26</v>
      </c>
      <c r="E1928" s="13">
        <v>59703</v>
      </c>
      <c r="F1928" s="14">
        <v>36</v>
      </c>
      <c r="G1928" s="15">
        <v>5261</v>
      </c>
      <c r="H1928" s="16">
        <v>0.05</v>
      </c>
      <c r="I1928" s="13">
        <v>3</v>
      </c>
      <c r="J1928" s="15">
        <v>9469.8000000000011</v>
      </c>
      <c r="K1928" s="15">
        <v>179926.2</v>
      </c>
      <c r="L1928" s="15">
        <v>136976.833518342</v>
      </c>
      <c r="M1928" s="15">
        <v>42949.366481658013</v>
      </c>
    </row>
    <row r="1929" spans="1:13" x14ac:dyDescent="0.25">
      <c r="A1929" s="12">
        <v>46854</v>
      </c>
      <c r="B1929" s="12" t="s">
        <v>13</v>
      </c>
      <c r="C1929" s="12" t="s">
        <v>17</v>
      </c>
      <c r="D1929" s="12" t="s">
        <v>27</v>
      </c>
      <c r="E1929" s="13">
        <v>54354</v>
      </c>
      <c r="F1929" s="14">
        <v>31</v>
      </c>
      <c r="G1929" s="15">
        <v>8130</v>
      </c>
      <c r="H1929" s="16">
        <v>0.05</v>
      </c>
      <c r="I1929" s="13">
        <v>2</v>
      </c>
      <c r="J1929" s="15">
        <v>12601.5</v>
      </c>
      <c r="K1929" s="15">
        <v>239428.5</v>
      </c>
      <c r="L1929" s="15">
        <v>186259.04075207189</v>
      </c>
      <c r="M1929" s="15">
        <v>53169.459247928142</v>
      </c>
    </row>
    <row r="1930" spans="1:13" x14ac:dyDescent="0.25">
      <c r="A1930" s="12">
        <v>46855</v>
      </c>
      <c r="B1930" s="12" t="s">
        <v>16</v>
      </c>
      <c r="C1930" s="12" t="s">
        <v>23</v>
      </c>
      <c r="D1930" s="12" t="s">
        <v>25</v>
      </c>
      <c r="E1930" s="13">
        <v>88462</v>
      </c>
      <c r="F1930" s="14">
        <v>33</v>
      </c>
      <c r="G1930" s="15">
        <v>16875</v>
      </c>
      <c r="H1930" s="16">
        <v>0.05</v>
      </c>
      <c r="I1930" s="13">
        <v>1</v>
      </c>
      <c r="J1930" s="15">
        <v>27843.75</v>
      </c>
      <c r="K1930" s="15">
        <v>529031.25</v>
      </c>
      <c r="L1930" s="15">
        <v>403675.62215202622</v>
      </c>
      <c r="M1930" s="15">
        <v>125355.6278479738</v>
      </c>
    </row>
    <row r="1931" spans="1:13" x14ac:dyDescent="0.25">
      <c r="A1931" s="12">
        <v>46856</v>
      </c>
      <c r="B1931" s="12" t="s">
        <v>13</v>
      </c>
      <c r="C1931" s="12" t="s">
        <v>23</v>
      </c>
      <c r="D1931" s="12" t="s">
        <v>22</v>
      </c>
      <c r="E1931" s="13">
        <v>24390</v>
      </c>
      <c r="F1931" s="14">
        <v>13</v>
      </c>
      <c r="G1931" s="15">
        <v>42009</v>
      </c>
      <c r="H1931" s="16">
        <v>0.2</v>
      </c>
      <c r="I1931" s="13">
        <v>4</v>
      </c>
      <c r="J1931" s="15">
        <v>109223.4</v>
      </c>
      <c r="K1931" s="15">
        <v>436893.6</v>
      </c>
      <c r="L1931" s="15">
        <v>275119.29664433579</v>
      </c>
      <c r="M1931" s="15">
        <v>161774.3033556641</v>
      </c>
    </row>
    <row r="1932" spans="1:13" x14ac:dyDescent="0.25">
      <c r="A1932" s="12">
        <v>46857</v>
      </c>
      <c r="B1932" s="12" t="s">
        <v>16</v>
      </c>
      <c r="C1932" s="12" t="s">
        <v>20</v>
      </c>
      <c r="D1932" s="12" t="s">
        <v>15</v>
      </c>
      <c r="E1932" s="13">
        <v>97475</v>
      </c>
      <c r="F1932" s="14">
        <v>18</v>
      </c>
      <c r="G1932" s="15">
        <v>25718</v>
      </c>
      <c r="H1932" s="16">
        <v>0.2</v>
      </c>
      <c r="I1932" s="13">
        <v>2</v>
      </c>
      <c r="J1932" s="15">
        <v>92584.8</v>
      </c>
      <c r="K1932" s="15">
        <v>370339.2</v>
      </c>
      <c r="L1932" s="15">
        <v>257622.5790756029</v>
      </c>
      <c r="M1932" s="15">
        <v>112716.6209243971</v>
      </c>
    </row>
    <row r="1933" spans="1:13" x14ac:dyDescent="0.25">
      <c r="A1933" s="12">
        <v>46858</v>
      </c>
      <c r="B1933" s="12" t="s">
        <v>16</v>
      </c>
      <c r="C1933" s="12" t="s">
        <v>14</v>
      </c>
      <c r="D1933" s="12" t="s">
        <v>26</v>
      </c>
      <c r="E1933" s="13">
        <v>37307</v>
      </c>
      <c r="F1933" s="14">
        <v>41</v>
      </c>
      <c r="G1933" s="15">
        <v>31065</v>
      </c>
      <c r="H1933" s="16">
        <v>0</v>
      </c>
      <c r="I1933" s="13">
        <v>2</v>
      </c>
      <c r="J1933" s="15">
        <v>0</v>
      </c>
      <c r="K1933" s="15">
        <v>1273665</v>
      </c>
      <c r="L1933" s="15">
        <v>783789.36839900457</v>
      </c>
      <c r="M1933" s="15">
        <v>489875.63160099537</v>
      </c>
    </row>
    <row r="1934" spans="1:13" x14ac:dyDescent="0.25">
      <c r="A1934" s="12">
        <v>46859</v>
      </c>
      <c r="B1934" s="12" t="s">
        <v>19</v>
      </c>
      <c r="C1934" s="12" t="s">
        <v>23</v>
      </c>
      <c r="D1934" s="12" t="s">
        <v>22</v>
      </c>
      <c r="E1934" s="13">
        <v>34502</v>
      </c>
      <c r="F1934" s="14">
        <v>24</v>
      </c>
      <c r="G1934" s="15">
        <v>37618</v>
      </c>
      <c r="H1934" s="16">
        <v>0.05</v>
      </c>
      <c r="I1934" s="13">
        <v>2</v>
      </c>
      <c r="J1934" s="15">
        <v>45141.600000000013</v>
      </c>
      <c r="K1934" s="15">
        <v>857690.4</v>
      </c>
      <c r="L1934" s="15">
        <v>616422.92606677045</v>
      </c>
      <c r="M1934" s="15">
        <v>241267.4739332296</v>
      </c>
    </row>
    <row r="1935" spans="1:13" x14ac:dyDescent="0.25">
      <c r="A1935" s="12">
        <v>46860</v>
      </c>
      <c r="B1935" s="12" t="s">
        <v>13</v>
      </c>
      <c r="C1935" s="12" t="s">
        <v>21</v>
      </c>
      <c r="D1935" s="12" t="s">
        <v>25</v>
      </c>
      <c r="E1935" s="13">
        <v>32486</v>
      </c>
      <c r="F1935" s="14">
        <v>9</v>
      </c>
      <c r="G1935" s="15">
        <v>33475</v>
      </c>
      <c r="H1935" s="16">
        <v>0.15</v>
      </c>
      <c r="I1935" s="13">
        <v>4</v>
      </c>
      <c r="J1935" s="15">
        <v>45191.25</v>
      </c>
      <c r="K1935" s="15">
        <v>256083.75</v>
      </c>
      <c r="L1935" s="15">
        <v>168139.38646980649</v>
      </c>
      <c r="M1935" s="15">
        <v>87944.363530193543</v>
      </c>
    </row>
    <row r="1936" spans="1:13" x14ac:dyDescent="0.25">
      <c r="A1936" s="12">
        <v>46861</v>
      </c>
      <c r="B1936" s="12" t="s">
        <v>13</v>
      </c>
      <c r="C1936" s="12" t="s">
        <v>17</v>
      </c>
      <c r="D1936" s="12" t="s">
        <v>27</v>
      </c>
      <c r="E1936" s="13">
        <v>48258</v>
      </c>
      <c r="F1936" s="14">
        <v>31</v>
      </c>
      <c r="G1936" s="15">
        <v>27573</v>
      </c>
      <c r="H1936" s="16">
        <v>0.05</v>
      </c>
      <c r="I1936" s="13">
        <v>5</v>
      </c>
      <c r="J1936" s="15">
        <v>42738.15</v>
      </c>
      <c r="K1936" s="15">
        <v>812024.85</v>
      </c>
      <c r="L1936" s="15">
        <v>624032.78207861062</v>
      </c>
      <c r="M1936" s="15">
        <v>187992.06792138939</v>
      </c>
    </row>
    <row r="1937" spans="1:13" x14ac:dyDescent="0.25">
      <c r="A1937" s="12">
        <v>46862</v>
      </c>
      <c r="B1937" s="12" t="s">
        <v>16</v>
      </c>
      <c r="C1937" s="12" t="s">
        <v>21</v>
      </c>
      <c r="D1937" s="12" t="s">
        <v>26</v>
      </c>
      <c r="E1937" s="13">
        <v>67716</v>
      </c>
      <c r="F1937" s="14">
        <v>41</v>
      </c>
      <c r="G1937" s="15">
        <v>4690</v>
      </c>
      <c r="H1937" s="16">
        <v>0.2</v>
      </c>
      <c r="I1937" s="13">
        <v>3</v>
      </c>
      <c r="J1937" s="15">
        <v>38458</v>
      </c>
      <c r="K1937" s="15">
        <v>153832</v>
      </c>
      <c r="L1937" s="15">
        <v>124272.0302527785</v>
      </c>
      <c r="M1937" s="15">
        <v>29559.969747221548</v>
      </c>
    </row>
    <row r="1938" spans="1:13" x14ac:dyDescent="0.25">
      <c r="A1938" s="12">
        <v>46863</v>
      </c>
      <c r="B1938" s="12" t="s">
        <v>13</v>
      </c>
      <c r="C1938" s="12" t="s">
        <v>17</v>
      </c>
      <c r="D1938" s="12" t="s">
        <v>18</v>
      </c>
      <c r="E1938" s="13">
        <v>91494</v>
      </c>
      <c r="F1938" s="14">
        <v>10</v>
      </c>
      <c r="G1938" s="15">
        <v>2383</v>
      </c>
      <c r="H1938" s="16">
        <v>0.05</v>
      </c>
      <c r="I1938" s="13">
        <v>5</v>
      </c>
      <c r="J1938" s="15">
        <v>1191.5</v>
      </c>
      <c r="K1938" s="15">
        <v>22638.5</v>
      </c>
      <c r="L1938" s="15">
        <v>17197.01863657327</v>
      </c>
      <c r="M1938" s="15">
        <v>5441.4813634267266</v>
      </c>
    </row>
    <row r="1939" spans="1:13" x14ac:dyDescent="0.25">
      <c r="A1939" s="12">
        <v>46864</v>
      </c>
      <c r="B1939" s="12" t="s">
        <v>24</v>
      </c>
      <c r="C1939" s="12" t="s">
        <v>17</v>
      </c>
      <c r="D1939" s="12" t="s">
        <v>22</v>
      </c>
      <c r="E1939" s="13">
        <v>92768</v>
      </c>
      <c r="F1939" s="14">
        <v>2</v>
      </c>
      <c r="G1939" s="15">
        <v>3386</v>
      </c>
      <c r="H1939" s="16">
        <v>0.2</v>
      </c>
      <c r="I1939" s="13">
        <v>1</v>
      </c>
      <c r="J1939" s="15">
        <v>1354.4</v>
      </c>
      <c r="K1939" s="15">
        <v>5417.6</v>
      </c>
      <c r="L1939" s="15">
        <v>3956.3162182685692</v>
      </c>
      <c r="M1939" s="15">
        <v>1461.283781731431</v>
      </c>
    </row>
    <row r="1940" spans="1:13" x14ac:dyDescent="0.25">
      <c r="A1940" s="12">
        <v>46865</v>
      </c>
      <c r="B1940" s="12" t="s">
        <v>24</v>
      </c>
      <c r="C1940" s="12" t="s">
        <v>23</v>
      </c>
      <c r="D1940" s="12" t="s">
        <v>18</v>
      </c>
      <c r="E1940" s="13">
        <v>20748</v>
      </c>
      <c r="F1940" s="14">
        <v>38</v>
      </c>
      <c r="G1940" s="15">
        <v>9453</v>
      </c>
      <c r="H1940" s="16">
        <v>0.05</v>
      </c>
      <c r="I1940" s="13">
        <v>3</v>
      </c>
      <c r="J1940" s="15">
        <v>17960.7</v>
      </c>
      <c r="K1940" s="15">
        <v>341253.3</v>
      </c>
      <c r="L1940" s="15">
        <v>244405.62242029051</v>
      </c>
      <c r="M1940" s="15">
        <v>96847.677579709445</v>
      </c>
    </row>
    <row r="1941" spans="1:13" x14ac:dyDescent="0.25">
      <c r="A1941" s="12">
        <v>46866</v>
      </c>
      <c r="B1941" s="12" t="s">
        <v>13</v>
      </c>
      <c r="C1941" s="12" t="s">
        <v>23</v>
      </c>
      <c r="D1941" s="12" t="s">
        <v>22</v>
      </c>
      <c r="E1941" s="13">
        <v>72785</v>
      </c>
      <c r="F1941" s="14">
        <v>15</v>
      </c>
      <c r="G1941" s="15">
        <v>8881</v>
      </c>
      <c r="H1941" s="16">
        <v>0.15</v>
      </c>
      <c r="I1941" s="13">
        <v>1</v>
      </c>
      <c r="J1941" s="15">
        <v>19982.25</v>
      </c>
      <c r="K1941" s="15">
        <v>113232.75</v>
      </c>
      <c r="L1941" s="15">
        <v>96531.772066195816</v>
      </c>
      <c r="M1941" s="15">
        <v>16700.977933804181</v>
      </c>
    </row>
    <row r="1942" spans="1:13" x14ac:dyDescent="0.25">
      <c r="A1942" s="12">
        <v>46867</v>
      </c>
      <c r="B1942" s="12" t="s">
        <v>13</v>
      </c>
      <c r="C1942" s="12" t="s">
        <v>21</v>
      </c>
      <c r="D1942" s="12" t="s">
        <v>22</v>
      </c>
      <c r="E1942" s="13">
        <v>86050</v>
      </c>
      <c r="F1942" s="14">
        <v>3</v>
      </c>
      <c r="G1942" s="15">
        <v>23738</v>
      </c>
      <c r="H1942" s="16">
        <v>0</v>
      </c>
      <c r="I1942" s="13">
        <v>4</v>
      </c>
      <c r="J1942" s="15">
        <v>0</v>
      </c>
      <c r="K1942" s="15">
        <v>71214</v>
      </c>
      <c r="L1942" s="15">
        <v>47415.023215667439</v>
      </c>
      <c r="M1942" s="15">
        <v>23798.976784332561</v>
      </c>
    </row>
    <row r="1943" spans="1:13" x14ac:dyDescent="0.25">
      <c r="A1943" s="12">
        <v>46868</v>
      </c>
      <c r="B1943" s="12" t="s">
        <v>16</v>
      </c>
      <c r="C1943" s="12" t="s">
        <v>17</v>
      </c>
      <c r="D1943" s="12" t="s">
        <v>25</v>
      </c>
      <c r="E1943" s="13">
        <v>32738</v>
      </c>
      <c r="F1943" s="14">
        <v>43</v>
      </c>
      <c r="G1943" s="15">
        <v>14295</v>
      </c>
      <c r="H1943" s="16">
        <v>0.15</v>
      </c>
      <c r="I1943" s="13">
        <v>5</v>
      </c>
      <c r="J1943" s="15">
        <v>92202.75</v>
      </c>
      <c r="K1943" s="15">
        <v>522482.25</v>
      </c>
      <c r="L1943" s="15">
        <v>428574.16500849219</v>
      </c>
      <c r="M1943" s="15">
        <v>93908.084991507814</v>
      </c>
    </row>
    <row r="1944" spans="1:13" x14ac:dyDescent="0.25">
      <c r="A1944" s="12">
        <v>46869</v>
      </c>
      <c r="B1944" s="12" t="s">
        <v>24</v>
      </c>
      <c r="C1944" s="12" t="s">
        <v>21</v>
      </c>
      <c r="D1944" s="12" t="s">
        <v>25</v>
      </c>
      <c r="E1944" s="13">
        <v>84231</v>
      </c>
      <c r="F1944" s="14">
        <v>31</v>
      </c>
      <c r="G1944" s="15">
        <v>30928</v>
      </c>
      <c r="H1944" s="16">
        <v>0.2</v>
      </c>
      <c r="I1944" s="13">
        <v>2</v>
      </c>
      <c r="J1944" s="15">
        <v>191753.60000000001</v>
      </c>
      <c r="K1944" s="15">
        <v>767014.40000000002</v>
      </c>
      <c r="L1944" s="15">
        <v>634508.59524634434</v>
      </c>
      <c r="M1944" s="15">
        <v>132505.80475365571</v>
      </c>
    </row>
    <row r="1945" spans="1:13" x14ac:dyDescent="0.25">
      <c r="A1945" s="12">
        <v>46870</v>
      </c>
      <c r="B1945" s="12" t="s">
        <v>24</v>
      </c>
      <c r="C1945" s="12" t="s">
        <v>14</v>
      </c>
      <c r="D1945" s="12" t="s">
        <v>25</v>
      </c>
      <c r="E1945" s="13">
        <v>83606</v>
      </c>
      <c r="F1945" s="14">
        <v>6</v>
      </c>
      <c r="G1945" s="15">
        <v>10138</v>
      </c>
      <c r="H1945" s="16">
        <v>0.1</v>
      </c>
      <c r="I1945" s="13">
        <v>3</v>
      </c>
      <c r="J1945" s="15">
        <v>6082.8</v>
      </c>
      <c r="K1945" s="15">
        <v>54745.2</v>
      </c>
      <c r="L1945" s="15">
        <v>39731.876471411328</v>
      </c>
      <c r="M1945" s="15">
        <v>15013.32352858866</v>
      </c>
    </row>
    <row r="1946" spans="1:13" x14ac:dyDescent="0.25">
      <c r="A1946" s="12">
        <v>46871</v>
      </c>
      <c r="B1946" s="12" t="s">
        <v>19</v>
      </c>
      <c r="C1946" s="12" t="s">
        <v>21</v>
      </c>
      <c r="D1946" s="12" t="s">
        <v>15</v>
      </c>
      <c r="E1946" s="13">
        <v>51662</v>
      </c>
      <c r="F1946" s="14">
        <v>3</v>
      </c>
      <c r="G1946" s="15">
        <v>5431</v>
      </c>
      <c r="H1946" s="16">
        <v>0.15</v>
      </c>
      <c r="I1946" s="13">
        <v>2</v>
      </c>
      <c r="J1946" s="15">
        <v>2443.9499999999998</v>
      </c>
      <c r="K1946" s="15">
        <v>13849.05</v>
      </c>
      <c r="L1946" s="15">
        <v>9544.6292591117526</v>
      </c>
      <c r="M1946" s="15">
        <v>4304.4207408882467</v>
      </c>
    </row>
    <row r="1947" spans="1:13" x14ac:dyDescent="0.25">
      <c r="A1947" s="12">
        <v>46872</v>
      </c>
      <c r="B1947" s="12" t="s">
        <v>16</v>
      </c>
      <c r="C1947" s="12" t="s">
        <v>20</v>
      </c>
      <c r="D1947" s="12" t="s">
        <v>22</v>
      </c>
      <c r="E1947" s="13">
        <v>92234</v>
      </c>
      <c r="F1947" s="14">
        <v>11</v>
      </c>
      <c r="G1947" s="15">
        <v>43123</v>
      </c>
      <c r="H1947" s="16">
        <v>0.05</v>
      </c>
      <c r="I1947" s="13">
        <v>1</v>
      </c>
      <c r="J1947" s="15">
        <v>23717.65</v>
      </c>
      <c r="K1947" s="15">
        <v>450635.35</v>
      </c>
      <c r="L1947" s="15">
        <v>333993.99817615439</v>
      </c>
      <c r="M1947" s="15">
        <v>116641.3518238456</v>
      </c>
    </row>
    <row r="1948" spans="1:13" x14ac:dyDescent="0.25">
      <c r="A1948" s="12">
        <v>46873</v>
      </c>
      <c r="B1948" s="12" t="s">
        <v>19</v>
      </c>
      <c r="C1948" s="12" t="s">
        <v>21</v>
      </c>
      <c r="D1948" s="12" t="s">
        <v>26</v>
      </c>
      <c r="E1948" s="13">
        <v>25123</v>
      </c>
      <c r="F1948" s="14">
        <v>15</v>
      </c>
      <c r="G1948" s="15">
        <v>38992</v>
      </c>
      <c r="H1948" s="16">
        <v>0</v>
      </c>
      <c r="I1948" s="13">
        <v>2</v>
      </c>
      <c r="J1948" s="15">
        <v>0</v>
      </c>
      <c r="K1948" s="15">
        <v>584880</v>
      </c>
      <c r="L1948" s="15">
        <v>367283.68829283642</v>
      </c>
      <c r="M1948" s="15">
        <v>217596.31170716361</v>
      </c>
    </row>
    <row r="1949" spans="1:13" x14ac:dyDescent="0.25">
      <c r="A1949" s="12">
        <v>46874</v>
      </c>
      <c r="B1949" s="12" t="s">
        <v>24</v>
      </c>
      <c r="C1949" s="12" t="s">
        <v>20</v>
      </c>
      <c r="D1949" s="12" t="s">
        <v>18</v>
      </c>
      <c r="E1949" s="13">
        <v>35616</v>
      </c>
      <c r="F1949" s="14">
        <v>45</v>
      </c>
      <c r="G1949" s="15">
        <v>26911</v>
      </c>
      <c r="H1949" s="16">
        <v>0.05</v>
      </c>
      <c r="I1949" s="13">
        <v>2</v>
      </c>
      <c r="J1949" s="15">
        <v>60549.75</v>
      </c>
      <c r="K1949" s="15">
        <v>1150445.25</v>
      </c>
      <c r="L1949" s="15">
        <v>706119.14622309105</v>
      </c>
      <c r="M1949" s="15">
        <v>444326.10377690889</v>
      </c>
    </row>
    <row r="1950" spans="1:13" x14ac:dyDescent="0.25">
      <c r="A1950" s="12">
        <v>46875</v>
      </c>
      <c r="B1950" s="12" t="s">
        <v>16</v>
      </c>
      <c r="C1950" s="12" t="s">
        <v>20</v>
      </c>
      <c r="D1950" s="12" t="s">
        <v>25</v>
      </c>
      <c r="E1950" s="13">
        <v>21182</v>
      </c>
      <c r="F1950" s="14">
        <v>28</v>
      </c>
      <c r="G1950" s="15">
        <v>45688</v>
      </c>
      <c r="H1950" s="16">
        <v>0.05</v>
      </c>
      <c r="I1950" s="13">
        <v>4</v>
      </c>
      <c r="J1950" s="15">
        <v>63963.199999999997</v>
      </c>
      <c r="K1950" s="15">
        <v>1215300.8</v>
      </c>
      <c r="L1950" s="15">
        <v>769869.91727293306</v>
      </c>
      <c r="M1950" s="15">
        <v>445430.88272706699</v>
      </c>
    </row>
    <row r="1951" spans="1:13" x14ac:dyDescent="0.25">
      <c r="A1951" s="12">
        <v>46876</v>
      </c>
      <c r="B1951" s="12" t="s">
        <v>13</v>
      </c>
      <c r="C1951" s="12" t="s">
        <v>20</v>
      </c>
      <c r="D1951" s="12" t="s">
        <v>25</v>
      </c>
      <c r="E1951" s="13">
        <v>72013</v>
      </c>
      <c r="F1951" s="14">
        <v>10</v>
      </c>
      <c r="G1951" s="15">
        <v>21034</v>
      </c>
      <c r="H1951" s="16">
        <v>0.15</v>
      </c>
      <c r="I1951" s="13">
        <v>4</v>
      </c>
      <c r="J1951" s="15">
        <v>31551</v>
      </c>
      <c r="K1951" s="15">
        <v>178789</v>
      </c>
      <c r="L1951" s="15">
        <v>117311.24190903</v>
      </c>
      <c r="M1951" s="15">
        <v>61477.758090970019</v>
      </c>
    </row>
    <row r="1952" spans="1:13" x14ac:dyDescent="0.25">
      <c r="A1952" s="12">
        <v>46877</v>
      </c>
      <c r="B1952" s="12" t="s">
        <v>16</v>
      </c>
      <c r="C1952" s="12" t="s">
        <v>14</v>
      </c>
      <c r="D1952" s="12" t="s">
        <v>18</v>
      </c>
      <c r="E1952" s="13">
        <v>41331</v>
      </c>
      <c r="F1952" s="14">
        <v>38</v>
      </c>
      <c r="G1952" s="15">
        <v>37328</v>
      </c>
      <c r="H1952" s="16">
        <v>0</v>
      </c>
      <c r="I1952" s="13">
        <v>5</v>
      </c>
      <c r="J1952" s="15">
        <v>0</v>
      </c>
      <c r="K1952" s="15">
        <v>1418464</v>
      </c>
      <c r="L1952" s="15">
        <v>1065625.400785194</v>
      </c>
      <c r="M1952" s="15">
        <v>352838.59921480552</v>
      </c>
    </row>
    <row r="1953" spans="1:13" x14ac:dyDescent="0.25">
      <c r="A1953" s="12">
        <v>46878</v>
      </c>
      <c r="B1953" s="12" t="s">
        <v>13</v>
      </c>
      <c r="C1953" s="12" t="s">
        <v>21</v>
      </c>
      <c r="D1953" s="12" t="s">
        <v>18</v>
      </c>
      <c r="E1953" s="13">
        <v>56098</v>
      </c>
      <c r="F1953" s="14">
        <v>47</v>
      </c>
      <c r="G1953" s="15">
        <v>29681</v>
      </c>
      <c r="H1953" s="16">
        <v>0.1</v>
      </c>
      <c r="I1953" s="13">
        <v>1</v>
      </c>
      <c r="J1953" s="15">
        <v>139500.70000000001</v>
      </c>
      <c r="K1953" s="15">
        <v>1255506.3</v>
      </c>
      <c r="L1953" s="15">
        <v>1073132.698878329</v>
      </c>
      <c r="M1953" s="15">
        <v>182373.601121671</v>
      </c>
    </row>
    <row r="1954" spans="1:13" x14ac:dyDescent="0.25">
      <c r="A1954" s="12">
        <v>46879</v>
      </c>
      <c r="B1954" s="12" t="s">
        <v>13</v>
      </c>
      <c r="C1954" s="12" t="s">
        <v>21</v>
      </c>
      <c r="D1954" s="12" t="s">
        <v>22</v>
      </c>
      <c r="E1954" s="13">
        <v>36128</v>
      </c>
      <c r="F1954" s="14">
        <v>7</v>
      </c>
      <c r="G1954" s="15">
        <v>38033</v>
      </c>
      <c r="H1954" s="16">
        <v>0.05</v>
      </c>
      <c r="I1954" s="13">
        <v>4</v>
      </c>
      <c r="J1954" s="15">
        <v>13311.55</v>
      </c>
      <c r="K1954" s="15">
        <v>252919.45</v>
      </c>
      <c r="L1954" s="15">
        <v>169631.22870182351</v>
      </c>
      <c r="M1954" s="15">
        <v>83288.221298176533</v>
      </c>
    </row>
    <row r="1955" spans="1:13" x14ac:dyDescent="0.25">
      <c r="A1955" s="12">
        <v>46880</v>
      </c>
      <c r="B1955" s="12" t="s">
        <v>16</v>
      </c>
      <c r="C1955" s="12" t="s">
        <v>14</v>
      </c>
      <c r="D1955" s="12" t="s">
        <v>25</v>
      </c>
      <c r="E1955" s="13">
        <v>41556</v>
      </c>
      <c r="F1955" s="14">
        <v>15</v>
      </c>
      <c r="G1955" s="15">
        <v>20496</v>
      </c>
      <c r="H1955" s="16">
        <v>0</v>
      </c>
      <c r="I1955" s="13">
        <v>4</v>
      </c>
      <c r="J1955" s="15">
        <v>0</v>
      </c>
      <c r="K1955" s="15">
        <v>307440</v>
      </c>
      <c r="L1955" s="15">
        <v>270715.86257519678</v>
      </c>
      <c r="M1955" s="15">
        <v>36724.137424803157</v>
      </c>
    </row>
    <row r="1956" spans="1:13" x14ac:dyDescent="0.25">
      <c r="A1956" s="12">
        <v>46881</v>
      </c>
      <c r="B1956" s="12" t="s">
        <v>13</v>
      </c>
      <c r="C1956" s="12" t="s">
        <v>17</v>
      </c>
      <c r="D1956" s="12" t="s">
        <v>18</v>
      </c>
      <c r="E1956" s="13">
        <v>97505</v>
      </c>
      <c r="F1956" s="14">
        <v>18</v>
      </c>
      <c r="G1956" s="15">
        <v>7053</v>
      </c>
      <c r="H1956" s="16">
        <v>0.1</v>
      </c>
      <c r="I1956" s="13">
        <v>5</v>
      </c>
      <c r="J1956" s="15">
        <v>12695.4</v>
      </c>
      <c r="K1956" s="15">
        <v>114258.6</v>
      </c>
      <c r="L1956" s="15">
        <v>101287.09224115231</v>
      </c>
      <c r="M1956" s="15">
        <v>12971.5077588477</v>
      </c>
    </row>
    <row r="1957" spans="1:13" x14ac:dyDescent="0.25">
      <c r="A1957" s="12">
        <v>46882</v>
      </c>
      <c r="B1957" s="12" t="s">
        <v>19</v>
      </c>
      <c r="C1957" s="12" t="s">
        <v>23</v>
      </c>
      <c r="D1957" s="12" t="s">
        <v>15</v>
      </c>
      <c r="E1957" s="13">
        <v>31876</v>
      </c>
      <c r="F1957" s="14">
        <v>18</v>
      </c>
      <c r="G1957" s="15">
        <v>40646</v>
      </c>
      <c r="H1957" s="16">
        <v>0.05</v>
      </c>
      <c r="I1957" s="13">
        <v>3</v>
      </c>
      <c r="J1957" s="15">
        <v>36581.4</v>
      </c>
      <c r="K1957" s="15">
        <v>695046.6</v>
      </c>
      <c r="L1957" s="15">
        <v>616972.97559660103</v>
      </c>
      <c r="M1957" s="15">
        <v>78073.62440339895</v>
      </c>
    </row>
    <row r="1958" spans="1:13" x14ac:dyDescent="0.25">
      <c r="A1958" s="12">
        <v>46883</v>
      </c>
      <c r="B1958" s="12" t="s">
        <v>24</v>
      </c>
      <c r="C1958" s="12" t="s">
        <v>21</v>
      </c>
      <c r="D1958" s="12" t="s">
        <v>15</v>
      </c>
      <c r="E1958" s="13">
        <v>18949</v>
      </c>
      <c r="F1958" s="14">
        <v>41</v>
      </c>
      <c r="G1958" s="15">
        <v>18573</v>
      </c>
      <c r="H1958" s="16">
        <v>0</v>
      </c>
      <c r="I1958" s="13">
        <v>5</v>
      </c>
      <c r="J1958" s="15">
        <v>0</v>
      </c>
      <c r="K1958" s="15">
        <v>761493</v>
      </c>
      <c r="L1958" s="15">
        <v>648235.24785506329</v>
      </c>
      <c r="M1958" s="15">
        <v>113257.75214493671</v>
      </c>
    </row>
    <row r="1959" spans="1:13" x14ac:dyDescent="0.25">
      <c r="A1959" s="12">
        <v>46884</v>
      </c>
      <c r="B1959" s="12" t="s">
        <v>13</v>
      </c>
      <c r="C1959" s="12" t="s">
        <v>23</v>
      </c>
      <c r="D1959" s="12" t="s">
        <v>25</v>
      </c>
      <c r="E1959" s="13">
        <v>61962</v>
      </c>
      <c r="F1959" s="14">
        <v>24</v>
      </c>
      <c r="G1959" s="15">
        <v>7630</v>
      </c>
      <c r="H1959" s="16">
        <v>0.15</v>
      </c>
      <c r="I1959" s="13">
        <v>2</v>
      </c>
      <c r="J1959" s="15">
        <v>27468</v>
      </c>
      <c r="K1959" s="15">
        <v>155652</v>
      </c>
      <c r="L1959" s="15">
        <v>110380.228575074</v>
      </c>
      <c r="M1959" s="15">
        <v>45271.771424925959</v>
      </c>
    </row>
    <row r="1960" spans="1:13" x14ac:dyDescent="0.25">
      <c r="A1960" s="12">
        <v>46885</v>
      </c>
      <c r="B1960" s="12" t="s">
        <v>19</v>
      </c>
      <c r="C1960" s="12" t="s">
        <v>14</v>
      </c>
      <c r="D1960" s="12" t="s">
        <v>18</v>
      </c>
      <c r="E1960" s="13">
        <v>81206</v>
      </c>
      <c r="F1960" s="14">
        <v>2</v>
      </c>
      <c r="G1960" s="15">
        <v>29905</v>
      </c>
      <c r="H1960" s="16">
        <v>0.05</v>
      </c>
      <c r="I1960" s="13">
        <v>2</v>
      </c>
      <c r="J1960" s="15">
        <v>2990.5</v>
      </c>
      <c r="K1960" s="15">
        <v>56819.5</v>
      </c>
      <c r="L1960" s="15">
        <v>35330.65904436406</v>
      </c>
      <c r="M1960" s="15">
        <v>21488.84095563594</v>
      </c>
    </row>
    <row r="1961" spans="1:13" x14ac:dyDescent="0.25">
      <c r="A1961" s="12">
        <v>46886</v>
      </c>
      <c r="B1961" s="12" t="s">
        <v>13</v>
      </c>
      <c r="C1961" s="12" t="s">
        <v>17</v>
      </c>
      <c r="D1961" s="12" t="s">
        <v>22</v>
      </c>
      <c r="E1961" s="13">
        <v>34099</v>
      </c>
      <c r="F1961" s="14">
        <v>40</v>
      </c>
      <c r="G1961" s="15">
        <v>36454</v>
      </c>
      <c r="H1961" s="16">
        <v>0.05</v>
      </c>
      <c r="I1961" s="13">
        <v>4</v>
      </c>
      <c r="J1961" s="15">
        <v>72908</v>
      </c>
      <c r="K1961" s="15">
        <v>1385252</v>
      </c>
      <c r="L1961" s="15">
        <v>1067538.3857451</v>
      </c>
      <c r="M1961" s="15">
        <v>317713.61425489979</v>
      </c>
    </row>
    <row r="1962" spans="1:13" x14ac:dyDescent="0.25">
      <c r="A1962" s="12">
        <v>46887</v>
      </c>
      <c r="B1962" s="12" t="s">
        <v>24</v>
      </c>
      <c r="C1962" s="12" t="s">
        <v>17</v>
      </c>
      <c r="D1962" s="12" t="s">
        <v>22</v>
      </c>
      <c r="E1962" s="13">
        <v>22716</v>
      </c>
      <c r="F1962" s="14">
        <v>20</v>
      </c>
      <c r="G1962" s="15">
        <v>6289</v>
      </c>
      <c r="H1962" s="16">
        <v>0</v>
      </c>
      <c r="I1962" s="13">
        <v>4</v>
      </c>
      <c r="J1962" s="15">
        <v>0</v>
      </c>
      <c r="K1962" s="15">
        <v>125780</v>
      </c>
      <c r="L1962" s="15">
        <v>96549.285605527577</v>
      </c>
      <c r="M1962" s="15">
        <v>29230.714394472419</v>
      </c>
    </row>
    <row r="1963" spans="1:13" x14ac:dyDescent="0.25">
      <c r="A1963" s="12">
        <v>46888</v>
      </c>
      <c r="B1963" s="12" t="s">
        <v>19</v>
      </c>
      <c r="C1963" s="12" t="s">
        <v>17</v>
      </c>
      <c r="D1963" s="12" t="s">
        <v>22</v>
      </c>
      <c r="E1963" s="13">
        <v>62611</v>
      </c>
      <c r="F1963" s="14">
        <v>34</v>
      </c>
      <c r="G1963" s="15">
        <v>29430</v>
      </c>
      <c r="H1963" s="16">
        <v>0.05</v>
      </c>
      <c r="I1963" s="13">
        <v>5</v>
      </c>
      <c r="J1963" s="15">
        <v>50031</v>
      </c>
      <c r="K1963" s="15">
        <v>950589</v>
      </c>
      <c r="L1963" s="15">
        <v>812746.68434428307</v>
      </c>
      <c r="M1963" s="15">
        <v>137842.3156557169</v>
      </c>
    </row>
    <row r="1964" spans="1:13" x14ac:dyDescent="0.25">
      <c r="A1964" s="12">
        <v>46889</v>
      </c>
      <c r="B1964" s="12" t="s">
        <v>24</v>
      </c>
      <c r="C1964" s="12" t="s">
        <v>14</v>
      </c>
      <c r="D1964" s="12" t="s">
        <v>27</v>
      </c>
      <c r="E1964" s="13">
        <v>48885</v>
      </c>
      <c r="F1964" s="14">
        <v>43</v>
      </c>
      <c r="G1964" s="15">
        <v>49390</v>
      </c>
      <c r="H1964" s="16">
        <v>0.1</v>
      </c>
      <c r="I1964" s="13">
        <v>5</v>
      </c>
      <c r="J1964" s="15">
        <v>212377</v>
      </c>
      <c r="K1964" s="15">
        <v>1911393</v>
      </c>
      <c r="L1964" s="15">
        <v>1717954.8968523089</v>
      </c>
      <c r="M1964" s="15">
        <v>193438.10314769129</v>
      </c>
    </row>
    <row r="1965" spans="1:13" x14ac:dyDescent="0.25">
      <c r="A1965" s="12">
        <v>46890</v>
      </c>
      <c r="B1965" s="12" t="s">
        <v>24</v>
      </c>
      <c r="C1965" s="12" t="s">
        <v>20</v>
      </c>
      <c r="D1965" s="12" t="s">
        <v>25</v>
      </c>
      <c r="E1965" s="13">
        <v>63144</v>
      </c>
      <c r="F1965" s="14">
        <v>26</v>
      </c>
      <c r="G1965" s="15">
        <v>18029</v>
      </c>
      <c r="H1965" s="16">
        <v>0.05</v>
      </c>
      <c r="I1965" s="13">
        <v>1</v>
      </c>
      <c r="J1965" s="15">
        <v>23437.7</v>
      </c>
      <c r="K1965" s="15">
        <v>445316.3</v>
      </c>
      <c r="L1965" s="15">
        <v>335076.99947259919</v>
      </c>
      <c r="M1965" s="15">
        <v>110239.3005274008</v>
      </c>
    </row>
    <row r="1966" spans="1:13" x14ac:dyDescent="0.25">
      <c r="A1966" s="12">
        <v>46891</v>
      </c>
      <c r="B1966" s="12" t="s">
        <v>19</v>
      </c>
      <c r="C1966" s="12" t="s">
        <v>20</v>
      </c>
      <c r="D1966" s="12" t="s">
        <v>22</v>
      </c>
      <c r="E1966" s="13">
        <v>75220</v>
      </c>
      <c r="F1966" s="14">
        <v>7</v>
      </c>
      <c r="G1966" s="15">
        <v>8442</v>
      </c>
      <c r="H1966" s="16">
        <v>0.2</v>
      </c>
      <c r="I1966" s="13">
        <v>2</v>
      </c>
      <c r="J1966" s="15">
        <v>11818.8</v>
      </c>
      <c r="K1966" s="15">
        <v>47275.199999999997</v>
      </c>
      <c r="L1966" s="15">
        <v>33260.996882463587</v>
      </c>
      <c r="M1966" s="15">
        <v>14014.203117536401</v>
      </c>
    </row>
    <row r="1967" spans="1:13" x14ac:dyDescent="0.25">
      <c r="A1967" s="12">
        <v>46892</v>
      </c>
      <c r="B1967" s="12" t="s">
        <v>19</v>
      </c>
      <c r="C1967" s="12" t="s">
        <v>23</v>
      </c>
      <c r="D1967" s="12" t="s">
        <v>15</v>
      </c>
      <c r="E1967" s="13">
        <v>17837</v>
      </c>
      <c r="F1967" s="14">
        <v>38</v>
      </c>
      <c r="G1967" s="15">
        <v>8048</v>
      </c>
      <c r="H1967" s="16">
        <v>0.1</v>
      </c>
      <c r="I1967" s="13">
        <v>5</v>
      </c>
      <c r="J1967" s="15">
        <v>30582.400000000001</v>
      </c>
      <c r="K1967" s="15">
        <v>275241.59999999998</v>
      </c>
      <c r="L1967" s="15">
        <v>180495.32535944559</v>
      </c>
      <c r="M1967" s="15">
        <v>94746.274640554358</v>
      </c>
    </row>
    <row r="1968" spans="1:13" x14ac:dyDescent="0.25">
      <c r="A1968" s="12">
        <v>46893</v>
      </c>
      <c r="B1968" s="12" t="s">
        <v>19</v>
      </c>
      <c r="C1968" s="12" t="s">
        <v>20</v>
      </c>
      <c r="D1968" s="12" t="s">
        <v>18</v>
      </c>
      <c r="E1968" s="13">
        <v>59355</v>
      </c>
      <c r="F1968" s="14">
        <v>30</v>
      </c>
      <c r="G1968" s="15">
        <v>18796</v>
      </c>
      <c r="H1968" s="16">
        <v>0</v>
      </c>
      <c r="I1968" s="13">
        <v>3</v>
      </c>
      <c r="J1968" s="15">
        <v>0</v>
      </c>
      <c r="K1968" s="15">
        <v>563880</v>
      </c>
      <c r="L1968" s="15">
        <v>339139.9575654057</v>
      </c>
      <c r="M1968" s="15">
        <v>224740.0424345943</v>
      </c>
    </row>
    <row r="1969" spans="1:13" x14ac:dyDescent="0.25">
      <c r="A1969" s="12">
        <v>46894</v>
      </c>
      <c r="B1969" s="12" t="s">
        <v>16</v>
      </c>
      <c r="C1969" s="12" t="s">
        <v>20</v>
      </c>
      <c r="D1969" s="12" t="s">
        <v>26</v>
      </c>
      <c r="E1969" s="13">
        <v>57299</v>
      </c>
      <c r="F1969" s="14">
        <v>42</v>
      </c>
      <c r="G1969" s="15">
        <v>32744</v>
      </c>
      <c r="H1969" s="16">
        <v>0.1</v>
      </c>
      <c r="I1969" s="13">
        <v>1</v>
      </c>
      <c r="J1969" s="15">
        <v>137524.79999999999</v>
      </c>
      <c r="K1969" s="15">
        <v>1237723.2</v>
      </c>
      <c r="L1969" s="15">
        <v>931676.46858934534</v>
      </c>
      <c r="M1969" s="15">
        <v>306046.73141065461</v>
      </c>
    </row>
    <row r="1970" spans="1:13" x14ac:dyDescent="0.25">
      <c r="A1970" s="12">
        <v>46895</v>
      </c>
      <c r="B1970" s="12" t="s">
        <v>19</v>
      </c>
      <c r="C1970" s="12" t="s">
        <v>17</v>
      </c>
      <c r="D1970" s="12" t="s">
        <v>26</v>
      </c>
      <c r="E1970" s="13">
        <v>29159</v>
      </c>
      <c r="F1970" s="14">
        <v>5</v>
      </c>
      <c r="G1970" s="15">
        <v>796</v>
      </c>
      <c r="H1970" s="16">
        <v>0.2</v>
      </c>
      <c r="I1970" s="13">
        <v>5</v>
      </c>
      <c r="J1970" s="15">
        <v>796</v>
      </c>
      <c r="K1970" s="15">
        <v>3184</v>
      </c>
      <c r="L1970" s="15">
        <v>2441.0314304343192</v>
      </c>
      <c r="M1970" s="15">
        <v>742.96856956568081</v>
      </c>
    </row>
    <row r="1971" spans="1:13" x14ac:dyDescent="0.25">
      <c r="A1971" s="12">
        <v>46896</v>
      </c>
      <c r="B1971" s="12" t="s">
        <v>19</v>
      </c>
      <c r="C1971" s="12" t="s">
        <v>17</v>
      </c>
      <c r="D1971" s="12" t="s">
        <v>22</v>
      </c>
      <c r="E1971" s="13">
        <v>61012</v>
      </c>
      <c r="F1971" s="14">
        <v>11</v>
      </c>
      <c r="G1971" s="15">
        <v>2909</v>
      </c>
      <c r="H1971" s="16">
        <v>0.2</v>
      </c>
      <c r="I1971" s="13">
        <v>4</v>
      </c>
      <c r="J1971" s="15">
        <v>6399.8</v>
      </c>
      <c r="K1971" s="15">
        <v>25599.200000000001</v>
      </c>
      <c r="L1971" s="15">
        <v>21694.849539762461</v>
      </c>
      <c r="M1971" s="15">
        <v>3904.3504602375428</v>
      </c>
    </row>
    <row r="1972" spans="1:13" x14ac:dyDescent="0.25">
      <c r="A1972" s="12">
        <v>46897</v>
      </c>
      <c r="B1972" s="12" t="s">
        <v>19</v>
      </c>
      <c r="C1972" s="12" t="s">
        <v>23</v>
      </c>
      <c r="D1972" s="12" t="s">
        <v>26</v>
      </c>
      <c r="E1972" s="13">
        <v>69305</v>
      </c>
      <c r="F1972" s="14">
        <v>1</v>
      </c>
      <c r="G1972" s="15">
        <v>34729</v>
      </c>
      <c r="H1972" s="16">
        <v>0.05</v>
      </c>
      <c r="I1972" s="13">
        <v>5</v>
      </c>
      <c r="J1972" s="15">
        <v>1736.45</v>
      </c>
      <c r="K1972" s="15">
        <v>32992.550000000003</v>
      </c>
      <c r="L1972" s="15">
        <v>24789.714252615489</v>
      </c>
      <c r="M1972" s="15">
        <v>8202.8357473845172</v>
      </c>
    </row>
    <row r="1973" spans="1:13" x14ac:dyDescent="0.25">
      <c r="A1973" s="12">
        <v>46898</v>
      </c>
      <c r="B1973" s="12" t="s">
        <v>19</v>
      </c>
      <c r="C1973" s="12" t="s">
        <v>21</v>
      </c>
      <c r="D1973" s="12" t="s">
        <v>26</v>
      </c>
      <c r="E1973" s="13">
        <v>97096</v>
      </c>
      <c r="F1973" s="14">
        <v>34</v>
      </c>
      <c r="G1973" s="15">
        <v>31346</v>
      </c>
      <c r="H1973" s="16">
        <v>0.05</v>
      </c>
      <c r="I1973" s="13">
        <v>4</v>
      </c>
      <c r="J1973" s="15">
        <v>53288.2</v>
      </c>
      <c r="K1973" s="15">
        <v>1012475.8</v>
      </c>
      <c r="L1973" s="15">
        <v>885856.0873471034</v>
      </c>
      <c r="M1973" s="15">
        <v>126619.7126528966</v>
      </c>
    </row>
    <row r="1974" spans="1:13" x14ac:dyDescent="0.25">
      <c r="A1974" s="12">
        <v>46899</v>
      </c>
      <c r="B1974" s="12" t="s">
        <v>13</v>
      </c>
      <c r="C1974" s="12" t="s">
        <v>23</v>
      </c>
      <c r="D1974" s="12" t="s">
        <v>27</v>
      </c>
      <c r="E1974" s="13">
        <v>27106</v>
      </c>
      <c r="F1974" s="14">
        <v>1</v>
      </c>
      <c r="G1974" s="15">
        <v>35536</v>
      </c>
      <c r="H1974" s="16">
        <v>0.15</v>
      </c>
      <c r="I1974" s="13">
        <v>4</v>
      </c>
      <c r="J1974" s="15">
        <v>5330.4</v>
      </c>
      <c r="K1974" s="15">
        <v>30205.599999999999</v>
      </c>
      <c r="L1974" s="15">
        <v>23814.851477977849</v>
      </c>
      <c r="M1974" s="15">
        <v>6390.7485220221533</v>
      </c>
    </row>
    <row r="1975" spans="1:13" x14ac:dyDescent="0.25">
      <c r="A1975" s="12">
        <v>46900</v>
      </c>
      <c r="B1975" s="12" t="s">
        <v>16</v>
      </c>
      <c r="C1975" s="12" t="s">
        <v>23</v>
      </c>
      <c r="D1975" s="12" t="s">
        <v>15</v>
      </c>
      <c r="E1975" s="13">
        <v>68123</v>
      </c>
      <c r="F1975" s="14">
        <v>19</v>
      </c>
      <c r="G1975" s="15">
        <v>39822</v>
      </c>
      <c r="H1975" s="16">
        <v>0.1</v>
      </c>
      <c r="I1975" s="13">
        <v>2</v>
      </c>
      <c r="J1975" s="15">
        <v>75661.8</v>
      </c>
      <c r="K1975" s="15">
        <v>680956.2</v>
      </c>
      <c r="L1975" s="15">
        <v>580243.37145039707</v>
      </c>
      <c r="M1975" s="15">
        <v>100712.8285496029</v>
      </c>
    </row>
    <row r="1976" spans="1:13" x14ac:dyDescent="0.25">
      <c r="A1976" s="12">
        <v>46901</v>
      </c>
      <c r="B1976" s="12" t="s">
        <v>24</v>
      </c>
      <c r="C1976" s="12" t="s">
        <v>14</v>
      </c>
      <c r="D1976" s="12" t="s">
        <v>15</v>
      </c>
      <c r="E1976" s="13">
        <v>18720</v>
      </c>
      <c r="F1976" s="14">
        <v>2</v>
      </c>
      <c r="G1976" s="15">
        <v>49659</v>
      </c>
      <c r="H1976" s="16">
        <v>0.15</v>
      </c>
      <c r="I1976" s="13">
        <v>2</v>
      </c>
      <c r="J1976" s="15">
        <v>14897.7</v>
      </c>
      <c r="K1976" s="15">
        <v>84420.3</v>
      </c>
      <c r="L1976" s="15">
        <v>54408.083082897138</v>
      </c>
      <c r="M1976" s="15">
        <v>30012.216917102869</v>
      </c>
    </row>
    <row r="1977" spans="1:13" x14ac:dyDescent="0.25">
      <c r="A1977" s="12">
        <v>46902</v>
      </c>
      <c r="B1977" s="12" t="s">
        <v>19</v>
      </c>
      <c r="C1977" s="12" t="s">
        <v>14</v>
      </c>
      <c r="D1977" s="12" t="s">
        <v>27</v>
      </c>
      <c r="E1977" s="13">
        <v>47661</v>
      </c>
      <c r="F1977" s="14">
        <v>21</v>
      </c>
      <c r="G1977" s="15">
        <v>27667</v>
      </c>
      <c r="H1977" s="16">
        <v>0.2</v>
      </c>
      <c r="I1977" s="13">
        <v>5</v>
      </c>
      <c r="J1977" s="15">
        <v>116201.4</v>
      </c>
      <c r="K1977" s="15">
        <v>464805.6</v>
      </c>
      <c r="L1977" s="15">
        <v>398152.86697405367</v>
      </c>
      <c r="M1977" s="15">
        <v>66652.733025946305</v>
      </c>
    </row>
    <row r="1978" spans="1:13" x14ac:dyDescent="0.25">
      <c r="A1978" s="12">
        <v>46903</v>
      </c>
      <c r="B1978" s="12" t="s">
        <v>13</v>
      </c>
      <c r="C1978" s="12" t="s">
        <v>23</v>
      </c>
      <c r="D1978" s="12" t="s">
        <v>27</v>
      </c>
      <c r="E1978" s="13">
        <v>97318</v>
      </c>
      <c r="F1978" s="14">
        <v>20</v>
      </c>
      <c r="G1978" s="15">
        <v>29491</v>
      </c>
      <c r="H1978" s="16">
        <v>0.05</v>
      </c>
      <c r="I1978" s="13">
        <v>5</v>
      </c>
      <c r="J1978" s="15">
        <v>29491</v>
      </c>
      <c r="K1978" s="15">
        <v>560329</v>
      </c>
      <c r="L1978" s="15">
        <v>449688.20424500009</v>
      </c>
      <c r="M1978" s="15">
        <v>110640.7957549999</v>
      </c>
    </row>
    <row r="1979" spans="1:13" x14ac:dyDescent="0.25">
      <c r="A1979" s="12">
        <v>46904</v>
      </c>
      <c r="B1979" s="12" t="s">
        <v>13</v>
      </c>
      <c r="C1979" s="12" t="s">
        <v>23</v>
      </c>
      <c r="D1979" s="12" t="s">
        <v>26</v>
      </c>
      <c r="E1979" s="13">
        <v>31120</v>
      </c>
      <c r="F1979" s="14">
        <v>23</v>
      </c>
      <c r="G1979" s="15">
        <v>18301</v>
      </c>
      <c r="H1979" s="16">
        <v>0.05</v>
      </c>
      <c r="I1979" s="13">
        <v>3</v>
      </c>
      <c r="J1979" s="15">
        <v>21046.15</v>
      </c>
      <c r="K1979" s="15">
        <v>399876.85</v>
      </c>
      <c r="L1979" s="15">
        <v>260347.78463321619</v>
      </c>
      <c r="M1979" s="15">
        <v>139529.06536678379</v>
      </c>
    </row>
    <row r="1980" spans="1:13" x14ac:dyDescent="0.25">
      <c r="A1980" s="12">
        <v>46905</v>
      </c>
      <c r="B1980" s="12" t="s">
        <v>13</v>
      </c>
      <c r="C1980" s="12" t="s">
        <v>23</v>
      </c>
      <c r="D1980" s="12" t="s">
        <v>25</v>
      </c>
      <c r="E1980" s="13">
        <v>29790</v>
      </c>
      <c r="F1980" s="14">
        <v>21</v>
      </c>
      <c r="G1980" s="15">
        <v>7858</v>
      </c>
      <c r="H1980" s="16">
        <v>0.05</v>
      </c>
      <c r="I1980" s="13">
        <v>1</v>
      </c>
      <c r="J1980" s="15">
        <v>8250.9</v>
      </c>
      <c r="K1980" s="15">
        <v>156767.1</v>
      </c>
      <c r="L1980" s="15">
        <v>102984.8648088695</v>
      </c>
      <c r="M1980" s="15">
        <v>53782.235191130538</v>
      </c>
    </row>
    <row r="1981" spans="1:13" x14ac:dyDescent="0.25">
      <c r="A1981" s="12">
        <v>46906</v>
      </c>
      <c r="B1981" s="12" t="s">
        <v>24</v>
      </c>
      <c r="C1981" s="12" t="s">
        <v>20</v>
      </c>
      <c r="D1981" s="12" t="s">
        <v>18</v>
      </c>
      <c r="E1981" s="13">
        <v>68655</v>
      </c>
      <c r="F1981" s="14">
        <v>24</v>
      </c>
      <c r="G1981" s="15">
        <v>23088</v>
      </c>
      <c r="H1981" s="16">
        <v>0</v>
      </c>
      <c r="I1981" s="13">
        <v>1</v>
      </c>
      <c r="J1981" s="15">
        <v>0</v>
      </c>
      <c r="K1981" s="15">
        <v>554112</v>
      </c>
      <c r="L1981" s="15">
        <v>486482.73330594948</v>
      </c>
      <c r="M1981" s="15">
        <v>67629.266694050515</v>
      </c>
    </row>
    <row r="1982" spans="1:13" x14ac:dyDescent="0.25">
      <c r="A1982" s="12">
        <v>46907</v>
      </c>
      <c r="B1982" s="12" t="s">
        <v>19</v>
      </c>
      <c r="C1982" s="12" t="s">
        <v>14</v>
      </c>
      <c r="D1982" s="12" t="s">
        <v>18</v>
      </c>
      <c r="E1982" s="13">
        <v>69643</v>
      </c>
      <c r="F1982" s="14">
        <v>4</v>
      </c>
      <c r="G1982" s="15">
        <v>18171</v>
      </c>
      <c r="H1982" s="16">
        <v>0.2</v>
      </c>
      <c r="I1982" s="13">
        <v>5</v>
      </c>
      <c r="J1982" s="15">
        <v>14536.8</v>
      </c>
      <c r="K1982" s="15">
        <v>58147.199999999997</v>
      </c>
      <c r="L1982" s="15">
        <v>35450.289902153971</v>
      </c>
      <c r="M1982" s="15">
        <v>22696.91009784603</v>
      </c>
    </row>
    <row r="1983" spans="1:13" x14ac:dyDescent="0.25">
      <c r="A1983" s="12">
        <v>46908</v>
      </c>
      <c r="B1983" s="12" t="s">
        <v>16</v>
      </c>
      <c r="C1983" s="12" t="s">
        <v>23</v>
      </c>
      <c r="D1983" s="12" t="s">
        <v>26</v>
      </c>
      <c r="E1983" s="13">
        <v>57374</v>
      </c>
      <c r="F1983" s="14">
        <v>12</v>
      </c>
      <c r="G1983" s="15">
        <v>18002</v>
      </c>
      <c r="H1983" s="16">
        <v>0.05</v>
      </c>
      <c r="I1983" s="13">
        <v>2</v>
      </c>
      <c r="J1983" s="15">
        <v>10801.2</v>
      </c>
      <c r="K1983" s="15">
        <v>205222.8</v>
      </c>
      <c r="L1983" s="15">
        <v>151610.49484829581</v>
      </c>
      <c r="M1983" s="15">
        <v>53612.305151704197</v>
      </c>
    </row>
    <row r="1984" spans="1:13" x14ac:dyDescent="0.25">
      <c r="A1984" s="12">
        <v>46909</v>
      </c>
      <c r="B1984" s="12" t="s">
        <v>16</v>
      </c>
      <c r="C1984" s="12" t="s">
        <v>17</v>
      </c>
      <c r="D1984" s="12" t="s">
        <v>18</v>
      </c>
      <c r="E1984" s="13">
        <v>52907</v>
      </c>
      <c r="F1984" s="14">
        <v>22</v>
      </c>
      <c r="G1984" s="15">
        <v>25628</v>
      </c>
      <c r="H1984" s="16">
        <v>0.2</v>
      </c>
      <c r="I1984" s="13">
        <v>3</v>
      </c>
      <c r="J1984" s="15">
        <v>112763.2</v>
      </c>
      <c r="K1984" s="15">
        <v>451052.79999999999</v>
      </c>
      <c r="L1984" s="15">
        <v>313049.8521766765</v>
      </c>
      <c r="M1984" s="15">
        <v>138002.94782332351</v>
      </c>
    </row>
    <row r="1985" spans="1:13" x14ac:dyDescent="0.25">
      <c r="A1985" s="12">
        <v>46910</v>
      </c>
      <c r="B1985" s="12" t="s">
        <v>13</v>
      </c>
      <c r="C1985" s="12" t="s">
        <v>17</v>
      </c>
      <c r="D1985" s="12" t="s">
        <v>27</v>
      </c>
      <c r="E1985" s="13">
        <v>60071</v>
      </c>
      <c r="F1985" s="14">
        <v>20</v>
      </c>
      <c r="G1985" s="15">
        <v>32145</v>
      </c>
      <c r="H1985" s="16">
        <v>0.05</v>
      </c>
      <c r="I1985" s="13">
        <v>1</v>
      </c>
      <c r="J1985" s="15">
        <v>32145</v>
      </c>
      <c r="K1985" s="15">
        <v>610755</v>
      </c>
      <c r="L1985" s="15">
        <v>488312.811559872</v>
      </c>
      <c r="M1985" s="15">
        <v>122442.188440128</v>
      </c>
    </row>
    <row r="1986" spans="1:13" x14ac:dyDescent="0.25">
      <c r="A1986" s="12">
        <v>46911</v>
      </c>
      <c r="B1986" s="12" t="s">
        <v>24</v>
      </c>
      <c r="C1986" s="12" t="s">
        <v>20</v>
      </c>
      <c r="D1986" s="12" t="s">
        <v>15</v>
      </c>
      <c r="E1986" s="13">
        <v>44812</v>
      </c>
      <c r="F1986" s="14">
        <v>18</v>
      </c>
      <c r="G1986" s="15">
        <v>8137</v>
      </c>
      <c r="H1986" s="16">
        <v>0.1</v>
      </c>
      <c r="I1986" s="13">
        <v>5</v>
      </c>
      <c r="J1986" s="15">
        <v>14646.6</v>
      </c>
      <c r="K1986" s="15">
        <v>131819.4</v>
      </c>
      <c r="L1986" s="15">
        <v>112295.47262751361</v>
      </c>
      <c r="M1986" s="15">
        <v>19523.927372486389</v>
      </c>
    </row>
    <row r="1987" spans="1:13" x14ac:dyDescent="0.25">
      <c r="A1987" s="12">
        <v>46912</v>
      </c>
      <c r="B1987" s="12" t="s">
        <v>24</v>
      </c>
      <c r="C1987" s="12" t="s">
        <v>20</v>
      </c>
      <c r="D1987" s="12" t="s">
        <v>18</v>
      </c>
      <c r="E1987" s="13">
        <v>59570</v>
      </c>
      <c r="F1987" s="14">
        <v>1</v>
      </c>
      <c r="G1987" s="15">
        <v>1160</v>
      </c>
      <c r="H1987" s="16">
        <v>0.2</v>
      </c>
      <c r="I1987" s="13">
        <v>2</v>
      </c>
      <c r="J1987" s="15">
        <v>232</v>
      </c>
      <c r="K1987" s="15">
        <v>928</v>
      </c>
      <c r="L1987" s="15">
        <v>657.12926904134895</v>
      </c>
      <c r="M1987" s="15">
        <v>270.87073095865111</v>
      </c>
    </row>
    <row r="1988" spans="1:13" x14ac:dyDescent="0.25">
      <c r="A1988" s="12">
        <v>46913</v>
      </c>
      <c r="B1988" s="12" t="s">
        <v>24</v>
      </c>
      <c r="C1988" s="12" t="s">
        <v>21</v>
      </c>
      <c r="D1988" s="12" t="s">
        <v>26</v>
      </c>
      <c r="E1988" s="13">
        <v>60901</v>
      </c>
      <c r="F1988" s="14">
        <v>30</v>
      </c>
      <c r="G1988" s="15">
        <v>42175</v>
      </c>
      <c r="H1988" s="16">
        <v>0.15</v>
      </c>
      <c r="I1988" s="13">
        <v>2</v>
      </c>
      <c r="J1988" s="15">
        <v>189787.5</v>
      </c>
      <c r="K1988" s="15">
        <v>1075462.5</v>
      </c>
      <c r="L1988" s="15">
        <v>783012.655826231</v>
      </c>
      <c r="M1988" s="15">
        <v>292449.844173769</v>
      </c>
    </row>
    <row r="1989" spans="1:13" x14ac:dyDescent="0.25">
      <c r="A1989" s="12">
        <v>46914</v>
      </c>
      <c r="B1989" s="12" t="s">
        <v>16</v>
      </c>
      <c r="C1989" s="12" t="s">
        <v>21</v>
      </c>
      <c r="D1989" s="12" t="s">
        <v>25</v>
      </c>
      <c r="E1989" s="13">
        <v>70186</v>
      </c>
      <c r="F1989" s="14">
        <v>33</v>
      </c>
      <c r="G1989" s="15">
        <v>7422</v>
      </c>
      <c r="H1989" s="16">
        <v>0</v>
      </c>
      <c r="I1989" s="13">
        <v>2</v>
      </c>
      <c r="J1989" s="15">
        <v>0</v>
      </c>
      <c r="K1989" s="15">
        <v>244926</v>
      </c>
      <c r="L1989" s="15">
        <v>219104.75858603799</v>
      </c>
      <c r="M1989" s="15">
        <v>25821.241413962009</v>
      </c>
    </row>
    <row r="1990" spans="1:13" x14ac:dyDescent="0.25">
      <c r="A1990" s="12">
        <v>46915</v>
      </c>
      <c r="B1990" s="12" t="s">
        <v>13</v>
      </c>
      <c r="C1990" s="12" t="s">
        <v>21</v>
      </c>
      <c r="D1990" s="12" t="s">
        <v>26</v>
      </c>
      <c r="E1990" s="13">
        <v>60251</v>
      </c>
      <c r="F1990" s="14">
        <v>24</v>
      </c>
      <c r="G1990" s="15">
        <v>28661</v>
      </c>
      <c r="H1990" s="16">
        <v>0.15</v>
      </c>
      <c r="I1990" s="13">
        <v>4</v>
      </c>
      <c r="J1990" s="15">
        <v>103179.6</v>
      </c>
      <c r="K1990" s="15">
        <v>584684.4</v>
      </c>
      <c r="L1990" s="15">
        <v>488313.76623356371</v>
      </c>
      <c r="M1990" s="15">
        <v>96370.633766436309</v>
      </c>
    </row>
    <row r="1991" spans="1:13" x14ac:dyDescent="0.25">
      <c r="A1991" s="12">
        <v>46916</v>
      </c>
      <c r="B1991" s="12" t="s">
        <v>19</v>
      </c>
      <c r="C1991" s="12" t="s">
        <v>20</v>
      </c>
      <c r="D1991" s="12" t="s">
        <v>22</v>
      </c>
      <c r="E1991" s="13">
        <v>75171</v>
      </c>
      <c r="F1991" s="14">
        <v>14</v>
      </c>
      <c r="G1991" s="15">
        <v>45221</v>
      </c>
      <c r="H1991" s="16">
        <v>0.2</v>
      </c>
      <c r="I1991" s="13">
        <v>2</v>
      </c>
      <c r="J1991" s="15">
        <v>126618.8</v>
      </c>
      <c r="K1991" s="15">
        <v>506475.2</v>
      </c>
      <c r="L1991" s="15">
        <v>440208.61249635147</v>
      </c>
      <c r="M1991" s="15">
        <v>66266.587503648479</v>
      </c>
    </row>
    <row r="1992" spans="1:13" x14ac:dyDescent="0.25">
      <c r="A1992" s="12">
        <v>46917</v>
      </c>
      <c r="B1992" s="12" t="s">
        <v>16</v>
      </c>
      <c r="C1992" s="12" t="s">
        <v>20</v>
      </c>
      <c r="D1992" s="12" t="s">
        <v>26</v>
      </c>
      <c r="E1992" s="13">
        <v>46160</v>
      </c>
      <c r="F1992" s="14">
        <v>36</v>
      </c>
      <c r="G1992" s="15">
        <v>4470</v>
      </c>
      <c r="H1992" s="16">
        <v>0.05</v>
      </c>
      <c r="I1992" s="13">
        <v>5</v>
      </c>
      <c r="J1992" s="15">
        <v>8046</v>
      </c>
      <c r="K1992" s="15">
        <v>152874</v>
      </c>
      <c r="L1992" s="15">
        <v>111847.0007159692</v>
      </c>
      <c r="M1992" s="15">
        <v>41026.999284030833</v>
      </c>
    </row>
    <row r="1993" spans="1:13" x14ac:dyDescent="0.25">
      <c r="A1993" s="12">
        <v>46918</v>
      </c>
      <c r="B1993" s="12" t="s">
        <v>13</v>
      </c>
      <c r="C1993" s="12" t="s">
        <v>20</v>
      </c>
      <c r="D1993" s="12" t="s">
        <v>27</v>
      </c>
      <c r="E1993" s="13">
        <v>29156</v>
      </c>
      <c r="F1993" s="14">
        <v>5</v>
      </c>
      <c r="G1993" s="15">
        <v>3907</v>
      </c>
      <c r="H1993" s="16">
        <v>0.2</v>
      </c>
      <c r="I1993" s="13">
        <v>3</v>
      </c>
      <c r="J1993" s="15">
        <v>3907</v>
      </c>
      <c r="K1993" s="15">
        <v>15628</v>
      </c>
      <c r="L1993" s="15">
        <v>10474.242874759129</v>
      </c>
      <c r="M1993" s="15">
        <v>5153.7571252408743</v>
      </c>
    </row>
    <row r="1994" spans="1:13" x14ac:dyDescent="0.25">
      <c r="A1994" s="12">
        <v>46919</v>
      </c>
      <c r="B1994" s="12" t="s">
        <v>13</v>
      </c>
      <c r="C1994" s="12" t="s">
        <v>17</v>
      </c>
      <c r="D1994" s="12" t="s">
        <v>15</v>
      </c>
      <c r="E1994" s="13">
        <v>86208</v>
      </c>
      <c r="F1994" s="14">
        <v>11</v>
      </c>
      <c r="G1994" s="15">
        <v>28343</v>
      </c>
      <c r="H1994" s="16">
        <v>0</v>
      </c>
      <c r="I1994" s="13">
        <v>5</v>
      </c>
      <c r="J1994" s="15">
        <v>0</v>
      </c>
      <c r="K1994" s="15">
        <v>311773</v>
      </c>
      <c r="L1994" s="15">
        <v>225586.17245817909</v>
      </c>
      <c r="M1994" s="15">
        <v>86186.827541820938</v>
      </c>
    </row>
    <row r="1995" spans="1:13" x14ac:dyDescent="0.25">
      <c r="A1995" s="12">
        <v>46920</v>
      </c>
      <c r="B1995" s="12" t="s">
        <v>19</v>
      </c>
      <c r="C1995" s="12" t="s">
        <v>20</v>
      </c>
      <c r="D1995" s="12" t="s">
        <v>15</v>
      </c>
      <c r="E1995" s="13">
        <v>89980</v>
      </c>
      <c r="F1995" s="14">
        <v>24</v>
      </c>
      <c r="G1995" s="15">
        <v>9546</v>
      </c>
      <c r="H1995" s="16">
        <v>0.2</v>
      </c>
      <c r="I1995" s="13">
        <v>2</v>
      </c>
      <c r="J1995" s="15">
        <v>45820.800000000003</v>
      </c>
      <c r="K1995" s="15">
        <v>183283.20000000001</v>
      </c>
      <c r="L1995" s="15">
        <v>149344.2054582891</v>
      </c>
      <c r="M1995" s="15">
        <v>33938.994541710941</v>
      </c>
    </row>
    <row r="1996" spans="1:13" x14ac:dyDescent="0.25">
      <c r="A1996" s="12">
        <v>46921</v>
      </c>
      <c r="B1996" s="12" t="s">
        <v>19</v>
      </c>
      <c r="C1996" s="12" t="s">
        <v>17</v>
      </c>
      <c r="D1996" s="12" t="s">
        <v>18</v>
      </c>
      <c r="E1996" s="13">
        <v>82320</v>
      </c>
      <c r="F1996" s="14">
        <v>31</v>
      </c>
      <c r="G1996" s="15">
        <v>24300</v>
      </c>
      <c r="H1996" s="16">
        <v>0.05</v>
      </c>
      <c r="I1996" s="13">
        <v>3</v>
      </c>
      <c r="J1996" s="15">
        <v>37665</v>
      </c>
      <c r="K1996" s="15">
        <v>715635</v>
      </c>
      <c r="L1996" s="15">
        <v>452874.66832943878</v>
      </c>
      <c r="M1996" s="15">
        <v>262760.33167056122</v>
      </c>
    </row>
    <row r="1997" spans="1:13" x14ac:dyDescent="0.25">
      <c r="A1997" s="12">
        <v>46922</v>
      </c>
      <c r="B1997" s="12" t="s">
        <v>19</v>
      </c>
      <c r="C1997" s="12" t="s">
        <v>21</v>
      </c>
      <c r="D1997" s="12" t="s">
        <v>27</v>
      </c>
      <c r="E1997" s="13">
        <v>27929</v>
      </c>
      <c r="F1997" s="14">
        <v>13</v>
      </c>
      <c r="G1997" s="15">
        <v>15047</v>
      </c>
      <c r="H1997" s="16">
        <v>0.15</v>
      </c>
      <c r="I1997" s="13">
        <v>1</v>
      </c>
      <c r="J1997" s="15">
        <v>29341.65</v>
      </c>
      <c r="K1997" s="15">
        <v>166269.35</v>
      </c>
      <c r="L1997" s="15">
        <v>113252.8267157815</v>
      </c>
      <c r="M1997" s="15">
        <v>53016.523284218543</v>
      </c>
    </row>
    <row r="1998" spans="1:13" x14ac:dyDescent="0.25">
      <c r="A1998" s="12">
        <v>46923</v>
      </c>
      <c r="B1998" s="12" t="s">
        <v>24</v>
      </c>
      <c r="C1998" s="12" t="s">
        <v>21</v>
      </c>
      <c r="D1998" s="12" t="s">
        <v>22</v>
      </c>
      <c r="E1998" s="13">
        <v>76606</v>
      </c>
      <c r="F1998" s="14">
        <v>16</v>
      </c>
      <c r="G1998" s="15">
        <v>38028</v>
      </c>
      <c r="H1998" s="16">
        <v>0.1</v>
      </c>
      <c r="I1998" s="13">
        <v>1</v>
      </c>
      <c r="J1998" s="15">
        <v>60844.800000000003</v>
      </c>
      <c r="K1998" s="15">
        <v>547603.19999999995</v>
      </c>
      <c r="L1998" s="15">
        <v>336223.31049829448</v>
      </c>
      <c r="M1998" s="15">
        <v>211379.8895017055</v>
      </c>
    </row>
    <row r="1999" spans="1:13" x14ac:dyDescent="0.25">
      <c r="A1999" s="12">
        <v>46924</v>
      </c>
      <c r="B1999" s="12" t="s">
        <v>19</v>
      </c>
      <c r="C1999" s="12" t="s">
        <v>21</v>
      </c>
      <c r="D1999" s="12" t="s">
        <v>27</v>
      </c>
      <c r="E1999" s="13">
        <v>98442</v>
      </c>
      <c r="F1999" s="14">
        <v>24</v>
      </c>
      <c r="G1999" s="15">
        <v>31889</v>
      </c>
      <c r="H1999" s="16">
        <v>0.15</v>
      </c>
      <c r="I1999" s="13">
        <v>5</v>
      </c>
      <c r="J1999" s="15">
        <v>114800.4</v>
      </c>
      <c r="K1999" s="15">
        <v>650535.6</v>
      </c>
      <c r="L1999" s="15">
        <v>474698.63861053181</v>
      </c>
      <c r="M1999" s="15">
        <v>175836.9613894682</v>
      </c>
    </row>
    <row r="2000" spans="1:13" x14ac:dyDescent="0.25">
      <c r="A2000" s="12">
        <v>46925</v>
      </c>
      <c r="B2000" s="12" t="s">
        <v>13</v>
      </c>
      <c r="C2000" s="12" t="s">
        <v>23</v>
      </c>
      <c r="D2000" s="12" t="s">
        <v>26</v>
      </c>
      <c r="E2000" s="13">
        <v>72559</v>
      </c>
      <c r="F2000" s="14">
        <v>13</v>
      </c>
      <c r="G2000" s="15">
        <v>30846</v>
      </c>
      <c r="H2000" s="16">
        <v>0.05</v>
      </c>
      <c r="I2000" s="13">
        <v>3</v>
      </c>
      <c r="J2000" s="15">
        <v>20049.900000000001</v>
      </c>
      <c r="K2000" s="15">
        <v>380948.1</v>
      </c>
      <c r="L2000" s="15">
        <v>323133.02429236053</v>
      </c>
      <c r="M2000" s="15">
        <v>57815.075707639451</v>
      </c>
    </row>
    <row r="2001" spans="1:13" x14ac:dyDescent="0.25">
      <c r="A2001" s="12">
        <v>46926</v>
      </c>
      <c r="B2001" s="12" t="s">
        <v>19</v>
      </c>
      <c r="C2001" s="12" t="s">
        <v>23</v>
      </c>
      <c r="D2001" s="12" t="s">
        <v>27</v>
      </c>
      <c r="E2001" s="13">
        <v>64205</v>
      </c>
      <c r="F2001" s="14">
        <v>24</v>
      </c>
      <c r="G2001" s="15">
        <v>23248</v>
      </c>
      <c r="H2001" s="16">
        <v>0.05</v>
      </c>
      <c r="I2001" s="13">
        <v>5</v>
      </c>
      <c r="J2001" s="15">
        <v>27897.599999999999</v>
      </c>
      <c r="K2001" s="15">
        <v>530054.40000000002</v>
      </c>
      <c r="L2001" s="15">
        <v>321954.56895077671</v>
      </c>
      <c r="M2001" s="15">
        <v>208099.83104922331</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Dashboard</vt:lpstr>
      <vt:lpstr>Pivot tables</vt:lpstr>
      <vt:lpstr>If exercise</vt:lpstr>
      <vt:lpstr>Use of functions</vt: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Deep Vejpara</cp:lastModifiedBy>
  <dcterms:created xsi:type="dcterms:W3CDTF">2025-11-26T10:38:30Z</dcterms:created>
  <dcterms:modified xsi:type="dcterms:W3CDTF">2025-11-26T12:30:47Z</dcterms:modified>
</cp:coreProperties>
</file>